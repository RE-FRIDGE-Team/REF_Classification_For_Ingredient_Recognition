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\OneDrive\Desktop\REF_Classification_For_Ingredient_Recognition\product_data_collection\refined_grocery_csv_for_classification\"/>
    </mc:Choice>
  </mc:AlternateContent>
  <xr:revisionPtr revIDLastSave="0" documentId="13_ncr:1_{FB426D33-5EAE-4931-A39C-799C9F64639E}" xr6:coauthVersionLast="47" xr6:coauthVersionMax="47" xr10:uidLastSave="{00000000-0000-0000-0000-000000000000}"/>
  <bookViews>
    <workbookView xWindow="3120" yWindow="465" windowWidth="16770" windowHeight="15015" xr2:uid="{50A9C72F-C23F-4EA4-AC76-A5580ABC990E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Sheet1!$A$1:$F$4998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98" i="1" l="1"/>
  <c r="D4997" i="1"/>
  <c r="B4997" i="1" a="1"/>
  <c r="B4997" i="1" s="1"/>
  <c r="D4996" i="1"/>
  <c r="B4996" i="1" a="1"/>
  <c r="B4996" i="1" s="1"/>
  <c r="D4995" i="1"/>
  <c r="B4995" i="1" a="1"/>
  <c r="B4995" i="1" s="1"/>
  <c r="D4994" i="1"/>
  <c r="B4994" i="1" a="1"/>
  <c r="B4994" i="1" s="1"/>
  <c r="D4993" i="1"/>
  <c r="B4993" i="1" a="1"/>
  <c r="B4993" i="1" s="1"/>
  <c r="D4992" i="1"/>
  <c r="B4992" i="1" a="1"/>
  <c r="B4992" i="1" s="1"/>
  <c r="D4991" i="1"/>
  <c r="B4991" i="1" a="1"/>
  <c r="B4991" i="1" s="1"/>
  <c r="D4990" i="1"/>
  <c r="B4990" i="1" a="1"/>
  <c r="B4990" i="1" s="1"/>
  <c r="D4989" i="1"/>
  <c r="B4989" i="1" a="1"/>
  <c r="B4989" i="1" s="1"/>
  <c r="D4988" i="1"/>
  <c r="B4988" i="1" a="1"/>
  <c r="B4988" i="1" s="1"/>
  <c r="D4987" i="1"/>
  <c r="B4987" i="1" a="1"/>
  <c r="B4987" i="1" s="1"/>
  <c r="D4986" i="1"/>
  <c r="B4986" i="1" a="1"/>
  <c r="B4986" i="1" s="1"/>
  <c r="D4985" i="1"/>
  <c r="B4985" i="1" a="1"/>
  <c r="B4985" i="1" s="1"/>
  <c r="D4984" i="1"/>
  <c r="B4984" i="1" a="1"/>
  <c r="B4984" i="1" s="1"/>
  <c r="D4983" i="1"/>
  <c r="B4983" i="1" a="1"/>
  <c r="B4983" i="1" s="1"/>
  <c r="D4982" i="1"/>
  <c r="B4982" i="1" a="1"/>
  <c r="B4982" i="1" s="1"/>
  <c r="D4981" i="1"/>
  <c r="B4981" i="1" a="1"/>
  <c r="B4981" i="1" s="1"/>
  <c r="D4980" i="1"/>
  <c r="B4980" i="1" a="1"/>
  <c r="B4980" i="1" s="1"/>
  <c r="D4979" i="1"/>
  <c r="B4979" i="1" a="1"/>
  <c r="B4979" i="1" s="1"/>
  <c r="D4978" i="1"/>
  <c r="B4978" i="1" a="1"/>
  <c r="B4978" i="1" s="1"/>
  <c r="D4977" i="1"/>
  <c r="B4977" i="1" a="1"/>
  <c r="B4977" i="1" s="1"/>
  <c r="D4976" i="1"/>
  <c r="B4976" i="1" a="1"/>
  <c r="B4976" i="1" s="1"/>
  <c r="D4975" i="1"/>
  <c r="B4975" i="1" a="1"/>
  <c r="B4975" i="1" s="1"/>
  <c r="D4974" i="1"/>
  <c r="B4974" i="1" a="1"/>
  <c r="B4974" i="1" s="1"/>
  <c r="D4973" i="1"/>
  <c r="B4973" i="1" a="1"/>
  <c r="B4973" i="1" s="1"/>
  <c r="D4972" i="1"/>
  <c r="D4971" i="1"/>
  <c r="B4971" i="1" a="1"/>
  <c r="B4971" i="1" s="1"/>
  <c r="D4970" i="1"/>
  <c r="B4970" i="1" a="1"/>
  <c r="B4970" i="1" s="1"/>
  <c r="D4969" i="1"/>
  <c r="B4969" i="1" a="1"/>
  <c r="B4969" i="1" s="1"/>
  <c r="D4968" i="1"/>
  <c r="B4968" i="1" a="1"/>
  <c r="B4968" i="1" s="1"/>
  <c r="D4967" i="1"/>
  <c r="B4967" i="1" a="1"/>
  <c r="B4967" i="1" s="1"/>
  <c r="D4966" i="1"/>
  <c r="B4966" i="1" a="1"/>
  <c r="B4966" i="1" s="1"/>
  <c r="D4965" i="1"/>
  <c r="B4965" i="1" a="1"/>
  <c r="B4965" i="1" s="1"/>
  <c r="D4964" i="1"/>
  <c r="B4964" i="1" a="1"/>
  <c r="B4964" i="1" s="1"/>
  <c r="D4963" i="1"/>
  <c r="B4963" i="1" a="1"/>
  <c r="B4963" i="1" s="1"/>
  <c r="D4962" i="1"/>
  <c r="B4962" i="1" a="1"/>
  <c r="B4962" i="1" s="1"/>
  <c r="D4961" i="1"/>
  <c r="B4961" i="1" a="1"/>
  <c r="B4961" i="1" s="1"/>
  <c r="D4960" i="1"/>
  <c r="B4960" i="1" a="1"/>
  <c r="B4960" i="1" s="1"/>
  <c r="D4959" i="1"/>
  <c r="B4959" i="1" a="1"/>
  <c r="B4959" i="1" s="1"/>
  <c r="D4958" i="1"/>
  <c r="B4958" i="1" a="1"/>
  <c r="B4958" i="1" s="1"/>
  <c r="D4957" i="1"/>
  <c r="B4957" i="1" a="1"/>
  <c r="B4957" i="1" s="1"/>
  <c r="D4956" i="1"/>
  <c r="B4956" i="1" a="1"/>
  <c r="B4956" i="1" s="1"/>
  <c r="D4955" i="1"/>
  <c r="B4955" i="1" a="1"/>
  <c r="B4955" i="1" s="1"/>
  <c r="D4954" i="1"/>
  <c r="B4954" i="1" a="1"/>
  <c r="B4954" i="1" s="1"/>
  <c r="D4953" i="1"/>
  <c r="B4953" i="1" a="1"/>
  <c r="B4953" i="1" s="1"/>
  <c r="D4952" i="1"/>
  <c r="B4952" i="1" a="1"/>
  <c r="B4952" i="1" s="1"/>
  <c r="D4951" i="1"/>
  <c r="B4951" i="1" a="1"/>
  <c r="B4951" i="1" s="1"/>
  <c r="D4950" i="1"/>
  <c r="B4950" i="1" a="1"/>
  <c r="B4950" i="1" s="1"/>
  <c r="D4949" i="1"/>
  <c r="B4949" i="1" a="1"/>
  <c r="B4949" i="1" s="1"/>
  <c r="D4948" i="1"/>
  <c r="B4948" i="1" a="1"/>
  <c r="B4948" i="1" s="1"/>
  <c r="D4947" i="1"/>
  <c r="B4947" i="1" a="1"/>
  <c r="B4947" i="1" s="1"/>
  <c r="D4946" i="1"/>
  <c r="B4946" i="1" a="1"/>
  <c r="B4946" i="1" s="1"/>
  <c r="D4945" i="1"/>
  <c r="B4945" i="1" a="1"/>
  <c r="B4945" i="1" s="1"/>
  <c r="D4944" i="1"/>
  <c r="B4944" i="1" a="1"/>
  <c r="B4944" i="1" s="1"/>
  <c r="D4943" i="1"/>
  <c r="B4943" i="1" a="1"/>
  <c r="B4943" i="1" s="1"/>
  <c r="D4942" i="1"/>
  <c r="B4942" i="1" a="1"/>
  <c r="B4942" i="1" s="1"/>
  <c r="D4941" i="1"/>
  <c r="B4941" i="1" a="1"/>
  <c r="B4941" i="1" s="1"/>
  <c r="D4940" i="1"/>
  <c r="B4940" i="1" a="1"/>
  <c r="B4940" i="1" s="1"/>
  <c r="D4939" i="1"/>
  <c r="B4939" i="1" a="1"/>
  <c r="B4939" i="1" s="1"/>
  <c r="D4938" i="1"/>
  <c r="B4938" i="1" a="1"/>
  <c r="B4938" i="1" s="1"/>
  <c r="D4937" i="1"/>
  <c r="B4937" i="1" a="1"/>
  <c r="B4937" i="1" s="1"/>
  <c r="D4936" i="1"/>
  <c r="B4936" i="1" a="1"/>
  <c r="B4936" i="1" s="1"/>
  <c r="D4935" i="1"/>
  <c r="B4935" i="1" a="1"/>
  <c r="B4935" i="1" s="1"/>
  <c r="D4934" i="1"/>
  <c r="B4934" i="1" a="1"/>
  <c r="B4934" i="1" s="1"/>
  <c r="D4933" i="1"/>
  <c r="B4933" i="1" a="1"/>
  <c r="B4933" i="1" s="1"/>
  <c r="D4932" i="1"/>
  <c r="B4932" i="1" a="1"/>
  <c r="B4932" i="1" s="1"/>
  <c r="D4931" i="1"/>
  <c r="B4931" i="1" a="1"/>
  <c r="B4931" i="1" s="1"/>
  <c r="D4930" i="1"/>
  <c r="B4930" i="1" a="1"/>
  <c r="B4930" i="1" s="1"/>
  <c r="D4929" i="1"/>
  <c r="B4929" i="1" a="1"/>
  <c r="B4929" i="1" s="1"/>
  <c r="D4928" i="1"/>
  <c r="B4928" i="1" a="1"/>
  <c r="B4928" i="1" s="1"/>
  <c r="D4927" i="1"/>
  <c r="B4927" i="1" a="1"/>
  <c r="B4927" i="1" s="1"/>
  <c r="D4926" i="1"/>
  <c r="B4926" i="1" a="1"/>
  <c r="B4926" i="1" s="1"/>
  <c r="D4925" i="1"/>
  <c r="B4925" i="1" a="1"/>
  <c r="B4925" i="1" s="1"/>
  <c r="D4924" i="1"/>
  <c r="B4924" i="1" a="1"/>
  <c r="B4924" i="1" s="1"/>
  <c r="D4923" i="1"/>
  <c r="B4923" i="1" a="1"/>
  <c r="B4923" i="1" s="1"/>
  <c r="D4922" i="1"/>
  <c r="B4922" i="1" a="1"/>
  <c r="B4922" i="1" s="1"/>
  <c r="D4921" i="1"/>
  <c r="B4921" i="1" a="1"/>
  <c r="B4921" i="1" s="1"/>
  <c r="D4920" i="1"/>
  <c r="B4920" i="1" a="1"/>
  <c r="B4920" i="1" s="1"/>
  <c r="D4919" i="1"/>
  <c r="B4919" i="1" a="1"/>
  <c r="B4919" i="1" s="1"/>
  <c r="D4918" i="1"/>
  <c r="B4918" i="1" a="1"/>
  <c r="B4918" i="1" s="1"/>
  <c r="D4917" i="1"/>
  <c r="B4917" i="1" a="1"/>
  <c r="B4917" i="1" s="1"/>
  <c r="D4916" i="1"/>
  <c r="B4916" i="1" a="1"/>
  <c r="B4916" i="1" s="1"/>
  <c r="D4915" i="1"/>
  <c r="B4915" i="1" a="1"/>
  <c r="B4915" i="1" s="1"/>
  <c r="D4914" i="1"/>
  <c r="B4914" i="1" a="1"/>
  <c r="B4914" i="1" s="1"/>
  <c r="D4913" i="1"/>
  <c r="B4913" i="1" a="1"/>
  <c r="B4913" i="1" s="1"/>
  <c r="D4912" i="1"/>
  <c r="B4912" i="1" a="1"/>
  <c r="B4912" i="1" s="1"/>
  <c r="D4911" i="1"/>
  <c r="B4911" i="1" a="1"/>
  <c r="B4911" i="1" s="1"/>
  <c r="D4910" i="1"/>
  <c r="B4910" i="1" a="1"/>
  <c r="B4910" i="1" s="1"/>
  <c r="D4909" i="1"/>
  <c r="B4909" i="1" a="1"/>
  <c r="B4909" i="1" s="1"/>
  <c r="D4908" i="1"/>
  <c r="B4908" i="1" a="1"/>
  <c r="B4908" i="1" s="1"/>
  <c r="D4907" i="1"/>
  <c r="B4907" i="1" a="1"/>
  <c r="B4907" i="1" s="1"/>
  <c r="D4906" i="1"/>
  <c r="B4906" i="1" a="1"/>
  <c r="B4906" i="1" s="1"/>
  <c r="D4905" i="1"/>
  <c r="B4905" i="1" a="1"/>
  <c r="B4905" i="1" s="1"/>
  <c r="D4904" i="1"/>
  <c r="B4904" i="1" a="1"/>
  <c r="B4904" i="1" s="1"/>
  <c r="D4903" i="1"/>
  <c r="B4903" i="1" a="1"/>
  <c r="B4903" i="1" s="1"/>
  <c r="D4902" i="1"/>
  <c r="B4902" i="1" a="1"/>
  <c r="B4902" i="1" s="1"/>
  <c r="D4901" i="1"/>
  <c r="B4901" i="1" a="1"/>
  <c r="B4901" i="1" s="1"/>
  <c r="D4900" i="1"/>
  <c r="B4900" i="1" a="1"/>
  <c r="B4900" i="1" s="1"/>
  <c r="D4899" i="1"/>
  <c r="B4899" i="1" a="1"/>
  <c r="B4899" i="1" s="1"/>
  <c r="D4898" i="1"/>
  <c r="B4898" i="1" a="1"/>
  <c r="B4898" i="1" s="1"/>
  <c r="D4897" i="1"/>
  <c r="B4897" i="1" a="1"/>
  <c r="B4897" i="1" s="1"/>
  <c r="D4896" i="1"/>
  <c r="B4896" i="1" a="1"/>
  <c r="B4896" i="1" s="1"/>
  <c r="D4895" i="1"/>
  <c r="B4895" i="1" a="1"/>
  <c r="B4895" i="1" s="1"/>
  <c r="D4894" i="1"/>
  <c r="B4894" i="1" a="1"/>
  <c r="B4894" i="1" s="1"/>
  <c r="D4893" i="1"/>
  <c r="B4893" i="1" a="1"/>
  <c r="B4893" i="1" s="1"/>
  <c r="D4892" i="1"/>
  <c r="B4892" i="1" a="1"/>
  <c r="B4892" i="1" s="1"/>
  <c r="D4891" i="1"/>
  <c r="B4891" i="1" a="1"/>
  <c r="B4891" i="1" s="1"/>
  <c r="D4890" i="1"/>
  <c r="B4890" i="1" a="1"/>
  <c r="B4890" i="1" s="1"/>
  <c r="D4889" i="1"/>
  <c r="B4889" i="1" a="1"/>
  <c r="B4889" i="1" s="1"/>
  <c r="D4888" i="1"/>
  <c r="B4888" i="1" a="1"/>
  <c r="B4888" i="1" s="1"/>
  <c r="D4887" i="1"/>
  <c r="B4887" i="1" a="1"/>
  <c r="B4887" i="1" s="1"/>
  <c r="D4886" i="1"/>
  <c r="B4886" i="1" a="1"/>
  <c r="B4886" i="1" s="1"/>
  <c r="D4885" i="1"/>
  <c r="B4885" i="1" a="1"/>
  <c r="B4885" i="1" s="1"/>
  <c r="D4884" i="1"/>
  <c r="B4884" i="1" a="1"/>
  <c r="B4884" i="1" s="1"/>
  <c r="D4883" i="1"/>
  <c r="B4883" i="1" a="1"/>
  <c r="B4883" i="1" s="1"/>
  <c r="D4882" i="1"/>
  <c r="B4882" i="1" a="1"/>
  <c r="B4882" i="1" s="1"/>
  <c r="D4881" i="1"/>
  <c r="B4881" i="1" a="1"/>
  <c r="B4881" i="1" s="1"/>
  <c r="D4880" i="1"/>
  <c r="B4880" i="1" a="1"/>
  <c r="B4880" i="1" s="1"/>
  <c r="D4879" i="1"/>
  <c r="B4879" i="1" a="1"/>
  <c r="B4879" i="1" s="1"/>
  <c r="D4878" i="1"/>
  <c r="B4878" i="1" a="1"/>
  <c r="B4878" i="1" s="1"/>
  <c r="D4877" i="1"/>
  <c r="B4877" i="1" a="1"/>
  <c r="B4877" i="1" s="1"/>
  <c r="D4876" i="1"/>
  <c r="B4876" i="1" a="1"/>
  <c r="B4876" i="1" s="1"/>
  <c r="D4875" i="1"/>
  <c r="B4875" i="1" a="1"/>
  <c r="B4875" i="1" s="1"/>
  <c r="D4874" i="1"/>
  <c r="B4874" i="1" a="1"/>
  <c r="B4874" i="1" s="1"/>
  <c r="D4873" i="1"/>
  <c r="B4873" i="1" a="1"/>
  <c r="B4873" i="1" s="1"/>
  <c r="D4872" i="1"/>
  <c r="B4872" i="1" a="1"/>
  <c r="B4872" i="1" s="1"/>
  <c r="D4871" i="1"/>
  <c r="B4871" i="1" a="1"/>
  <c r="B4871" i="1" s="1"/>
  <c r="D4870" i="1"/>
  <c r="B4870" i="1" a="1"/>
  <c r="B4870" i="1" s="1"/>
  <c r="D4869" i="1"/>
  <c r="B4869" i="1" a="1"/>
  <c r="B4869" i="1" s="1"/>
  <c r="D4868" i="1"/>
  <c r="B4868" i="1" a="1"/>
  <c r="B4868" i="1" s="1"/>
  <c r="D4867" i="1"/>
  <c r="B4867" i="1" a="1"/>
  <c r="B4867" i="1" s="1"/>
  <c r="D4866" i="1"/>
  <c r="B4866" i="1" a="1"/>
  <c r="B4866" i="1" s="1"/>
  <c r="D4865" i="1"/>
  <c r="B4865" i="1" a="1"/>
  <c r="B4865" i="1" s="1"/>
  <c r="D4864" i="1"/>
  <c r="B4864" i="1" a="1"/>
  <c r="B4864" i="1" s="1"/>
  <c r="D4863" i="1"/>
  <c r="B4863" i="1" a="1"/>
  <c r="B4863" i="1" s="1"/>
  <c r="D4862" i="1"/>
  <c r="B4862" i="1" a="1"/>
  <c r="B4862" i="1" s="1"/>
  <c r="D4861" i="1"/>
  <c r="B4861" i="1" a="1"/>
  <c r="B4861" i="1" s="1"/>
  <c r="D4860" i="1"/>
  <c r="B4860" i="1" a="1"/>
  <c r="B4860" i="1" s="1"/>
  <c r="D4859" i="1"/>
  <c r="B4859" i="1" a="1"/>
  <c r="B4859" i="1" s="1"/>
  <c r="D4858" i="1"/>
  <c r="B4858" i="1" a="1"/>
  <c r="B4858" i="1" s="1"/>
  <c r="D4857" i="1"/>
  <c r="B4857" i="1" a="1"/>
  <c r="B4857" i="1" s="1"/>
  <c r="D4856" i="1"/>
  <c r="B4856" i="1" a="1"/>
  <c r="B4856" i="1" s="1"/>
  <c r="D4855" i="1"/>
  <c r="B4855" i="1" a="1"/>
  <c r="B4855" i="1" s="1"/>
  <c r="D4854" i="1"/>
  <c r="B4854" i="1" a="1"/>
  <c r="B4854" i="1" s="1"/>
  <c r="D4853" i="1"/>
  <c r="B4853" i="1" a="1"/>
  <c r="B4853" i="1" s="1"/>
  <c r="D4852" i="1"/>
  <c r="B4852" i="1" a="1"/>
  <c r="B4852" i="1" s="1"/>
  <c r="D4851" i="1"/>
  <c r="B4851" i="1" a="1"/>
  <c r="B4851" i="1" s="1"/>
  <c r="D4850" i="1"/>
  <c r="B4850" i="1" a="1"/>
  <c r="B4850" i="1" s="1"/>
  <c r="D4849" i="1"/>
  <c r="B4849" i="1" a="1"/>
  <c r="B4849" i="1" s="1"/>
  <c r="D4848" i="1"/>
  <c r="B4848" i="1" a="1"/>
  <c r="B4848" i="1" s="1"/>
  <c r="D4847" i="1"/>
  <c r="B4847" i="1" a="1"/>
  <c r="B4847" i="1" s="1"/>
  <c r="D4846" i="1"/>
  <c r="B4846" i="1" a="1"/>
  <c r="B4846" i="1" s="1"/>
  <c r="D4845" i="1"/>
  <c r="B4845" i="1" a="1"/>
  <c r="B4845" i="1" s="1"/>
  <c r="D4844" i="1"/>
  <c r="B4844" i="1" a="1"/>
  <c r="B4844" i="1" s="1"/>
  <c r="D4843" i="1"/>
  <c r="B4843" i="1" a="1"/>
  <c r="B4843" i="1" s="1"/>
  <c r="D4842" i="1"/>
  <c r="B4842" i="1" a="1"/>
  <c r="B4842" i="1" s="1"/>
  <c r="D4841" i="1"/>
  <c r="B4841" i="1" a="1"/>
  <c r="B4841" i="1" s="1"/>
  <c r="D4840" i="1"/>
  <c r="B4840" i="1" a="1"/>
  <c r="B4840" i="1" s="1"/>
  <c r="D4839" i="1"/>
  <c r="B4839" i="1" a="1"/>
  <c r="B4839" i="1" s="1"/>
  <c r="D4838" i="1"/>
  <c r="B4838" i="1" a="1"/>
  <c r="B4838" i="1" s="1"/>
  <c r="D4837" i="1"/>
  <c r="B4837" i="1" a="1"/>
  <c r="B4837" i="1" s="1"/>
  <c r="D4836" i="1"/>
  <c r="B4836" i="1" a="1"/>
  <c r="B4836" i="1" s="1"/>
  <c r="D4835" i="1"/>
  <c r="B4835" i="1" a="1"/>
  <c r="B4835" i="1" s="1"/>
  <c r="D4834" i="1"/>
  <c r="B4834" i="1" a="1"/>
  <c r="B4834" i="1" s="1"/>
  <c r="D4833" i="1"/>
  <c r="B4833" i="1" a="1"/>
  <c r="B4833" i="1" s="1"/>
  <c r="D4832" i="1"/>
  <c r="B4832" i="1" a="1"/>
  <c r="B4832" i="1" s="1"/>
  <c r="D4831" i="1"/>
  <c r="B4831" i="1" a="1"/>
  <c r="B4831" i="1" s="1"/>
  <c r="D4830" i="1"/>
  <c r="B4830" i="1" a="1"/>
  <c r="B4830" i="1" s="1"/>
  <c r="D4829" i="1"/>
  <c r="B4829" i="1" a="1"/>
  <c r="B4829" i="1" s="1"/>
  <c r="D4828" i="1"/>
  <c r="B4828" i="1" a="1"/>
  <c r="B4828" i="1" s="1"/>
  <c r="D4827" i="1"/>
  <c r="B4827" i="1" a="1"/>
  <c r="B4827" i="1" s="1"/>
  <c r="D4826" i="1"/>
  <c r="B4826" i="1" a="1"/>
  <c r="B4826" i="1" s="1"/>
  <c r="D4825" i="1"/>
  <c r="B4825" i="1" a="1"/>
  <c r="B4825" i="1" s="1"/>
  <c r="D4824" i="1"/>
  <c r="B4824" i="1" a="1"/>
  <c r="B4824" i="1" s="1"/>
  <c r="D4823" i="1"/>
  <c r="B4823" i="1" a="1"/>
  <c r="B4823" i="1" s="1"/>
  <c r="D4822" i="1"/>
  <c r="B4822" i="1" a="1"/>
  <c r="B4822" i="1" s="1"/>
  <c r="D4821" i="1"/>
  <c r="B4821" i="1" a="1"/>
  <c r="B4821" i="1" s="1"/>
  <c r="D4820" i="1"/>
  <c r="B4820" i="1" a="1"/>
  <c r="B4820" i="1" s="1"/>
  <c r="D4819" i="1"/>
  <c r="B4819" i="1" a="1"/>
  <c r="B4819" i="1" s="1"/>
  <c r="D4818" i="1"/>
  <c r="B4818" i="1" a="1"/>
  <c r="B4818" i="1" s="1"/>
  <c r="D4817" i="1"/>
  <c r="B4817" i="1" a="1"/>
  <c r="B4817" i="1" s="1"/>
  <c r="D4816" i="1"/>
  <c r="B4816" i="1" a="1"/>
  <c r="B4816" i="1" s="1"/>
  <c r="D4815" i="1"/>
  <c r="B4815" i="1" a="1"/>
  <c r="B4815" i="1" s="1"/>
  <c r="D4814" i="1"/>
  <c r="B4814" i="1" a="1"/>
  <c r="B4814" i="1" s="1"/>
  <c r="D4813" i="1"/>
  <c r="B4813" i="1" a="1"/>
  <c r="B4813" i="1" s="1"/>
  <c r="D4812" i="1"/>
  <c r="B4812" i="1" a="1"/>
  <c r="B4812" i="1" s="1"/>
  <c r="D4811" i="1"/>
  <c r="B4811" i="1" a="1"/>
  <c r="B4811" i="1" s="1"/>
  <c r="D4810" i="1"/>
  <c r="B4810" i="1" a="1"/>
  <c r="B4810" i="1" s="1"/>
  <c r="D4809" i="1"/>
  <c r="B4809" i="1" a="1"/>
  <c r="B4809" i="1" s="1"/>
  <c r="D4808" i="1"/>
  <c r="B4808" i="1" a="1"/>
  <c r="B4808" i="1" s="1"/>
  <c r="D4807" i="1"/>
  <c r="B4807" i="1" a="1"/>
  <c r="B4807" i="1" s="1"/>
  <c r="D4806" i="1"/>
  <c r="B4806" i="1" a="1"/>
  <c r="B4806" i="1" s="1"/>
  <c r="D4805" i="1"/>
  <c r="B4805" i="1" a="1"/>
  <c r="B4805" i="1" s="1"/>
  <c r="D4804" i="1"/>
  <c r="B4804" i="1" a="1"/>
  <c r="B4804" i="1" s="1"/>
  <c r="D4803" i="1"/>
  <c r="B4803" i="1" a="1"/>
  <c r="B4803" i="1" s="1"/>
  <c r="D4802" i="1"/>
  <c r="B4802" i="1" a="1"/>
  <c r="B4802" i="1" s="1"/>
  <c r="D4801" i="1"/>
  <c r="B4801" i="1" a="1"/>
  <c r="B4801" i="1" s="1"/>
  <c r="D4800" i="1"/>
  <c r="B4800" i="1" a="1"/>
  <c r="B4800" i="1" s="1"/>
  <c r="D4799" i="1"/>
  <c r="B4799" i="1" a="1"/>
  <c r="B4799" i="1" s="1"/>
  <c r="D4798" i="1"/>
  <c r="B4798" i="1" a="1"/>
  <c r="B4798" i="1" s="1"/>
  <c r="D4797" i="1"/>
  <c r="B4797" i="1" a="1"/>
  <c r="B4797" i="1" s="1"/>
  <c r="D4796" i="1"/>
  <c r="B4796" i="1" a="1"/>
  <c r="B4796" i="1" s="1"/>
  <c r="D4795" i="1"/>
  <c r="B4795" i="1" a="1"/>
  <c r="B4795" i="1" s="1"/>
  <c r="D4794" i="1"/>
  <c r="B4794" i="1" a="1"/>
  <c r="B4794" i="1" s="1"/>
  <c r="D4793" i="1"/>
  <c r="B4793" i="1" a="1"/>
  <c r="B4793" i="1" s="1"/>
  <c r="D4792" i="1"/>
  <c r="B4792" i="1" a="1"/>
  <c r="B4792" i="1" s="1"/>
  <c r="D4791" i="1"/>
  <c r="B4791" i="1" a="1"/>
  <c r="B4791" i="1" s="1"/>
  <c r="D4790" i="1"/>
  <c r="B4790" i="1" a="1"/>
  <c r="B4790" i="1" s="1"/>
  <c r="D4789" i="1"/>
  <c r="B4789" i="1" a="1"/>
  <c r="B4789" i="1" s="1"/>
  <c r="D4788" i="1"/>
  <c r="B4788" i="1" a="1"/>
  <c r="B4788" i="1" s="1"/>
  <c r="D4787" i="1"/>
  <c r="B4787" i="1" a="1"/>
  <c r="B4787" i="1" s="1"/>
  <c r="D4786" i="1"/>
  <c r="B4786" i="1" a="1"/>
  <c r="B4786" i="1" s="1"/>
  <c r="D4785" i="1"/>
  <c r="B4785" i="1" a="1"/>
  <c r="B4785" i="1" s="1"/>
  <c r="D4784" i="1"/>
  <c r="B4784" i="1" a="1"/>
  <c r="B4784" i="1" s="1"/>
  <c r="D4783" i="1"/>
  <c r="B4783" i="1" a="1"/>
  <c r="B4783" i="1" s="1"/>
  <c r="D4782" i="1"/>
  <c r="B4782" i="1" a="1"/>
  <c r="B4782" i="1" s="1"/>
  <c r="D4781" i="1"/>
  <c r="B4781" i="1" a="1"/>
  <c r="B4781" i="1" s="1"/>
  <c r="D4780" i="1"/>
  <c r="B4780" i="1" a="1"/>
  <c r="B4780" i="1" s="1"/>
  <c r="D4779" i="1"/>
  <c r="B4779" i="1" a="1"/>
  <c r="B4779" i="1" s="1"/>
  <c r="D4778" i="1"/>
  <c r="B4778" i="1" a="1"/>
  <c r="B4778" i="1" s="1"/>
  <c r="D4777" i="1"/>
  <c r="B4777" i="1" a="1"/>
  <c r="B4777" i="1" s="1"/>
  <c r="D4776" i="1"/>
  <c r="B4776" i="1" a="1"/>
  <c r="B4776" i="1" s="1"/>
  <c r="D4775" i="1"/>
  <c r="B4775" i="1" a="1"/>
  <c r="B4775" i="1" s="1"/>
  <c r="D4774" i="1"/>
  <c r="B4774" i="1" a="1"/>
  <c r="B4774" i="1" s="1"/>
  <c r="D4773" i="1"/>
  <c r="B4773" i="1" a="1"/>
  <c r="B4773" i="1" s="1"/>
  <c r="D4772" i="1"/>
  <c r="B4772" i="1" a="1"/>
  <c r="B4772" i="1" s="1"/>
  <c r="D4771" i="1"/>
  <c r="B4771" i="1" a="1"/>
  <c r="B4771" i="1" s="1"/>
  <c r="D4770" i="1"/>
  <c r="B4770" i="1" a="1"/>
  <c r="B4770" i="1" s="1"/>
  <c r="D4769" i="1"/>
  <c r="B4769" i="1" a="1"/>
  <c r="B4769" i="1" s="1"/>
  <c r="D4768" i="1"/>
  <c r="B4768" i="1" a="1"/>
  <c r="B4768" i="1" s="1"/>
  <c r="D4767" i="1"/>
  <c r="B4767" i="1" a="1"/>
  <c r="B4767" i="1" s="1"/>
  <c r="D4766" i="1"/>
  <c r="B4766" i="1" a="1"/>
  <c r="B4766" i="1" s="1"/>
  <c r="D4765" i="1"/>
  <c r="B4765" i="1" a="1"/>
  <c r="B4765" i="1" s="1"/>
  <c r="D4764" i="1"/>
  <c r="B4764" i="1" a="1"/>
  <c r="B4764" i="1" s="1"/>
  <c r="D4763" i="1"/>
  <c r="B4763" i="1" a="1"/>
  <c r="B4763" i="1" s="1"/>
  <c r="D4762" i="1"/>
  <c r="B4762" i="1" a="1"/>
  <c r="B4762" i="1" s="1"/>
  <c r="D4761" i="1"/>
  <c r="B4761" i="1" a="1"/>
  <c r="B4761" i="1" s="1"/>
  <c r="D4760" i="1"/>
  <c r="B4760" i="1" a="1"/>
  <c r="B4760" i="1" s="1"/>
  <c r="D4759" i="1"/>
  <c r="B4759" i="1" a="1"/>
  <c r="B4759" i="1" s="1"/>
  <c r="D4758" i="1"/>
  <c r="B4758" i="1" a="1"/>
  <c r="B4758" i="1" s="1"/>
  <c r="D4757" i="1"/>
  <c r="B4757" i="1" a="1"/>
  <c r="B4757" i="1" s="1"/>
  <c r="D4756" i="1"/>
  <c r="B4756" i="1" a="1"/>
  <c r="B4756" i="1" s="1"/>
  <c r="D4755" i="1"/>
  <c r="B4755" i="1" a="1"/>
  <c r="B4755" i="1" s="1"/>
  <c r="D4754" i="1"/>
  <c r="B4754" i="1" a="1"/>
  <c r="B4754" i="1" s="1"/>
  <c r="D4753" i="1"/>
  <c r="B4753" i="1" a="1"/>
  <c r="B4753" i="1" s="1"/>
  <c r="D4752" i="1"/>
  <c r="B4752" i="1" a="1"/>
  <c r="B4752" i="1" s="1"/>
  <c r="D4751" i="1"/>
  <c r="B4751" i="1" a="1"/>
  <c r="B4751" i="1" s="1"/>
  <c r="D4750" i="1"/>
  <c r="B4750" i="1" a="1"/>
  <c r="B4750" i="1" s="1"/>
  <c r="D4749" i="1"/>
  <c r="B4749" i="1" a="1"/>
  <c r="B4749" i="1" s="1"/>
  <c r="D4748" i="1"/>
  <c r="B4748" i="1" a="1"/>
  <c r="B4748" i="1" s="1"/>
  <c r="D4747" i="1"/>
  <c r="B4747" i="1" a="1"/>
  <c r="B4747" i="1" s="1"/>
  <c r="D4746" i="1"/>
  <c r="B4746" i="1" a="1"/>
  <c r="B4746" i="1" s="1"/>
  <c r="D4745" i="1"/>
  <c r="B4745" i="1" a="1"/>
  <c r="B4745" i="1" s="1"/>
  <c r="D4744" i="1"/>
  <c r="B4744" i="1" a="1"/>
  <c r="B4744" i="1" s="1"/>
  <c r="D4743" i="1"/>
  <c r="B4743" i="1" a="1"/>
  <c r="B4743" i="1" s="1"/>
  <c r="D4742" i="1"/>
  <c r="B4742" i="1" a="1"/>
  <c r="B4742" i="1" s="1"/>
  <c r="D4741" i="1"/>
  <c r="B4741" i="1" a="1"/>
  <c r="B4741" i="1" s="1"/>
  <c r="D4740" i="1"/>
  <c r="B4740" i="1" a="1"/>
  <c r="B4740" i="1" s="1"/>
  <c r="D4739" i="1"/>
  <c r="B4739" i="1" a="1"/>
  <c r="B4739" i="1" s="1"/>
  <c r="D4738" i="1"/>
  <c r="B4738" i="1" a="1"/>
  <c r="B4738" i="1" s="1"/>
  <c r="D4737" i="1"/>
  <c r="B4737" i="1" a="1"/>
  <c r="B4737" i="1" s="1"/>
  <c r="D4736" i="1"/>
  <c r="B4736" i="1" a="1"/>
  <c r="B4736" i="1" s="1"/>
  <c r="D4735" i="1"/>
  <c r="B4735" i="1" a="1"/>
  <c r="B4735" i="1" s="1"/>
  <c r="D4734" i="1"/>
  <c r="B4734" i="1" a="1"/>
  <c r="B4734" i="1" s="1"/>
  <c r="D4733" i="1"/>
  <c r="B4733" i="1" a="1"/>
  <c r="B4733" i="1" s="1"/>
  <c r="D4732" i="1"/>
  <c r="B4732" i="1" a="1"/>
  <c r="B4732" i="1" s="1"/>
  <c r="D4731" i="1"/>
  <c r="B4731" i="1" a="1"/>
  <c r="B4731" i="1" s="1"/>
  <c r="D4730" i="1"/>
  <c r="B4730" i="1" a="1"/>
  <c r="B4730" i="1" s="1"/>
  <c r="D4729" i="1"/>
  <c r="B4729" i="1" a="1"/>
  <c r="B4729" i="1" s="1"/>
  <c r="D4728" i="1"/>
  <c r="B4728" i="1" a="1"/>
  <c r="B4728" i="1" s="1"/>
  <c r="D4727" i="1"/>
  <c r="B4727" i="1" a="1"/>
  <c r="B4727" i="1" s="1"/>
  <c r="D4726" i="1"/>
  <c r="B4726" i="1" a="1"/>
  <c r="B4726" i="1" s="1"/>
  <c r="D4725" i="1"/>
  <c r="B4725" i="1" a="1"/>
  <c r="B4725" i="1" s="1"/>
  <c r="D4724" i="1"/>
  <c r="B4724" i="1" a="1"/>
  <c r="B4724" i="1" s="1"/>
  <c r="D4723" i="1"/>
  <c r="B4723" i="1" a="1"/>
  <c r="B4723" i="1" s="1"/>
  <c r="D4722" i="1"/>
  <c r="B4722" i="1" a="1"/>
  <c r="B4722" i="1" s="1"/>
  <c r="D4721" i="1"/>
  <c r="B4721" i="1" a="1"/>
  <c r="B4721" i="1" s="1"/>
  <c r="D4720" i="1"/>
  <c r="B4720" i="1" a="1"/>
  <c r="B4720" i="1" s="1"/>
  <c r="D4719" i="1"/>
  <c r="B4719" i="1" a="1"/>
  <c r="B4719" i="1" s="1"/>
  <c r="D4718" i="1"/>
  <c r="B4718" i="1" a="1"/>
  <c r="B4718" i="1" s="1"/>
  <c r="D4717" i="1"/>
  <c r="B4717" i="1" a="1"/>
  <c r="B4717" i="1" s="1"/>
  <c r="D4716" i="1"/>
  <c r="B4716" i="1" a="1"/>
  <c r="B4716" i="1" s="1"/>
  <c r="D4715" i="1"/>
  <c r="B4715" i="1" a="1"/>
  <c r="B4715" i="1" s="1"/>
  <c r="D4714" i="1"/>
  <c r="B4714" i="1" a="1"/>
  <c r="B4714" i="1" s="1"/>
  <c r="D4713" i="1"/>
  <c r="B4713" i="1" a="1"/>
  <c r="B4713" i="1" s="1"/>
  <c r="D4712" i="1"/>
  <c r="B4712" i="1" a="1"/>
  <c r="B4712" i="1" s="1"/>
  <c r="D4711" i="1"/>
  <c r="B4711" i="1" a="1"/>
  <c r="B4711" i="1" s="1"/>
  <c r="D4710" i="1"/>
  <c r="B4710" i="1" a="1"/>
  <c r="B4710" i="1" s="1"/>
  <c r="D4709" i="1"/>
  <c r="B4709" i="1" a="1"/>
  <c r="B4709" i="1" s="1"/>
  <c r="D4708" i="1"/>
  <c r="B4708" i="1" a="1"/>
  <c r="B4708" i="1" s="1"/>
  <c r="D4707" i="1"/>
  <c r="B4707" i="1" a="1"/>
  <c r="B4707" i="1" s="1"/>
  <c r="D4706" i="1"/>
  <c r="B4706" i="1" a="1"/>
  <c r="B4706" i="1" s="1"/>
  <c r="D4705" i="1"/>
  <c r="B4705" i="1" a="1"/>
  <c r="B4705" i="1" s="1"/>
  <c r="D4704" i="1"/>
  <c r="B4704" i="1" a="1"/>
  <c r="B4704" i="1" s="1"/>
  <c r="D4703" i="1"/>
  <c r="B4703" i="1" a="1"/>
  <c r="B4703" i="1" s="1"/>
  <c r="D4702" i="1"/>
  <c r="B4702" i="1" a="1"/>
  <c r="B4702" i="1" s="1"/>
  <c r="D4701" i="1"/>
  <c r="B4701" i="1" a="1"/>
  <c r="B4701" i="1" s="1"/>
  <c r="D4700" i="1"/>
  <c r="B4700" i="1" a="1"/>
  <c r="B4700" i="1" s="1"/>
  <c r="D4699" i="1"/>
  <c r="B4699" i="1" a="1"/>
  <c r="B4699" i="1" s="1"/>
  <c r="D4698" i="1"/>
  <c r="B4698" i="1" a="1"/>
  <c r="B4698" i="1" s="1"/>
  <c r="D4697" i="1"/>
  <c r="B4697" i="1" a="1"/>
  <c r="B4697" i="1" s="1"/>
  <c r="D4696" i="1"/>
  <c r="B4696" i="1" a="1"/>
  <c r="B4696" i="1" s="1"/>
  <c r="D4695" i="1"/>
  <c r="B4695" i="1" a="1"/>
  <c r="B4695" i="1" s="1"/>
  <c r="D4694" i="1"/>
  <c r="B4694" i="1" a="1"/>
  <c r="B4694" i="1" s="1"/>
  <c r="D4693" i="1"/>
  <c r="B4693" i="1" a="1"/>
  <c r="B4693" i="1" s="1"/>
  <c r="D4692" i="1"/>
  <c r="B4692" i="1" a="1"/>
  <c r="B4692" i="1" s="1"/>
  <c r="D4691" i="1"/>
  <c r="B4691" i="1" a="1"/>
  <c r="B4691" i="1" s="1"/>
  <c r="D4690" i="1"/>
  <c r="B4690" i="1" a="1"/>
  <c r="B4690" i="1" s="1"/>
  <c r="D4689" i="1"/>
  <c r="B4689" i="1" a="1"/>
  <c r="B4689" i="1" s="1"/>
  <c r="D4688" i="1"/>
  <c r="B4688" i="1" a="1"/>
  <c r="B4688" i="1" s="1"/>
  <c r="D4687" i="1"/>
  <c r="B4687" i="1" a="1"/>
  <c r="B4687" i="1" s="1"/>
  <c r="D4686" i="1"/>
  <c r="B4686" i="1" a="1"/>
  <c r="B4686" i="1" s="1"/>
  <c r="D4685" i="1"/>
  <c r="B4685" i="1" a="1"/>
  <c r="B4685" i="1" s="1"/>
  <c r="D4684" i="1"/>
  <c r="B4684" i="1" a="1"/>
  <c r="B4684" i="1" s="1"/>
  <c r="D4683" i="1"/>
  <c r="B4683" i="1" a="1"/>
  <c r="B4683" i="1" s="1"/>
  <c r="D4682" i="1"/>
  <c r="B4682" i="1" a="1"/>
  <c r="B4682" i="1" s="1"/>
  <c r="D4681" i="1"/>
  <c r="B4681" i="1" a="1"/>
  <c r="B4681" i="1" s="1"/>
  <c r="D4680" i="1"/>
  <c r="B4680" i="1" a="1"/>
  <c r="B4680" i="1" s="1"/>
  <c r="D4679" i="1"/>
  <c r="B4679" i="1" a="1"/>
  <c r="B4679" i="1" s="1"/>
  <c r="D4678" i="1"/>
  <c r="B4678" i="1" a="1"/>
  <c r="B4678" i="1" s="1"/>
  <c r="D4677" i="1"/>
  <c r="B4677" i="1" a="1"/>
  <c r="B4677" i="1" s="1"/>
  <c r="D4676" i="1"/>
  <c r="B4676" i="1" a="1"/>
  <c r="B4676" i="1" s="1"/>
  <c r="D4675" i="1"/>
  <c r="B4675" i="1" a="1"/>
  <c r="B4675" i="1" s="1"/>
  <c r="D4674" i="1"/>
  <c r="B4674" i="1" a="1"/>
  <c r="B4674" i="1" s="1"/>
  <c r="D4673" i="1"/>
  <c r="B4673" i="1" a="1"/>
  <c r="B4673" i="1" s="1"/>
  <c r="D4672" i="1"/>
  <c r="B4672" i="1" a="1"/>
  <c r="B4672" i="1" s="1"/>
  <c r="D4671" i="1"/>
  <c r="B4671" i="1" a="1"/>
  <c r="B4671" i="1" s="1"/>
  <c r="D4670" i="1"/>
  <c r="B4670" i="1" a="1"/>
  <c r="B4670" i="1" s="1"/>
  <c r="D4669" i="1"/>
  <c r="B4669" i="1" a="1"/>
  <c r="B4669" i="1" s="1"/>
  <c r="D4668" i="1"/>
  <c r="B4668" i="1" a="1"/>
  <c r="B4668" i="1" s="1"/>
  <c r="D4667" i="1"/>
  <c r="B4667" i="1" a="1"/>
  <c r="B4667" i="1" s="1"/>
  <c r="D4666" i="1"/>
  <c r="B4666" i="1" a="1"/>
  <c r="B4666" i="1" s="1"/>
  <c r="D4665" i="1"/>
  <c r="B4665" i="1" a="1"/>
  <c r="B4665" i="1" s="1"/>
  <c r="D4664" i="1"/>
  <c r="B4664" i="1" a="1"/>
  <c r="B4664" i="1" s="1"/>
  <c r="D4663" i="1"/>
  <c r="B4663" i="1" a="1"/>
  <c r="B4663" i="1" s="1"/>
  <c r="D4662" i="1"/>
  <c r="B4662" i="1" a="1"/>
  <c r="B4662" i="1" s="1"/>
  <c r="D4661" i="1"/>
  <c r="B4661" i="1" a="1"/>
  <c r="B4661" i="1" s="1"/>
  <c r="D4660" i="1"/>
  <c r="B4660" i="1" a="1"/>
  <c r="B4660" i="1" s="1"/>
  <c r="D4659" i="1"/>
  <c r="B4659" i="1" a="1"/>
  <c r="B4659" i="1" s="1"/>
  <c r="D4658" i="1"/>
  <c r="B4658" i="1" a="1"/>
  <c r="B4658" i="1" s="1"/>
  <c r="D4657" i="1"/>
  <c r="B4657" i="1" a="1"/>
  <c r="B4657" i="1" s="1"/>
  <c r="D4656" i="1"/>
  <c r="B4656" i="1" a="1"/>
  <c r="B4656" i="1" s="1"/>
  <c r="D4655" i="1"/>
  <c r="B4655" i="1" a="1"/>
  <c r="B4655" i="1" s="1"/>
  <c r="D4654" i="1"/>
  <c r="B4654" i="1" a="1"/>
  <c r="B4654" i="1" s="1"/>
  <c r="D4653" i="1"/>
  <c r="B4653" i="1" a="1"/>
  <c r="B4653" i="1" s="1"/>
  <c r="D4652" i="1"/>
  <c r="B4652" i="1" a="1"/>
  <c r="B4652" i="1" s="1"/>
  <c r="D4651" i="1"/>
  <c r="B4651" i="1" a="1"/>
  <c r="B4651" i="1" s="1"/>
  <c r="D4650" i="1"/>
  <c r="B4650" i="1" a="1"/>
  <c r="B4650" i="1" s="1"/>
  <c r="D4649" i="1"/>
  <c r="B4649" i="1" a="1"/>
  <c r="B4649" i="1" s="1"/>
  <c r="D4648" i="1"/>
  <c r="B4648" i="1" a="1"/>
  <c r="B4648" i="1" s="1"/>
  <c r="D4647" i="1"/>
  <c r="B4647" i="1" a="1"/>
  <c r="B4647" i="1" s="1"/>
  <c r="D4646" i="1"/>
  <c r="B4646" i="1" a="1"/>
  <c r="B4646" i="1" s="1"/>
  <c r="D4645" i="1"/>
  <c r="B4645" i="1" a="1"/>
  <c r="B4645" i="1" s="1"/>
  <c r="D4644" i="1"/>
  <c r="B4644" i="1" a="1"/>
  <c r="B4644" i="1" s="1"/>
  <c r="D4643" i="1"/>
  <c r="B4643" i="1" a="1"/>
  <c r="B4643" i="1" s="1"/>
  <c r="D4642" i="1"/>
  <c r="B4642" i="1" a="1"/>
  <c r="B4642" i="1" s="1"/>
  <c r="D4641" i="1"/>
  <c r="B4641" i="1" a="1"/>
  <c r="B4641" i="1" s="1"/>
  <c r="D4640" i="1"/>
  <c r="B4640" i="1" a="1"/>
  <c r="B4640" i="1" s="1"/>
  <c r="D4639" i="1"/>
  <c r="B4639" i="1" a="1"/>
  <c r="B4639" i="1" s="1"/>
  <c r="D4638" i="1"/>
  <c r="B4638" i="1" a="1"/>
  <c r="B4638" i="1" s="1"/>
  <c r="D4637" i="1"/>
  <c r="B4637" i="1" a="1"/>
  <c r="B4637" i="1" s="1"/>
  <c r="D4636" i="1"/>
  <c r="B4636" i="1" a="1"/>
  <c r="B4636" i="1" s="1"/>
  <c r="D4635" i="1"/>
  <c r="B4635" i="1" a="1"/>
  <c r="B4635" i="1" s="1"/>
  <c r="D4634" i="1"/>
  <c r="B4634" i="1" a="1"/>
  <c r="B4634" i="1" s="1"/>
  <c r="D4633" i="1"/>
  <c r="B4633" i="1" a="1"/>
  <c r="B4633" i="1" s="1"/>
  <c r="D4632" i="1"/>
  <c r="B4632" i="1" a="1"/>
  <c r="B4632" i="1" s="1"/>
  <c r="D4631" i="1"/>
  <c r="B4631" i="1" a="1"/>
  <c r="B4631" i="1" s="1"/>
  <c r="D4630" i="1"/>
  <c r="B4630" i="1" a="1"/>
  <c r="B4630" i="1" s="1"/>
  <c r="D4629" i="1"/>
  <c r="B4629" i="1" a="1"/>
  <c r="B4629" i="1" s="1"/>
  <c r="D4628" i="1"/>
  <c r="B4628" i="1" a="1"/>
  <c r="B4628" i="1" s="1"/>
  <c r="D4627" i="1"/>
  <c r="B4627" i="1" a="1"/>
  <c r="B4627" i="1" s="1"/>
  <c r="D4626" i="1"/>
  <c r="B4626" i="1" a="1"/>
  <c r="B4626" i="1" s="1"/>
  <c r="D4625" i="1"/>
  <c r="B4625" i="1" a="1"/>
  <c r="B4625" i="1" s="1"/>
  <c r="D4624" i="1"/>
  <c r="B4624" i="1" a="1"/>
  <c r="B4624" i="1" s="1"/>
  <c r="D4623" i="1"/>
  <c r="B4623" i="1" a="1"/>
  <c r="B4623" i="1" s="1"/>
  <c r="D4622" i="1"/>
  <c r="B4622" i="1" a="1"/>
  <c r="B4622" i="1" s="1"/>
  <c r="D4621" i="1"/>
  <c r="B4621" i="1" a="1"/>
  <c r="B4621" i="1" s="1"/>
  <c r="D4620" i="1"/>
  <c r="B4620" i="1" a="1"/>
  <c r="B4620" i="1" s="1"/>
  <c r="D4619" i="1"/>
  <c r="B4619" i="1" a="1"/>
  <c r="B4619" i="1" s="1"/>
  <c r="D4618" i="1"/>
  <c r="B4618" i="1" a="1"/>
  <c r="B4618" i="1" s="1"/>
  <c r="D4617" i="1"/>
  <c r="B4617" i="1" a="1"/>
  <c r="B4617" i="1" s="1"/>
  <c r="D4616" i="1"/>
  <c r="B4616" i="1" a="1"/>
  <c r="B4616" i="1" s="1"/>
  <c r="D4615" i="1"/>
  <c r="B4615" i="1" a="1"/>
  <c r="B4615" i="1" s="1"/>
  <c r="D4614" i="1"/>
  <c r="B4614" i="1" a="1"/>
  <c r="B4614" i="1" s="1"/>
  <c r="D4613" i="1"/>
  <c r="B4613" i="1" a="1"/>
  <c r="B4613" i="1" s="1"/>
  <c r="D4612" i="1"/>
  <c r="B4612" i="1" a="1"/>
  <c r="B4612" i="1" s="1"/>
  <c r="D4611" i="1"/>
  <c r="B4611" i="1" a="1"/>
  <c r="B4611" i="1" s="1"/>
  <c r="D4610" i="1"/>
  <c r="B4610" i="1" a="1"/>
  <c r="B4610" i="1" s="1"/>
  <c r="D4609" i="1"/>
  <c r="B4609" i="1" a="1"/>
  <c r="B4609" i="1" s="1"/>
  <c r="D4608" i="1"/>
  <c r="B4608" i="1" a="1"/>
  <c r="B4608" i="1" s="1"/>
  <c r="D4607" i="1"/>
  <c r="B4607" i="1" a="1"/>
  <c r="B4607" i="1" s="1"/>
  <c r="D4606" i="1"/>
  <c r="B4606" i="1" a="1"/>
  <c r="B4606" i="1" s="1"/>
  <c r="D4605" i="1"/>
  <c r="B4605" i="1" a="1"/>
  <c r="B4605" i="1" s="1"/>
  <c r="D4604" i="1"/>
  <c r="B4604" i="1" a="1"/>
  <c r="B4604" i="1" s="1"/>
  <c r="D4603" i="1"/>
  <c r="B4603" i="1" a="1"/>
  <c r="B4603" i="1" s="1"/>
  <c r="D4602" i="1"/>
  <c r="B4602" i="1" a="1"/>
  <c r="B4602" i="1" s="1"/>
  <c r="D4601" i="1"/>
  <c r="B4601" i="1" a="1"/>
  <c r="B4601" i="1" s="1"/>
  <c r="D4600" i="1"/>
  <c r="B4600" i="1" a="1"/>
  <c r="B4600" i="1" s="1"/>
  <c r="D4599" i="1"/>
  <c r="B4599" i="1" a="1"/>
  <c r="B4599" i="1" s="1"/>
  <c r="D4598" i="1"/>
  <c r="B4598" i="1" a="1"/>
  <c r="B4598" i="1" s="1"/>
  <c r="D4597" i="1"/>
  <c r="B4597" i="1" a="1"/>
  <c r="B4597" i="1" s="1"/>
  <c r="D4596" i="1"/>
  <c r="B4596" i="1" a="1"/>
  <c r="B4596" i="1" s="1"/>
  <c r="D4595" i="1"/>
  <c r="B4595" i="1" a="1"/>
  <c r="B4595" i="1" s="1"/>
  <c r="D4594" i="1"/>
  <c r="B4594" i="1" a="1"/>
  <c r="B4594" i="1" s="1"/>
  <c r="D4593" i="1"/>
  <c r="B4593" i="1" a="1"/>
  <c r="B4593" i="1" s="1"/>
  <c r="D4592" i="1"/>
  <c r="B4592" i="1" a="1"/>
  <c r="B4592" i="1" s="1"/>
  <c r="D4591" i="1"/>
  <c r="B4591" i="1" a="1"/>
  <c r="B4591" i="1" s="1"/>
  <c r="D4590" i="1"/>
  <c r="B4590" i="1" a="1"/>
  <c r="B4590" i="1" s="1"/>
  <c r="D4589" i="1"/>
  <c r="B4589" i="1" a="1"/>
  <c r="B4589" i="1" s="1"/>
  <c r="D4588" i="1"/>
  <c r="B4588" i="1" a="1"/>
  <c r="B4588" i="1" s="1"/>
  <c r="D4587" i="1"/>
  <c r="B4587" i="1" a="1"/>
  <c r="B4587" i="1" s="1"/>
  <c r="D4586" i="1"/>
  <c r="B4586" i="1" a="1"/>
  <c r="B4586" i="1" s="1"/>
  <c r="D4585" i="1"/>
  <c r="B4585" i="1" a="1"/>
  <c r="B4585" i="1" s="1"/>
  <c r="D4584" i="1"/>
  <c r="B4584" i="1" a="1"/>
  <c r="B4584" i="1" s="1"/>
  <c r="D4583" i="1"/>
  <c r="B4583" i="1" a="1"/>
  <c r="B4583" i="1" s="1"/>
  <c r="D4582" i="1"/>
  <c r="B4582" i="1" a="1"/>
  <c r="B4582" i="1" s="1"/>
  <c r="D4581" i="1"/>
  <c r="B4581" i="1" a="1"/>
  <c r="B4581" i="1" s="1"/>
  <c r="D4580" i="1"/>
  <c r="B4580" i="1" a="1"/>
  <c r="B4580" i="1" s="1"/>
  <c r="D4579" i="1"/>
  <c r="B4579" i="1" a="1"/>
  <c r="B4579" i="1" s="1"/>
  <c r="D4578" i="1"/>
  <c r="B4578" i="1" a="1"/>
  <c r="B4578" i="1" s="1"/>
  <c r="D4577" i="1"/>
  <c r="B4577" i="1" a="1"/>
  <c r="B4577" i="1" s="1"/>
  <c r="D4576" i="1"/>
  <c r="B4576" i="1" a="1"/>
  <c r="B4576" i="1" s="1"/>
  <c r="D4575" i="1"/>
  <c r="B4575" i="1" a="1"/>
  <c r="B4575" i="1" s="1"/>
  <c r="D4574" i="1"/>
  <c r="B4574" i="1" a="1"/>
  <c r="B4574" i="1" s="1"/>
  <c r="D4573" i="1"/>
  <c r="B4573" i="1" a="1"/>
  <c r="B4573" i="1" s="1"/>
  <c r="D4572" i="1"/>
  <c r="B4572" i="1" a="1"/>
  <c r="B4572" i="1" s="1"/>
  <c r="D4571" i="1"/>
  <c r="B4571" i="1" a="1"/>
  <c r="B4571" i="1" s="1"/>
  <c r="D4570" i="1"/>
  <c r="B4570" i="1" a="1"/>
  <c r="B4570" i="1" s="1"/>
  <c r="D4569" i="1"/>
  <c r="B4569" i="1" a="1"/>
  <c r="B4569" i="1" s="1"/>
  <c r="D4568" i="1"/>
  <c r="B4568" i="1" a="1"/>
  <c r="B4568" i="1" s="1"/>
  <c r="D4567" i="1"/>
  <c r="B4567" i="1" a="1"/>
  <c r="B4567" i="1" s="1"/>
  <c r="D4566" i="1"/>
  <c r="B4566" i="1" a="1"/>
  <c r="B4566" i="1" s="1"/>
  <c r="D4565" i="1"/>
  <c r="B4565" i="1" a="1"/>
  <c r="B4565" i="1" s="1"/>
  <c r="D4564" i="1"/>
  <c r="B4564" i="1" a="1"/>
  <c r="B4564" i="1" s="1"/>
  <c r="D4563" i="1"/>
  <c r="B4563" i="1" a="1"/>
  <c r="B4563" i="1" s="1"/>
  <c r="D4562" i="1"/>
  <c r="B4562" i="1" a="1"/>
  <c r="B4562" i="1" s="1"/>
  <c r="D4561" i="1"/>
  <c r="B4561" i="1" a="1"/>
  <c r="B4561" i="1" s="1"/>
  <c r="D4560" i="1"/>
  <c r="B4560" i="1" a="1"/>
  <c r="B4560" i="1" s="1"/>
  <c r="D4559" i="1"/>
  <c r="B4559" i="1" a="1"/>
  <c r="B4559" i="1" s="1"/>
  <c r="D4558" i="1"/>
  <c r="B4558" i="1" a="1"/>
  <c r="B4558" i="1" s="1"/>
  <c r="D4557" i="1"/>
  <c r="B4557" i="1" a="1"/>
  <c r="B4557" i="1" s="1"/>
  <c r="D4556" i="1"/>
  <c r="B4556" i="1" a="1"/>
  <c r="B4556" i="1" s="1"/>
  <c r="D4555" i="1"/>
  <c r="B4555" i="1" a="1"/>
  <c r="B4555" i="1" s="1"/>
  <c r="D4554" i="1"/>
  <c r="B4554" i="1" a="1"/>
  <c r="B4554" i="1" s="1"/>
  <c r="D4553" i="1"/>
  <c r="B4553" i="1" a="1"/>
  <c r="B4553" i="1" s="1"/>
  <c r="D4552" i="1"/>
  <c r="B4552" i="1" a="1"/>
  <c r="B4552" i="1" s="1"/>
  <c r="D4551" i="1"/>
  <c r="B4551" i="1" a="1"/>
  <c r="B4551" i="1" s="1"/>
  <c r="D4550" i="1"/>
  <c r="B4550" i="1" a="1"/>
  <c r="B4550" i="1" s="1"/>
  <c r="D4549" i="1"/>
  <c r="B4549" i="1" a="1"/>
  <c r="B4549" i="1" s="1"/>
  <c r="D4548" i="1"/>
  <c r="B4548" i="1" a="1"/>
  <c r="B4548" i="1" s="1"/>
  <c r="D4547" i="1"/>
  <c r="B4547" i="1" a="1"/>
  <c r="B4547" i="1" s="1"/>
  <c r="D4546" i="1"/>
  <c r="B4546" i="1" a="1"/>
  <c r="B4546" i="1" s="1"/>
  <c r="D4545" i="1"/>
  <c r="B4545" i="1" a="1"/>
  <c r="B4545" i="1" s="1"/>
  <c r="D4544" i="1"/>
  <c r="B4544" i="1" a="1"/>
  <c r="B4544" i="1" s="1"/>
  <c r="D4543" i="1"/>
  <c r="B4543" i="1" a="1"/>
  <c r="B4543" i="1" s="1"/>
  <c r="D4542" i="1"/>
  <c r="B4542" i="1" a="1"/>
  <c r="B4542" i="1" s="1"/>
  <c r="D4541" i="1"/>
  <c r="B4541" i="1" a="1"/>
  <c r="B4541" i="1" s="1"/>
  <c r="D4540" i="1"/>
  <c r="B4540" i="1" a="1"/>
  <c r="B4540" i="1" s="1"/>
  <c r="D4539" i="1"/>
  <c r="B4539" i="1" a="1"/>
  <c r="B4539" i="1" s="1"/>
  <c r="D4538" i="1"/>
  <c r="B4538" i="1" a="1"/>
  <c r="B4538" i="1" s="1"/>
  <c r="D4537" i="1"/>
  <c r="B4537" i="1" a="1"/>
  <c r="B4537" i="1" s="1"/>
  <c r="D4536" i="1"/>
  <c r="B4536" i="1" a="1"/>
  <c r="B4536" i="1" s="1"/>
  <c r="D4535" i="1"/>
  <c r="B4535" i="1" a="1"/>
  <c r="B4535" i="1" s="1"/>
  <c r="D4534" i="1"/>
  <c r="B4534" i="1" a="1"/>
  <c r="B4534" i="1" s="1"/>
  <c r="D4533" i="1"/>
  <c r="B4533" i="1" a="1"/>
  <c r="B4533" i="1" s="1"/>
  <c r="D4532" i="1"/>
  <c r="B4532" i="1" a="1"/>
  <c r="B4532" i="1" s="1"/>
  <c r="D4531" i="1"/>
  <c r="B4531" i="1" a="1"/>
  <c r="B4531" i="1" s="1"/>
  <c r="D4530" i="1"/>
  <c r="B4530" i="1" a="1"/>
  <c r="B4530" i="1" s="1"/>
  <c r="D4529" i="1"/>
  <c r="B4529" i="1" a="1"/>
  <c r="B4529" i="1" s="1"/>
  <c r="D4528" i="1"/>
  <c r="B4528" i="1" a="1"/>
  <c r="B4528" i="1" s="1"/>
  <c r="D4527" i="1"/>
  <c r="B4527" i="1" a="1"/>
  <c r="B4527" i="1" s="1"/>
  <c r="D4526" i="1"/>
  <c r="B4526" i="1" a="1"/>
  <c r="B4526" i="1" s="1"/>
  <c r="D4525" i="1"/>
  <c r="B4525" i="1" a="1"/>
  <c r="B4525" i="1" s="1"/>
  <c r="D4524" i="1"/>
  <c r="B4524" i="1" a="1"/>
  <c r="B4524" i="1" s="1"/>
  <c r="D4523" i="1"/>
  <c r="B4523" i="1" a="1"/>
  <c r="B4523" i="1" s="1"/>
  <c r="D4522" i="1"/>
  <c r="B4522" i="1" a="1"/>
  <c r="B4522" i="1" s="1"/>
  <c r="D4521" i="1"/>
  <c r="B4521" i="1" a="1"/>
  <c r="B4521" i="1" s="1"/>
  <c r="D4520" i="1"/>
  <c r="B4520" i="1" a="1"/>
  <c r="B4520" i="1" s="1"/>
  <c r="D4519" i="1"/>
  <c r="B4519" i="1" a="1"/>
  <c r="B4519" i="1" s="1"/>
  <c r="D4518" i="1"/>
  <c r="B4518" i="1" a="1"/>
  <c r="B4518" i="1" s="1"/>
  <c r="D4517" i="1"/>
  <c r="B4517" i="1" a="1"/>
  <c r="B4517" i="1" s="1"/>
  <c r="D4516" i="1"/>
  <c r="B4516" i="1" a="1"/>
  <c r="B4516" i="1" s="1"/>
  <c r="D4515" i="1"/>
  <c r="B4515" i="1" a="1"/>
  <c r="B4515" i="1" s="1"/>
  <c r="D4514" i="1"/>
  <c r="B4514" i="1" a="1"/>
  <c r="B4514" i="1" s="1"/>
  <c r="D4513" i="1"/>
  <c r="B4513" i="1" a="1"/>
  <c r="B4513" i="1" s="1"/>
  <c r="D4512" i="1"/>
  <c r="B4512" i="1" a="1"/>
  <c r="B4512" i="1" s="1"/>
  <c r="D4511" i="1"/>
  <c r="B4511" i="1" a="1"/>
  <c r="B4511" i="1" s="1"/>
  <c r="D4510" i="1"/>
  <c r="B4510" i="1" a="1"/>
  <c r="B4510" i="1" s="1"/>
  <c r="D4509" i="1"/>
  <c r="B4509" i="1" a="1"/>
  <c r="B4509" i="1" s="1"/>
  <c r="D4508" i="1"/>
  <c r="B4508" i="1" a="1"/>
  <c r="B4508" i="1" s="1"/>
  <c r="D4507" i="1"/>
  <c r="B4507" i="1" a="1"/>
  <c r="B4507" i="1" s="1"/>
  <c r="D4506" i="1"/>
  <c r="B4506" i="1" a="1"/>
  <c r="B4506" i="1" s="1"/>
  <c r="D4505" i="1"/>
  <c r="B4505" i="1" a="1"/>
  <c r="B4505" i="1" s="1"/>
  <c r="D4504" i="1"/>
  <c r="B4504" i="1" a="1"/>
  <c r="B4504" i="1" s="1"/>
  <c r="D4503" i="1"/>
  <c r="B4503" i="1" a="1"/>
  <c r="B4503" i="1" s="1"/>
  <c r="D4502" i="1"/>
  <c r="B4502" i="1" a="1"/>
  <c r="B4502" i="1" s="1"/>
  <c r="D4501" i="1"/>
  <c r="B4501" i="1" a="1"/>
  <c r="B4501" i="1" s="1"/>
  <c r="D4500" i="1"/>
  <c r="B4500" i="1" a="1"/>
  <c r="B4500" i="1" s="1"/>
  <c r="D4499" i="1"/>
  <c r="B4499" i="1" a="1"/>
  <c r="B4499" i="1" s="1"/>
  <c r="D4498" i="1"/>
  <c r="B4498" i="1" a="1"/>
  <c r="B4498" i="1" s="1"/>
  <c r="D4497" i="1"/>
  <c r="B4497" i="1" a="1"/>
  <c r="B4497" i="1" s="1"/>
  <c r="D4496" i="1"/>
  <c r="B4496" i="1" a="1"/>
  <c r="B4496" i="1" s="1"/>
  <c r="D4495" i="1"/>
  <c r="B4495" i="1" a="1"/>
  <c r="B4495" i="1" s="1"/>
  <c r="D4494" i="1"/>
  <c r="B4494" i="1" a="1"/>
  <c r="B4494" i="1" s="1"/>
  <c r="D4493" i="1"/>
  <c r="B4493" i="1" a="1"/>
  <c r="B4493" i="1" s="1"/>
  <c r="D4492" i="1"/>
  <c r="B4492" i="1" a="1"/>
  <c r="B4492" i="1" s="1"/>
  <c r="D4491" i="1"/>
  <c r="B4491" i="1" a="1"/>
  <c r="B4491" i="1" s="1"/>
  <c r="D4490" i="1"/>
  <c r="B4490" i="1" a="1"/>
  <c r="B4490" i="1" s="1"/>
  <c r="D4489" i="1"/>
  <c r="B4489" i="1" a="1"/>
  <c r="B4489" i="1" s="1"/>
  <c r="D4488" i="1"/>
  <c r="B4488" i="1" a="1"/>
  <c r="B4488" i="1" s="1"/>
  <c r="D4487" i="1"/>
  <c r="B4487" i="1" a="1"/>
  <c r="B4487" i="1" s="1"/>
  <c r="D4486" i="1"/>
  <c r="B4486" i="1" a="1"/>
  <c r="B4486" i="1" s="1"/>
  <c r="D4485" i="1"/>
  <c r="B4485" i="1" a="1"/>
  <c r="B4485" i="1" s="1"/>
  <c r="D4484" i="1"/>
  <c r="B4484" i="1" a="1"/>
  <c r="B4484" i="1" s="1"/>
  <c r="D4483" i="1"/>
  <c r="B4483" i="1" a="1"/>
  <c r="B4483" i="1" s="1"/>
  <c r="D4482" i="1"/>
  <c r="B4482" i="1" a="1"/>
  <c r="B4482" i="1" s="1"/>
  <c r="D4481" i="1"/>
  <c r="B4481" i="1" a="1"/>
  <c r="B4481" i="1" s="1"/>
  <c r="D4480" i="1"/>
  <c r="B4480" i="1" a="1"/>
  <c r="B4480" i="1" s="1"/>
  <c r="D4479" i="1"/>
  <c r="B4479" i="1" a="1"/>
  <c r="B4479" i="1" s="1"/>
  <c r="D4478" i="1"/>
  <c r="B4478" i="1" a="1"/>
  <c r="B4478" i="1" s="1"/>
  <c r="D4477" i="1"/>
  <c r="B4477" i="1" a="1"/>
  <c r="B4477" i="1" s="1"/>
  <c r="D4476" i="1"/>
  <c r="B4476" i="1" a="1"/>
  <c r="B4476" i="1" s="1"/>
  <c r="D4475" i="1"/>
  <c r="B4475" i="1" a="1"/>
  <c r="B4475" i="1" s="1"/>
  <c r="D4474" i="1"/>
  <c r="B4474" i="1" a="1"/>
  <c r="B4474" i="1" s="1"/>
  <c r="D4473" i="1"/>
  <c r="B4473" i="1" a="1"/>
  <c r="B4473" i="1" s="1"/>
  <c r="D4472" i="1"/>
  <c r="B4472" i="1" a="1"/>
  <c r="B4472" i="1" s="1"/>
  <c r="D4471" i="1"/>
  <c r="B4471" i="1" a="1"/>
  <c r="B4471" i="1" s="1"/>
  <c r="D4470" i="1"/>
  <c r="B4470" i="1" a="1"/>
  <c r="B4470" i="1" s="1"/>
  <c r="D4469" i="1"/>
  <c r="B4469" i="1" a="1"/>
  <c r="B4469" i="1" s="1"/>
  <c r="D4468" i="1"/>
  <c r="B4468" i="1" a="1"/>
  <c r="B4468" i="1" s="1"/>
  <c r="D4467" i="1"/>
  <c r="B4467" i="1" a="1"/>
  <c r="B4467" i="1" s="1"/>
  <c r="D4466" i="1"/>
  <c r="B4466" i="1" a="1"/>
  <c r="B4466" i="1" s="1"/>
  <c r="D4465" i="1"/>
  <c r="B4465" i="1" a="1"/>
  <c r="B4465" i="1" s="1"/>
  <c r="D4464" i="1"/>
  <c r="B4464" i="1" a="1"/>
  <c r="B4464" i="1" s="1"/>
  <c r="D4463" i="1"/>
  <c r="B4463" i="1" a="1"/>
  <c r="B4463" i="1" s="1"/>
  <c r="D4462" i="1"/>
  <c r="B4462" i="1" a="1"/>
  <c r="B4462" i="1" s="1"/>
  <c r="D4461" i="1"/>
  <c r="B4461" i="1" a="1"/>
  <c r="B4461" i="1" s="1"/>
  <c r="D4460" i="1"/>
  <c r="B4460" i="1" a="1"/>
  <c r="B4460" i="1" s="1"/>
  <c r="D4459" i="1"/>
  <c r="B4459" i="1" a="1"/>
  <c r="B4459" i="1" s="1"/>
  <c r="D4458" i="1"/>
  <c r="B4458" i="1" a="1"/>
  <c r="B4458" i="1" s="1"/>
  <c r="D4457" i="1"/>
  <c r="B4457" i="1" a="1"/>
  <c r="B4457" i="1" s="1"/>
  <c r="D4456" i="1"/>
  <c r="B4456" i="1" a="1"/>
  <c r="B4456" i="1" s="1"/>
  <c r="D4455" i="1"/>
  <c r="B4455" i="1" a="1"/>
  <c r="B4455" i="1" s="1"/>
  <c r="D4454" i="1"/>
  <c r="B4454" i="1" a="1"/>
  <c r="B4454" i="1" s="1"/>
  <c r="D4453" i="1"/>
  <c r="B4453" i="1" a="1"/>
  <c r="B4453" i="1" s="1"/>
  <c r="D4452" i="1"/>
  <c r="B4452" i="1" a="1"/>
  <c r="B4452" i="1" s="1"/>
  <c r="D4451" i="1"/>
  <c r="B4451" i="1" a="1"/>
  <c r="B4451" i="1" s="1"/>
  <c r="D4450" i="1"/>
  <c r="B4450" i="1" a="1"/>
  <c r="B4450" i="1" s="1"/>
  <c r="D4449" i="1"/>
  <c r="B4449" i="1" a="1"/>
  <c r="B4449" i="1" s="1"/>
  <c r="D4448" i="1"/>
  <c r="B4448" i="1" a="1"/>
  <c r="B4448" i="1" s="1"/>
  <c r="D4447" i="1"/>
  <c r="B4447" i="1" a="1"/>
  <c r="B4447" i="1" s="1"/>
  <c r="D4446" i="1"/>
  <c r="B4446" i="1" a="1"/>
  <c r="B4446" i="1" s="1"/>
  <c r="D4445" i="1"/>
  <c r="B4445" i="1" a="1"/>
  <c r="B4445" i="1" s="1"/>
  <c r="D4444" i="1"/>
  <c r="B4444" i="1" a="1"/>
  <c r="B4444" i="1" s="1"/>
  <c r="D4443" i="1"/>
  <c r="B4443" i="1" a="1"/>
  <c r="B4443" i="1" s="1"/>
  <c r="D4442" i="1"/>
  <c r="B4442" i="1" a="1"/>
  <c r="B4442" i="1" s="1"/>
  <c r="D4441" i="1"/>
  <c r="B4441" i="1" a="1"/>
  <c r="B4441" i="1" s="1"/>
  <c r="D4440" i="1"/>
  <c r="B4440" i="1" a="1"/>
  <c r="B4440" i="1" s="1"/>
  <c r="D4439" i="1"/>
  <c r="B4439" i="1" a="1"/>
  <c r="B4439" i="1" s="1"/>
  <c r="D4438" i="1"/>
  <c r="B4438" i="1" a="1"/>
  <c r="B4438" i="1" s="1"/>
  <c r="D4437" i="1"/>
  <c r="B4437" i="1" a="1"/>
  <c r="B4437" i="1" s="1"/>
  <c r="D4436" i="1"/>
  <c r="B4436" i="1" a="1"/>
  <c r="B4436" i="1" s="1"/>
  <c r="D4435" i="1"/>
  <c r="B4435" i="1" a="1"/>
  <c r="B4435" i="1" s="1"/>
  <c r="D4434" i="1"/>
  <c r="B4434" i="1" a="1"/>
  <c r="B4434" i="1" s="1"/>
  <c r="D4433" i="1"/>
  <c r="B4433" i="1" a="1"/>
  <c r="B4433" i="1" s="1"/>
  <c r="D4432" i="1"/>
  <c r="B4432" i="1" a="1"/>
  <c r="B4432" i="1" s="1"/>
  <c r="D4431" i="1"/>
  <c r="B4431" i="1" a="1"/>
  <c r="B4431" i="1" s="1"/>
  <c r="D4430" i="1"/>
  <c r="B4430" i="1" a="1"/>
  <c r="B4430" i="1" s="1"/>
  <c r="D4429" i="1"/>
  <c r="B4429" i="1" a="1"/>
  <c r="B4429" i="1" s="1"/>
  <c r="D4428" i="1"/>
  <c r="B4428" i="1" a="1"/>
  <c r="B4428" i="1" s="1"/>
  <c r="D4427" i="1"/>
  <c r="B4427" i="1" a="1"/>
  <c r="B4427" i="1" s="1"/>
  <c r="D4426" i="1"/>
  <c r="B4426" i="1" a="1"/>
  <c r="B4426" i="1" s="1"/>
  <c r="D4425" i="1"/>
  <c r="B4425" i="1" a="1"/>
  <c r="B4425" i="1" s="1"/>
  <c r="D4424" i="1"/>
  <c r="B4424" i="1" a="1"/>
  <c r="B4424" i="1" s="1"/>
  <c r="D4423" i="1"/>
  <c r="B4423" i="1" a="1"/>
  <c r="B4423" i="1" s="1"/>
  <c r="D4422" i="1"/>
  <c r="B4422" i="1" a="1"/>
  <c r="B4422" i="1" s="1"/>
  <c r="D4421" i="1"/>
  <c r="B4421" i="1" a="1"/>
  <c r="B4421" i="1" s="1"/>
  <c r="D4420" i="1"/>
  <c r="B4420" i="1" a="1"/>
  <c r="B4420" i="1" s="1"/>
  <c r="D4419" i="1"/>
  <c r="B4419" i="1" a="1"/>
  <c r="B4419" i="1" s="1"/>
  <c r="D4418" i="1"/>
  <c r="B4418" i="1" a="1"/>
  <c r="B4418" i="1" s="1"/>
  <c r="D4417" i="1"/>
  <c r="B4417" i="1" a="1"/>
  <c r="B4417" i="1" s="1"/>
  <c r="D4416" i="1"/>
  <c r="B4416" i="1" a="1"/>
  <c r="B4416" i="1" s="1"/>
  <c r="D4415" i="1"/>
  <c r="B4415" i="1" a="1"/>
  <c r="B4415" i="1" s="1"/>
  <c r="D4414" i="1"/>
  <c r="B4414" i="1" a="1"/>
  <c r="B4414" i="1" s="1"/>
  <c r="D4413" i="1"/>
  <c r="B4413" i="1" a="1"/>
  <c r="B4413" i="1" s="1"/>
  <c r="D4412" i="1"/>
  <c r="B4412" i="1" a="1"/>
  <c r="B4412" i="1" s="1"/>
  <c r="D4411" i="1"/>
  <c r="B4411" i="1" a="1"/>
  <c r="B4411" i="1" s="1"/>
  <c r="D4410" i="1"/>
  <c r="B4410" i="1" a="1"/>
  <c r="B4410" i="1" s="1"/>
  <c r="D4409" i="1"/>
  <c r="B4409" i="1" a="1"/>
  <c r="B4409" i="1" s="1"/>
  <c r="D4408" i="1"/>
  <c r="B4408" i="1" a="1"/>
  <c r="B4408" i="1" s="1"/>
  <c r="D4407" i="1"/>
  <c r="B4407" i="1" a="1"/>
  <c r="B4407" i="1" s="1"/>
  <c r="D4406" i="1"/>
  <c r="B4406" i="1" a="1"/>
  <c r="B4406" i="1" s="1"/>
  <c r="D4405" i="1"/>
  <c r="B4405" i="1" a="1"/>
  <c r="B4405" i="1" s="1"/>
  <c r="D4404" i="1"/>
  <c r="B4404" i="1" a="1"/>
  <c r="B4404" i="1" s="1"/>
  <c r="D4403" i="1"/>
  <c r="B4403" i="1" a="1"/>
  <c r="B4403" i="1" s="1"/>
  <c r="D4402" i="1"/>
  <c r="B4402" i="1" a="1"/>
  <c r="B4402" i="1" s="1"/>
  <c r="D4401" i="1"/>
  <c r="B4401" i="1" a="1"/>
  <c r="B4401" i="1" s="1"/>
  <c r="D4400" i="1"/>
  <c r="B4400" i="1" a="1"/>
  <c r="B4400" i="1" s="1"/>
  <c r="D4399" i="1"/>
  <c r="B4399" i="1" a="1"/>
  <c r="B4399" i="1" s="1"/>
  <c r="D4398" i="1"/>
  <c r="B4398" i="1" a="1"/>
  <c r="B4398" i="1" s="1"/>
  <c r="D4397" i="1"/>
  <c r="B4397" i="1" a="1"/>
  <c r="B4397" i="1" s="1"/>
  <c r="D4396" i="1"/>
  <c r="B4396" i="1" a="1"/>
  <c r="B4396" i="1" s="1"/>
  <c r="D4395" i="1"/>
  <c r="B4395" i="1" a="1"/>
  <c r="B4395" i="1" s="1"/>
  <c r="D4394" i="1"/>
  <c r="B4394" i="1" a="1"/>
  <c r="B4394" i="1" s="1"/>
  <c r="D4393" i="1"/>
  <c r="B4393" i="1" a="1"/>
  <c r="B4393" i="1" s="1"/>
  <c r="D4392" i="1"/>
  <c r="B4392" i="1" a="1"/>
  <c r="B4392" i="1" s="1"/>
  <c r="D4391" i="1"/>
  <c r="B4391" i="1" a="1"/>
  <c r="B4391" i="1" s="1"/>
  <c r="D4390" i="1"/>
  <c r="B4390" i="1" a="1"/>
  <c r="B4390" i="1" s="1"/>
  <c r="D4389" i="1"/>
  <c r="B4389" i="1" a="1"/>
  <c r="B4389" i="1" s="1"/>
  <c r="D4388" i="1"/>
  <c r="B4388" i="1" a="1"/>
  <c r="B4388" i="1" s="1"/>
  <c r="D4387" i="1"/>
  <c r="B4387" i="1" a="1"/>
  <c r="B4387" i="1" s="1"/>
  <c r="D4386" i="1"/>
  <c r="B4386" i="1" a="1"/>
  <c r="B4386" i="1" s="1"/>
  <c r="D4385" i="1"/>
  <c r="B4385" i="1" a="1"/>
  <c r="B4385" i="1" s="1"/>
  <c r="D4384" i="1"/>
  <c r="B4384" i="1" a="1"/>
  <c r="B4384" i="1" s="1"/>
  <c r="D4383" i="1"/>
  <c r="B4383" i="1" a="1"/>
  <c r="B4383" i="1" s="1"/>
  <c r="D4382" i="1"/>
  <c r="B4382" i="1" a="1"/>
  <c r="B4382" i="1" s="1"/>
  <c r="D4381" i="1"/>
  <c r="B4381" i="1" a="1"/>
  <c r="B4381" i="1" s="1"/>
  <c r="D4380" i="1"/>
  <c r="B4380" i="1" a="1"/>
  <c r="B4380" i="1" s="1"/>
  <c r="D4379" i="1"/>
  <c r="B4379" i="1" a="1"/>
  <c r="B4379" i="1" s="1"/>
  <c r="D4378" i="1"/>
  <c r="B4378" i="1" a="1"/>
  <c r="B4378" i="1" s="1"/>
  <c r="D4377" i="1"/>
  <c r="B4377" i="1" a="1"/>
  <c r="B4377" i="1" s="1"/>
  <c r="D4376" i="1"/>
  <c r="B4376" i="1" a="1"/>
  <c r="B4376" i="1" s="1"/>
  <c r="D4375" i="1"/>
  <c r="B4375" i="1" a="1"/>
  <c r="B4375" i="1" s="1"/>
  <c r="D4374" i="1"/>
  <c r="B4374" i="1" a="1"/>
  <c r="B4374" i="1" s="1"/>
  <c r="D4373" i="1"/>
  <c r="B4373" i="1" a="1"/>
  <c r="B4373" i="1" s="1"/>
  <c r="D4372" i="1"/>
  <c r="B4372" i="1" a="1"/>
  <c r="B4372" i="1" s="1"/>
  <c r="D4371" i="1"/>
  <c r="B4371" i="1" a="1"/>
  <c r="B4371" i="1" s="1"/>
  <c r="D4370" i="1"/>
  <c r="B4370" i="1" a="1"/>
  <c r="B4370" i="1" s="1"/>
  <c r="D4369" i="1"/>
  <c r="B4369" i="1" a="1"/>
  <c r="B4369" i="1" s="1"/>
  <c r="D4368" i="1"/>
  <c r="B4368" i="1" a="1"/>
  <c r="B4368" i="1" s="1"/>
  <c r="D4367" i="1"/>
  <c r="B4367" i="1" a="1"/>
  <c r="B4367" i="1" s="1"/>
  <c r="D4366" i="1"/>
  <c r="B4366" i="1" a="1"/>
  <c r="B4366" i="1" s="1"/>
  <c r="D4365" i="1"/>
  <c r="B4365" i="1" a="1"/>
  <c r="B4365" i="1" s="1"/>
  <c r="D4364" i="1"/>
  <c r="B4364" i="1" a="1"/>
  <c r="B4364" i="1" s="1"/>
  <c r="D4363" i="1"/>
  <c r="B4363" i="1" a="1"/>
  <c r="B4363" i="1" s="1"/>
  <c r="D4362" i="1"/>
  <c r="B4362" i="1" a="1"/>
  <c r="B4362" i="1" s="1"/>
  <c r="D4361" i="1"/>
  <c r="B4361" i="1" a="1"/>
  <c r="B4361" i="1" s="1"/>
  <c r="D4360" i="1"/>
  <c r="B4360" i="1" a="1"/>
  <c r="B4360" i="1" s="1"/>
  <c r="D4359" i="1"/>
  <c r="B4359" i="1" a="1"/>
  <c r="B4359" i="1" s="1"/>
  <c r="D4358" i="1"/>
  <c r="B4358" i="1" a="1"/>
  <c r="B4358" i="1" s="1"/>
  <c r="D4357" i="1"/>
  <c r="B4357" i="1" a="1"/>
  <c r="B4357" i="1" s="1"/>
  <c r="D4356" i="1"/>
  <c r="B4356" i="1" a="1"/>
  <c r="B4356" i="1" s="1"/>
  <c r="D4355" i="1"/>
  <c r="B4355" i="1" a="1"/>
  <c r="B4355" i="1" s="1"/>
  <c r="D4354" i="1"/>
  <c r="B4354" i="1" a="1"/>
  <c r="B4354" i="1" s="1"/>
  <c r="D4353" i="1"/>
  <c r="B4353" i="1" a="1"/>
  <c r="B4353" i="1" s="1"/>
  <c r="D4352" i="1"/>
  <c r="B4352" i="1" a="1"/>
  <c r="B4352" i="1" s="1"/>
  <c r="D4351" i="1"/>
  <c r="B4351" i="1" a="1"/>
  <c r="B4351" i="1" s="1"/>
  <c r="D4350" i="1"/>
  <c r="B4350" i="1" a="1"/>
  <c r="B4350" i="1" s="1"/>
  <c r="D4349" i="1"/>
  <c r="B4349" i="1" a="1"/>
  <c r="B4349" i="1" s="1"/>
  <c r="D4348" i="1"/>
  <c r="B4348" i="1" a="1"/>
  <c r="B4348" i="1" s="1"/>
  <c r="D4347" i="1"/>
  <c r="B4347" i="1" a="1"/>
  <c r="B4347" i="1" s="1"/>
  <c r="D4346" i="1"/>
  <c r="B4346" i="1" a="1"/>
  <c r="B4346" i="1" s="1"/>
  <c r="D4345" i="1"/>
  <c r="B4345" i="1" a="1"/>
  <c r="B4345" i="1" s="1"/>
  <c r="D4344" i="1"/>
  <c r="B4344" i="1" a="1"/>
  <c r="B4344" i="1" s="1"/>
  <c r="D4343" i="1"/>
  <c r="B4343" i="1" a="1"/>
  <c r="B4343" i="1" s="1"/>
  <c r="D4342" i="1"/>
  <c r="B4342" i="1" a="1"/>
  <c r="B4342" i="1" s="1"/>
  <c r="D4341" i="1"/>
  <c r="B4341" i="1" a="1"/>
  <c r="B4341" i="1" s="1"/>
  <c r="D4340" i="1"/>
  <c r="B4340" i="1" a="1"/>
  <c r="B4340" i="1" s="1"/>
  <c r="D4339" i="1"/>
  <c r="B4339" i="1" a="1"/>
  <c r="B4339" i="1" s="1"/>
  <c r="D4338" i="1"/>
  <c r="B4338" i="1" a="1"/>
  <c r="B4338" i="1" s="1"/>
  <c r="D4337" i="1"/>
  <c r="B4337" i="1" a="1"/>
  <c r="B4337" i="1" s="1"/>
  <c r="D4336" i="1"/>
  <c r="B4336" i="1" a="1"/>
  <c r="B4336" i="1" s="1"/>
  <c r="D4335" i="1"/>
  <c r="B4335" i="1" a="1"/>
  <c r="B4335" i="1" s="1"/>
  <c r="D4334" i="1"/>
  <c r="B4334" i="1" a="1"/>
  <c r="B4334" i="1" s="1"/>
  <c r="D4333" i="1"/>
  <c r="B4333" i="1" a="1"/>
  <c r="B4333" i="1" s="1"/>
  <c r="D4332" i="1"/>
  <c r="B4332" i="1" a="1"/>
  <c r="B4332" i="1" s="1"/>
  <c r="D4331" i="1"/>
  <c r="B4331" i="1" a="1"/>
  <c r="B4331" i="1" s="1"/>
  <c r="D4330" i="1"/>
  <c r="B4330" i="1" a="1"/>
  <c r="B4330" i="1" s="1"/>
  <c r="D4329" i="1"/>
  <c r="B4329" i="1" a="1"/>
  <c r="B4329" i="1" s="1"/>
  <c r="D4328" i="1"/>
  <c r="B4328" i="1" a="1"/>
  <c r="B4328" i="1" s="1"/>
  <c r="D4327" i="1"/>
  <c r="B4327" i="1" a="1"/>
  <c r="B4327" i="1" s="1"/>
  <c r="D4326" i="1"/>
  <c r="B4326" i="1" a="1"/>
  <c r="B4326" i="1" s="1"/>
  <c r="D4325" i="1"/>
  <c r="B4325" i="1" a="1"/>
  <c r="B4325" i="1" s="1"/>
  <c r="D4324" i="1"/>
  <c r="B4324" i="1" a="1"/>
  <c r="B4324" i="1" s="1"/>
  <c r="D4323" i="1"/>
  <c r="B4323" i="1" a="1"/>
  <c r="B4323" i="1" s="1"/>
  <c r="D4322" i="1"/>
  <c r="B4322" i="1" a="1"/>
  <c r="B4322" i="1" s="1"/>
  <c r="D4321" i="1"/>
  <c r="B4321" i="1" a="1"/>
  <c r="B4321" i="1" s="1"/>
  <c r="D4320" i="1"/>
  <c r="B4320" i="1" a="1"/>
  <c r="B4320" i="1" s="1"/>
  <c r="D4319" i="1"/>
  <c r="B4319" i="1" a="1"/>
  <c r="B4319" i="1" s="1"/>
  <c r="D4318" i="1"/>
  <c r="B4318" i="1" a="1"/>
  <c r="B4318" i="1" s="1"/>
  <c r="D4317" i="1"/>
  <c r="B4317" i="1" a="1"/>
  <c r="B4317" i="1" s="1"/>
  <c r="D4316" i="1"/>
  <c r="B4316" i="1" a="1"/>
  <c r="B4316" i="1" s="1"/>
  <c r="D4315" i="1"/>
  <c r="B4315" i="1" a="1"/>
  <c r="B4315" i="1" s="1"/>
  <c r="D4314" i="1"/>
  <c r="B4314" i="1" a="1"/>
  <c r="B4314" i="1" s="1"/>
  <c r="D4313" i="1"/>
  <c r="B4313" i="1" a="1"/>
  <c r="B4313" i="1" s="1"/>
  <c r="D4312" i="1"/>
  <c r="B4312" i="1" a="1"/>
  <c r="B4312" i="1" s="1"/>
  <c r="D4311" i="1"/>
  <c r="B4311" i="1" a="1"/>
  <c r="B4311" i="1" s="1"/>
  <c r="D4310" i="1"/>
  <c r="B4310" i="1" a="1"/>
  <c r="B4310" i="1" s="1"/>
  <c r="D4309" i="1"/>
  <c r="B4309" i="1" a="1"/>
  <c r="B4309" i="1" s="1"/>
  <c r="D4308" i="1"/>
  <c r="B4308" i="1" a="1"/>
  <c r="B4308" i="1" s="1"/>
  <c r="D4307" i="1"/>
  <c r="B4307" i="1" a="1"/>
  <c r="B4307" i="1" s="1"/>
  <c r="D4306" i="1"/>
  <c r="B4306" i="1" a="1"/>
  <c r="B4306" i="1" s="1"/>
  <c r="D4305" i="1"/>
  <c r="B4305" i="1" a="1"/>
  <c r="B4305" i="1" s="1"/>
  <c r="D4304" i="1"/>
  <c r="B4304" i="1" a="1"/>
  <c r="B4304" i="1" s="1"/>
  <c r="D4303" i="1"/>
  <c r="B4303" i="1" a="1"/>
  <c r="B4303" i="1" s="1"/>
  <c r="D4302" i="1"/>
  <c r="B4302" i="1" a="1"/>
  <c r="B4302" i="1" s="1"/>
  <c r="D4301" i="1"/>
  <c r="B4301" i="1" a="1"/>
  <c r="B4301" i="1" s="1"/>
  <c r="D4300" i="1"/>
  <c r="B4300" i="1" a="1"/>
  <c r="B4300" i="1" s="1"/>
  <c r="D4299" i="1"/>
  <c r="B4299" i="1" a="1"/>
  <c r="B4299" i="1" s="1"/>
  <c r="D4298" i="1"/>
  <c r="B4298" i="1" a="1"/>
  <c r="B4298" i="1" s="1"/>
  <c r="D4297" i="1"/>
  <c r="B4297" i="1" a="1"/>
  <c r="B4297" i="1" s="1"/>
  <c r="D4296" i="1"/>
  <c r="B4296" i="1" a="1"/>
  <c r="B4296" i="1" s="1"/>
  <c r="D4295" i="1"/>
  <c r="B4295" i="1" a="1"/>
  <c r="B4295" i="1" s="1"/>
  <c r="D4294" i="1"/>
  <c r="B4294" i="1" a="1"/>
  <c r="B4294" i="1" s="1"/>
  <c r="D4293" i="1"/>
  <c r="B4293" i="1" a="1"/>
  <c r="B4293" i="1" s="1"/>
  <c r="D4292" i="1"/>
  <c r="B4292" i="1" a="1"/>
  <c r="B4292" i="1" s="1"/>
  <c r="D4291" i="1"/>
  <c r="B4291" i="1" a="1"/>
  <c r="B4291" i="1" s="1"/>
  <c r="D4290" i="1"/>
  <c r="B4290" i="1" a="1"/>
  <c r="B4290" i="1" s="1"/>
  <c r="D4289" i="1"/>
  <c r="B4289" i="1" a="1"/>
  <c r="B4289" i="1" s="1"/>
  <c r="D4288" i="1"/>
  <c r="B4288" i="1" a="1"/>
  <c r="B4288" i="1" s="1"/>
  <c r="D4287" i="1"/>
  <c r="B4287" i="1" a="1"/>
  <c r="B4287" i="1" s="1"/>
  <c r="D4286" i="1"/>
  <c r="B4286" i="1" a="1"/>
  <c r="B4286" i="1" s="1"/>
  <c r="D4285" i="1"/>
  <c r="B4285" i="1" a="1"/>
  <c r="B4285" i="1" s="1"/>
  <c r="D4284" i="1"/>
  <c r="B4284" i="1" a="1"/>
  <c r="B4284" i="1" s="1"/>
  <c r="D4283" i="1"/>
  <c r="B4283" i="1" a="1"/>
  <c r="B4283" i="1" s="1"/>
  <c r="D4282" i="1"/>
  <c r="B4282" i="1" a="1"/>
  <c r="B4282" i="1" s="1"/>
  <c r="D4281" i="1"/>
  <c r="B4281" i="1" a="1"/>
  <c r="B4281" i="1" s="1"/>
  <c r="D4280" i="1"/>
  <c r="B4280" i="1" a="1"/>
  <c r="B4280" i="1" s="1"/>
  <c r="D4279" i="1"/>
  <c r="B4279" i="1" a="1"/>
  <c r="B4279" i="1" s="1"/>
  <c r="D4278" i="1"/>
  <c r="B4278" i="1" a="1"/>
  <c r="B4278" i="1" s="1"/>
  <c r="D4277" i="1"/>
  <c r="B4277" i="1" a="1"/>
  <c r="B4277" i="1" s="1"/>
  <c r="D4276" i="1"/>
  <c r="B4276" i="1" a="1"/>
  <c r="B4276" i="1" s="1"/>
  <c r="D4275" i="1"/>
  <c r="B4275" i="1" a="1"/>
  <c r="B4275" i="1" s="1"/>
  <c r="D4274" i="1"/>
  <c r="B4274" i="1" a="1"/>
  <c r="B4274" i="1" s="1"/>
  <c r="D4273" i="1"/>
  <c r="B4273" i="1" a="1"/>
  <c r="B4273" i="1" s="1"/>
  <c r="D4272" i="1"/>
  <c r="B4272" i="1" a="1"/>
  <c r="B4272" i="1" s="1"/>
  <c r="D4271" i="1"/>
  <c r="B4271" i="1" a="1"/>
  <c r="B4271" i="1" s="1"/>
  <c r="D4270" i="1"/>
  <c r="B4270" i="1" a="1"/>
  <c r="B4270" i="1" s="1"/>
  <c r="D4269" i="1"/>
  <c r="B4269" i="1" a="1"/>
  <c r="B4269" i="1" s="1"/>
  <c r="D4268" i="1"/>
  <c r="B4268" i="1" a="1"/>
  <c r="B4268" i="1" s="1"/>
  <c r="D4267" i="1"/>
  <c r="B4267" i="1" a="1"/>
  <c r="B4267" i="1" s="1"/>
  <c r="D4266" i="1"/>
  <c r="B4266" i="1" a="1"/>
  <c r="B4266" i="1" s="1"/>
  <c r="D4265" i="1"/>
  <c r="B4265" i="1" a="1"/>
  <c r="B4265" i="1" s="1"/>
  <c r="D4264" i="1"/>
  <c r="B4264" i="1" a="1"/>
  <c r="B4264" i="1" s="1"/>
  <c r="D4263" i="1"/>
  <c r="B4263" i="1" a="1"/>
  <c r="B4263" i="1" s="1"/>
  <c r="D4262" i="1"/>
  <c r="B4262" i="1" a="1"/>
  <c r="B4262" i="1" s="1"/>
  <c r="D4261" i="1"/>
  <c r="B4261" i="1" a="1"/>
  <c r="B4261" i="1" s="1"/>
  <c r="D4260" i="1"/>
  <c r="B4260" i="1" a="1"/>
  <c r="B4260" i="1" s="1"/>
  <c r="D4259" i="1"/>
  <c r="B4259" i="1" a="1"/>
  <c r="B4259" i="1" s="1"/>
  <c r="D4258" i="1"/>
  <c r="B4258" i="1" a="1"/>
  <c r="B4258" i="1" s="1"/>
  <c r="D4257" i="1"/>
  <c r="B4257" i="1" a="1"/>
  <c r="B4257" i="1" s="1"/>
  <c r="D4256" i="1"/>
  <c r="B4256" i="1" a="1"/>
  <c r="B4256" i="1" s="1"/>
  <c r="D4255" i="1"/>
  <c r="B4255" i="1" a="1"/>
  <c r="B4255" i="1" s="1"/>
  <c r="D4254" i="1"/>
  <c r="B4254" i="1" a="1"/>
  <c r="B4254" i="1" s="1"/>
  <c r="D4253" i="1"/>
  <c r="B4253" i="1" a="1"/>
  <c r="B4253" i="1" s="1"/>
  <c r="D4252" i="1"/>
  <c r="B4252" i="1" a="1"/>
  <c r="B4252" i="1" s="1"/>
  <c r="D4251" i="1"/>
  <c r="B4251" i="1" a="1"/>
  <c r="B4251" i="1" s="1"/>
  <c r="D4250" i="1"/>
  <c r="B4250" i="1" a="1"/>
  <c r="B4250" i="1" s="1"/>
  <c r="D4249" i="1"/>
  <c r="B4249" i="1" a="1"/>
  <c r="B4249" i="1" s="1"/>
  <c r="D4248" i="1"/>
  <c r="B4248" i="1" a="1"/>
  <c r="B4248" i="1" s="1"/>
  <c r="D4247" i="1"/>
  <c r="B4247" i="1" a="1"/>
  <c r="B4247" i="1" s="1"/>
  <c r="D4246" i="1"/>
  <c r="B4246" i="1" a="1"/>
  <c r="B4246" i="1" s="1"/>
  <c r="D4245" i="1"/>
  <c r="B4245" i="1" a="1"/>
  <c r="B4245" i="1" s="1"/>
  <c r="D4244" i="1"/>
  <c r="B4244" i="1" a="1"/>
  <c r="B4244" i="1" s="1"/>
  <c r="D4243" i="1"/>
  <c r="B4243" i="1" a="1"/>
  <c r="B4243" i="1" s="1"/>
  <c r="D4242" i="1"/>
  <c r="B4242" i="1" a="1"/>
  <c r="B4242" i="1" s="1"/>
  <c r="D4241" i="1"/>
  <c r="B4241" i="1" a="1"/>
  <c r="B4241" i="1" s="1"/>
  <c r="D4240" i="1"/>
  <c r="B4240" i="1" a="1"/>
  <c r="B4240" i="1" s="1"/>
  <c r="D4239" i="1"/>
  <c r="B4239" i="1" a="1"/>
  <c r="B4239" i="1" s="1"/>
  <c r="D4238" i="1"/>
  <c r="B4238" i="1" a="1"/>
  <c r="B4238" i="1" s="1"/>
  <c r="D4237" i="1"/>
  <c r="B4237" i="1" a="1"/>
  <c r="B4237" i="1" s="1"/>
  <c r="D4236" i="1"/>
  <c r="B4236" i="1" a="1"/>
  <c r="B4236" i="1" s="1"/>
  <c r="D4235" i="1"/>
  <c r="B4235" i="1" a="1"/>
  <c r="B4235" i="1" s="1"/>
  <c r="D4234" i="1"/>
  <c r="B4234" i="1" a="1"/>
  <c r="B4234" i="1" s="1"/>
  <c r="D4233" i="1"/>
  <c r="B4233" i="1" a="1"/>
  <c r="B4233" i="1" s="1"/>
  <c r="D4232" i="1"/>
  <c r="B4232" i="1" a="1"/>
  <c r="B4232" i="1" s="1"/>
  <c r="D4231" i="1"/>
  <c r="B4231" i="1" a="1"/>
  <c r="B4231" i="1" s="1"/>
  <c r="D4230" i="1"/>
  <c r="B4230" i="1" a="1"/>
  <c r="B4230" i="1" s="1"/>
  <c r="D4229" i="1"/>
  <c r="B4229" i="1" a="1"/>
  <c r="B4229" i="1" s="1"/>
  <c r="D4228" i="1"/>
  <c r="B4228" i="1" a="1"/>
  <c r="B4228" i="1" s="1"/>
  <c r="D4227" i="1"/>
  <c r="B4227" i="1" a="1"/>
  <c r="B4227" i="1" s="1"/>
  <c r="D4226" i="1"/>
  <c r="B4226" i="1" a="1"/>
  <c r="B4226" i="1" s="1"/>
  <c r="D4225" i="1"/>
  <c r="B4225" i="1" a="1"/>
  <c r="B4225" i="1" s="1"/>
  <c r="D4224" i="1"/>
  <c r="B4224" i="1" a="1"/>
  <c r="B4224" i="1" s="1"/>
  <c r="D4223" i="1"/>
  <c r="B4223" i="1" a="1"/>
  <c r="B4223" i="1" s="1"/>
  <c r="D4222" i="1"/>
  <c r="B4222" i="1" a="1"/>
  <c r="B4222" i="1" s="1"/>
  <c r="D4221" i="1"/>
  <c r="B4221" i="1" a="1"/>
  <c r="B4221" i="1" s="1"/>
  <c r="D4220" i="1"/>
  <c r="B4220" i="1" a="1"/>
  <c r="B4220" i="1" s="1"/>
  <c r="D4219" i="1"/>
  <c r="B4219" i="1" a="1"/>
  <c r="B4219" i="1" s="1"/>
  <c r="D4218" i="1"/>
  <c r="B4218" i="1" a="1"/>
  <c r="B4218" i="1" s="1"/>
  <c r="D4217" i="1"/>
  <c r="B4217" i="1" a="1"/>
  <c r="B4217" i="1" s="1"/>
  <c r="D4216" i="1"/>
  <c r="B4216" i="1" a="1"/>
  <c r="B4216" i="1" s="1"/>
  <c r="D4215" i="1"/>
  <c r="B4215" i="1" a="1"/>
  <c r="B4215" i="1" s="1"/>
  <c r="D4214" i="1"/>
  <c r="B4214" i="1" a="1"/>
  <c r="B4214" i="1" s="1"/>
  <c r="D4213" i="1"/>
  <c r="B4213" i="1" a="1"/>
  <c r="B4213" i="1" s="1"/>
  <c r="D4212" i="1"/>
  <c r="B4212" i="1" a="1"/>
  <c r="B4212" i="1" s="1"/>
  <c r="D4211" i="1"/>
  <c r="B4211" i="1" a="1"/>
  <c r="B4211" i="1" s="1"/>
  <c r="D4210" i="1"/>
  <c r="B4210" i="1" a="1"/>
  <c r="B4210" i="1" s="1"/>
  <c r="D4209" i="1"/>
  <c r="B4209" i="1" a="1"/>
  <c r="B4209" i="1" s="1"/>
  <c r="D4208" i="1"/>
  <c r="B4208" i="1" a="1"/>
  <c r="B4208" i="1" s="1"/>
  <c r="D4207" i="1"/>
  <c r="B4207" i="1" a="1"/>
  <c r="B4207" i="1" s="1"/>
  <c r="D4206" i="1"/>
  <c r="B4206" i="1" a="1"/>
  <c r="B4206" i="1" s="1"/>
  <c r="D4205" i="1"/>
  <c r="B4205" i="1" a="1"/>
  <c r="B4205" i="1" s="1"/>
  <c r="D4204" i="1"/>
  <c r="B4204" i="1" a="1"/>
  <c r="B4204" i="1" s="1"/>
  <c r="D4203" i="1"/>
  <c r="B4203" i="1" a="1"/>
  <c r="B4203" i="1" s="1"/>
  <c r="D4202" i="1"/>
  <c r="B4202" i="1" a="1"/>
  <c r="B4202" i="1" s="1"/>
  <c r="D4201" i="1"/>
  <c r="B4201" i="1" a="1"/>
  <c r="B4201" i="1" s="1"/>
  <c r="D4200" i="1"/>
  <c r="B4200" i="1" a="1"/>
  <c r="B4200" i="1" s="1"/>
  <c r="D4199" i="1"/>
  <c r="B4199" i="1" a="1"/>
  <c r="B4199" i="1" s="1"/>
  <c r="D4198" i="1"/>
  <c r="B4198" i="1" a="1"/>
  <c r="B4198" i="1" s="1"/>
  <c r="D4197" i="1"/>
  <c r="B4197" i="1" a="1"/>
  <c r="B4197" i="1" s="1"/>
  <c r="D4196" i="1"/>
  <c r="B4196" i="1" a="1"/>
  <c r="B4196" i="1" s="1"/>
  <c r="D4195" i="1"/>
  <c r="B4195" i="1" a="1"/>
  <c r="B4195" i="1" s="1"/>
  <c r="D4194" i="1"/>
  <c r="B4194" i="1" a="1"/>
  <c r="B4194" i="1" s="1"/>
  <c r="D4193" i="1"/>
  <c r="B4193" i="1" a="1"/>
  <c r="B4193" i="1" s="1"/>
  <c r="D4192" i="1"/>
  <c r="B4192" i="1" a="1"/>
  <c r="B4192" i="1" s="1"/>
  <c r="D4191" i="1"/>
  <c r="B4191" i="1" a="1"/>
  <c r="B4191" i="1" s="1"/>
  <c r="D4190" i="1"/>
  <c r="B4190" i="1" a="1"/>
  <c r="B4190" i="1" s="1"/>
  <c r="D4189" i="1"/>
  <c r="B4189" i="1" a="1"/>
  <c r="B4189" i="1" s="1"/>
  <c r="D4188" i="1"/>
  <c r="B4188" i="1" a="1"/>
  <c r="B4188" i="1" s="1"/>
  <c r="D4187" i="1"/>
  <c r="B4187" i="1" a="1"/>
  <c r="B4187" i="1" s="1"/>
  <c r="D4186" i="1"/>
  <c r="B4186" i="1" a="1"/>
  <c r="B4186" i="1" s="1"/>
  <c r="D4185" i="1"/>
  <c r="B4185" i="1" a="1"/>
  <c r="B4185" i="1" s="1"/>
  <c r="D4184" i="1"/>
  <c r="B4184" i="1" a="1"/>
  <c r="B4184" i="1" s="1"/>
  <c r="D4183" i="1"/>
  <c r="B4183" i="1" a="1"/>
  <c r="B4183" i="1" s="1"/>
  <c r="D4182" i="1"/>
  <c r="B4182" i="1" a="1"/>
  <c r="B4182" i="1" s="1"/>
  <c r="D4181" i="1"/>
  <c r="B4181" i="1" a="1"/>
  <c r="B4181" i="1" s="1"/>
  <c r="D4180" i="1"/>
  <c r="B4180" i="1" a="1"/>
  <c r="B4180" i="1" s="1"/>
  <c r="D4179" i="1"/>
  <c r="B4179" i="1" a="1"/>
  <c r="B4179" i="1" s="1"/>
  <c r="D4178" i="1"/>
  <c r="B4178" i="1" a="1"/>
  <c r="B4178" i="1" s="1"/>
  <c r="D4177" i="1"/>
  <c r="B4177" i="1" a="1"/>
  <c r="B4177" i="1" s="1"/>
  <c r="D4176" i="1"/>
  <c r="B4176" i="1" a="1"/>
  <c r="B4176" i="1" s="1"/>
  <c r="D4175" i="1"/>
  <c r="B4175" i="1" a="1"/>
  <c r="B4175" i="1" s="1"/>
  <c r="D4174" i="1"/>
  <c r="B4174" i="1" a="1"/>
  <c r="B4174" i="1" s="1"/>
  <c r="D4173" i="1"/>
  <c r="B4173" i="1" a="1"/>
  <c r="B4173" i="1" s="1"/>
  <c r="D4172" i="1"/>
  <c r="B4172" i="1" a="1"/>
  <c r="B4172" i="1" s="1"/>
  <c r="D4171" i="1"/>
  <c r="B4171" i="1" a="1"/>
  <c r="B4171" i="1" s="1"/>
  <c r="D4170" i="1"/>
  <c r="B4170" i="1" a="1"/>
  <c r="B4170" i="1" s="1"/>
  <c r="D4169" i="1"/>
  <c r="B4169" i="1" a="1"/>
  <c r="B4169" i="1" s="1"/>
  <c r="D4168" i="1"/>
  <c r="B4168" i="1" a="1"/>
  <c r="B4168" i="1" s="1"/>
  <c r="D4167" i="1"/>
  <c r="B4167" i="1" a="1"/>
  <c r="B4167" i="1" s="1"/>
  <c r="D4166" i="1"/>
  <c r="B4166" i="1" a="1"/>
  <c r="B4166" i="1" s="1"/>
  <c r="D4165" i="1"/>
  <c r="B4165" i="1" a="1"/>
  <c r="B4165" i="1" s="1"/>
  <c r="D4164" i="1"/>
  <c r="B4164" i="1" a="1"/>
  <c r="B4164" i="1" s="1"/>
  <c r="D4163" i="1"/>
  <c r="B4163" i="1" a="1"/>
  <c r="B4163" i="1" s="1"/>
  <c r="D4162" i="1"/>
  <c r="B4162" i="1" a="1"/>
  <c r="B4162" i="1" s="1"/>
  <c r="D4161" i="1"/>
  <c r="B4161" i="1" a="1"/>
  <c r="B4161" i="1" s="1"/>
  <c r="D4160" i="1"/>
  <c r="B4160" i="1" a="1"/>
  <c r="B4160" i="1" s="1"/>
  <c r="D4159" i="1"/>
  <c r="B4159" i="1" a="1"/>
  <c r="B4159" i="1" s="1"/>
  <c r="D4158" i="1"/>
  <c r="B4158" i="1" a="1"/>
  <c r="B4158" i="1" s="1"/>
  <c r="D4157" i="1"/>
  <c r="B4157" i="1" a="1"/>
  <c r="B4157" i="1" s="1"/>
  <c r="D4156" i="1"/>
  <c r="B4156" i="1" a="1"/>
  <c r="B4156" i="1" s="1"/>
  <c r="D4155" i="1"/>
  <c r="B4155" i="1" a="1"/>
  <c r="B4155" i="1" s="1"/>
  <c r="D4154" i="1"/>
  <c r="B4154" i="1" a="1"/>
  <c r="B4154" i="1" s="1"/>
  <c r="D4153" i="1"/>
  <c r="B4153" i="1" a="1"/>
  <c r="B4153" i="1" s="1"/>
  <c r="D4152" i="1"/>
  <c r="B4152" i="1" a="1"/>
  <c r="B4152" i="1" s="1"/>
  <c r="D4151" i="1"/>
  <c r="B4151" i="1" a="1"/>
  <c r="B4151" i="1" s="1"/>
  <c r="D4150" i="1"/>
  <c r="B4150" i="1" a="1"/>
  <c r="B4150" i="1" s="1"/>
  <c r="D4149" i="1"/>
  <c r="B4149" i="1" a="1"/>
  <c r="B4149" i="1" s="1"/>
  <c r="D4148" i="1"/>
  <c r="B4148" i="1" a="1"/>
  <c r="B4148" i="1" s="1"/>
  <c r="D4147" i="1"/>
  <c r="B4147" i="1" a="1"/>
  <c r="B4147" i="1" s="1"/>
  <c r="D4146" i="1"/>
  <c r="B4146" i="1" a="1"/>
  <c r="B4146" i="1" s="1"/>
  <c r="D4145" i="1"/>
  <c r="B4145" i="1" a="1"/>
  <c r="B4145" i="1" s="1"/>
  <c r="D4144" i="1"/>
  <c r="B4144" i="1" a="1"/>
  <c r="B4144" i="1" s="1"/>
  <c r="D4143" i="1"/>
  <c r="B4143" i="1" a="1"/>
  <c r="B4143" i="1" s="1"/>
  <c r="D4142" i="1"/>
  <c r="B4142" i="1" a="1"/>
  <c r="B4142" i="1" s="1"/>
  <c r="D4141" i="1"/>
  <c r="B4141" i="1" a="1"/>
  <c r="B4141" i="1" s="1"/>
  <c r="D4140" i="1"/>
  <c r="B4140" i="1" a="1"/>
  <c r="B4140" i="1" s="1"/>
  <c r="D4139" i="1"/>
  <c r="B4139" i="1" a="1"/>
  <c r="B4139" i="1" s="1"/>
  <c r="D4138" i="1"/>
  <c r="B4138" i="1" a="1"/>
  <c r="B4138" i="1" s="1"/>
  <c r="D4137" i="1"/>
  <c r="B4137" i="1" a="1"/>
  <c r="B4137" i="1" s="1"/>
  <c r="D4136" i="1"/>
  <c r="B4136" i="1" a="1"/>
  <c r="B4136" i="1" s="1"/>
  <c r="D4135" i="1"/>
  <c r="B4135" i="1" a="1"/>
  <c r="B4135" i="1" s="1"/>
  <c r="D4134" i="1"/>
  <c r="B4134" i="1" a="1"/>
  <c r="B4134" i="1" s="1"/>
  <c r="D4133" i="1"/>
  <c r="B4133" i="1" a="1"/>
  <c r="B4133" i="1" s="1"/>
  <c r="D4132" i="1"/>
  <c r="B4132" i="1" a="1"/>
  <c r="B4132" i="1" s="1"/>
  <c r="D4131" i="1"/>
  <c r="B4131" i="1" a="1"/>
  <c r="B4131" i="1" s="1"/>
  <c r="D4130" i="1"/>
  <c r="B4130" i="1" a="1"/>
  <c r="B4130" i="1" s="1"/>
  <c r="D4129" i="1"/>
  <c r="B4129" i="1" a="1"/>
  <c r="B4129" i="1" s="1"/>
  <c r="D4128" i="1"/>
  <c r="B4128" i="1" a="1"/>
  <c r="B4128" i="1" s="1"/>
  <c r="D4127" i="1"/>
  <c r="B4127" i="1" a="1"/>
  <c r="B4127" i="1" s="1"/>
  <c r="D4126" i="1"/>
  <c r="B4126" i="1" a="1"/>
  <c r="B4126" i="1" s="1"/>
  <c r="D4125" i="1"/>
  <c r="B4125" i="1" a="1"/>
  <c r="B4125" i="1" s="1"/>
  <c r="D4124" i="1"/>
  <c r="B4124" i="1" a="1"/>
  <c r="B4124" i="1" s="1"/>
  <c r="D4123" i="1"/>
  <c r="B4123" i="1" a="1"/>
  <c r="B4123" i="1" s="1"/>
  <c r="D4122" i="1"/>
  <c r="B4122" i="1" a="1"/>
  <c r="B4122" i="1" s="1"/>
  <c r="D4121" i="1"/>
  <c r="B4121" i="1" a="1"/>
  <c r="B4121" i="1" s="1"/>
  <c r="D4120" i="1"/>
  <c r="B4120" i="1" a="1"/>
  <c r="B4120" i="1" s="1"/>
  <c r="D4119" i="1"/>
  <c r="B4119" i="1" a="1"/>
  <c r="B4119" i="1" s="1"/>
  <c r="D4118" i="1"/>
  <c r="B4118" i="1" a="1"/>
  <c r="B4118" i="1" s="1"/>
  <c r="D4117" i="1"/>
  <c r="B4117" i="1" a="1"/>
  <c r="B4117" i="1" s="1"/>
  <c r="D4116" i="1"/>
  <c r="B4116" i="1" a="1"/>
  <c r="B4116" i="1" s="1"/>
  <c r="D4115" i="1"/>
  <c r="B4115" i="1" a="1"/>
  <c r="B4115" i="1" s="1"/>
  <c r="D4114" i="1"/>
  <c r="B4114" i="1" a="1"/>
  <c r="B4114" i="1" s="1"/>
  <c r="D4113" i="1"/>
  <c r="B4113" i="1" a="1"/>
  <c r="B4113" i="1" s="1"/>
  <c r="D4112" i="1"/>
  <c r="B4112" i="1" a="1"/>
  <c r="B4112" i="1" s="1"/>
  <c r="D4111" i="1"/>
  <c r="B4111" i="1" a="1"/>
  <c r="B4111" i="1" s="1"/>
  <c r="D4110" i="1"/>
  <c r="B4110" i="1" a="1"/>
  <c r="B4110" i="1" s="1"/>
  <c r="D4109" i="1"/>
  <c r="B4109" i="1" a="1"/>
  <c r="B4109" i="1" s="1"/>
  <c r="D4108" i="1"/>
  <c r="B4108" i="1" a="1"/>
  <c r="B4108" i="1" s="1"/>
  <c r="D4107" i="1"/>
  <c r="B4107" i="1" a="1"/>
  <c r="B4107" i="1" s="1"/>
  <c r="D4106" i="1"/>
  <c r="B4106" i="1" a="1"/>
  <c r="B4106" i="1" s="1"/>
  <c r="D4105" i="1"/>
  <c r="B4105" i="1" a="1"/>
  <c r="B4105" i="1" s="1"/>
  <c r="D4104" i="1"/>
  <c r="B4104" i="1" a="1"/>
  <c r="B4104" i="1" s="1"/>
  <c r="D4103" i="1"/>
  <c r="B4103" i="1" a="1"/>
  <c r="B4103" i="1" s="1"/>
  <c r="D4102" i="1"/>
  <c r="B4102" i="1" a="1"/>
  <c r="B4102" i="1" s="1"/>
  <c r="D4101" i="1"/>
  <c r="B4101" i="1" a="1"/>
  <c r="B4101" i="1" s="1"/>
  <c r="D4100" i="1"/>
  <c r="B4100" i="1" a="1"/>
  <c r="B4100" i="1" s="1"/>
  <c r="D4099" i="1"/>
  <c r="B4099" i="1" a="1"/>
  <c r="B4099" i="1" s="1"/>
  <c r="D4098" i="1"/>
  <c r="B4098" i="1" a="1"/>
  <c r="B4098" i="1" s="1"/>
  <c r="D4097" i="1"/>
  <c r="B4097" i="1" a="1"/>
  <c r="B4097" i="1" s="1"/>
  <c r="D4096" i="1"/>
  <c r="B4096" i="1" a="1"/>
  <c r="B4096" i="1" s="1"/>
  <c r="D4095" i="1"/>
  <c r="B4095" i="1" a="1"/>
  <c r="B4095" i="1" s="1"/>
  <c r="D4094" i="1"/>
  <c r="B4094" i="1" a="1"/>
  <c r="B4094" i="1" s="1"/>
  <c r="D4093" i="1"/>
  <c r="B4093" i="1" a="1"/>
  <c r="B4093" i="1" s="1"/>
  <c r="D4092" i="1"/>
  <c r="B4092" i="1" a="1"/>
  <c r="B4092" i="1" s="1"/>
  <c r="D4091" i="1"/>
  <c r="B4091" i="1" a="1"/>
  <c r="B4091" i="1" s="1"/>
  <c r="D4090" i="1"/>
  <c r="B4090" i="1" a="1"/>
  <c r="B4090" i="1" s="1"/>
  <c r="D4089" i="1"/>
  <c r="B4089" i="1" a="1"/>
  <c r="B4089" i="1" s="1"/>
  <c r="D4088" i="1"/>
  <c r="B4088" i="1" a="1"/>
  <c r="B4088" i="1" s="1"/>
  <c r="D4087" i="1"/>
  <c r="B4087" i="1" a="1"/>
  <c r="B4087" i="1" s="1"/>
  <c r="D4086" i="1"/>
  <c r="B4086" i="1" a="1"/>
  <c r="B4086" i="1" s="1"/>
  <c r="D4085" i="1"/>
  <c r="B4085" i="1" a="1"/>
  <c r="B4085" i="1" s="1"/>
  <c r="D4084" i="1"/>
  <c r="B4084" i="1" a="1"/>
  <c r="B4084" i="1" s="1"/>
  <c r="D4083" i="1"/>
  <c r="B4083" i="1" a="1"/>
  <c r="B4083" i="1" s="1"/>
  <c r="D4082" i="1"/>
  <c r="B4082" i="1" a="1"/>
  <c r="B4082" i="1" s="1"/>
  <c r="D4081" i="1"/>
  <c r="B4081" i="1" a="1"/>
  <c r="B4081" i="1" s="1"/>
  <c r="D4080" i="1"/>
  <c r="B4080" i="1" a="1"/>
  <c r="B4080" i="1" s="1"/>
  <c r="D4079" i="1"/>
  <c r="B4079" i="1" a="1"/>
  <c r="B4079" i="1" s="1"/>
  <c r="D4078" i="1"/>
  <c r="B4078" i="1" a="1"/>
  <c r="B4078" i="1" s="1"/>
  <c r="D4077" i="1"/>
  <c r="B4077" i="1" a="1"/>
  <c r="B4077" i="1" s="1"/>
  <c r="D4076" i="1"/>
  <c r="B4076" i="1" a="1"/>
  <c r="B4076" i="1" s="1"/>
  <c r="D4075" i="1"/>
  <c r="B4075" i="1" a="1"/>
  <c r="B4075" i="1" s="1"/>
  <c r="D4074" i="1"/>
  <c r="B4074" i="1" a="1"/>
  <c r="B4074" i="1" s="1"/>
  <c r="D4073" i="1"/>
  <c r="B4073" i="1" a="1"/>
  <c r="B4073" i="1" s="1"/>
  <c r="D4072" i="1"/>
  <c r="B4072" i="1" a="1"/>
  <c r="B4072" i="1" s="1"/>
  <c r="D4071" i="1"/>
  <c r="B4071" i="1" a="1"/>
  <c r="B4071" i="1" s="1"/>
  <c r="D4070" i="1"/>
  <c r="B4070" i="1" a="1"/>
  <c r="B4070" i="1" s="1"/>
  <c r="D4069" i="1"/>
  <c r="B4069" i="1" a="1"/>
  <c r="B4069" i="1" s="1"/>
  <c r="D4068" i="1"/>
  <c r="B4068" i="1" a="1"/>
  <c r="B4068" i="1" s="1"/>
  <c r="D4067" i="1"/>
  <c r="B4067" i="1" a="1"/>
  <c r="B4067" i="1" s="1"/>
  <c r="D4066" i="1"/>
  <c r="B4066" i="1" a="1"/>
  <c r="B4066" i="1" s="1"/>
  <c r="D4065" i="1"/>
  <c r="B4065" i="1" a="1"/>
  <c r="B4065" i="1" s="1"/>
  <c r="D4064" i="1"/>
  <c r="B4064" i="1" a="1"/>
  <c r="B4064" i="1" s="1"/>
  <c r="D4063" i="1"/>
  <c r="B4063" i="1" a="1"/>
  <c r="B4063" i="1" s="1"/>
  <c r="D4062" i="1"/>
  <c r="B4062" i="1" a="1"/>
  <c r="B4062" i="1" s="1"/>
  <c r="D4061" i="1"/>
  <c r="B4061" i="1" a="1"/>
  <c r="B4061" i="1" s="1"/>
  <c r="D4060" i="1"/>
  <c r="B4060" i="1" a="1"/>
  <c r="B4060" i="1" s="1"/>
  <c r="D4059" i="1"/>
  <c r="B4059" i="1" a="1"/>
  <c r="B4059" i="1" s="1"/>
  <c r="D4058" i="1"/>
  <c r="B4058" i="1" a="1"/>
  <c r="B4058" i="1" s="1"/>
  <c r="D4057" i="1"/>
  <c r="B4057" i="1" a="1"/>
  <c r="B4057" i="1" s="1"/>
  <c r="D4056" i="1"/>
  <c r="B4056" i="1" a="1"/>
  <c r="B4056" i="1" s="1"/>
  <c r="D4055" i="1"/>
  <c r="B4055" i="1" a="1"/>
  <c r="B4055" i="1" s="1"/>
  <c r="D4054" i="1"/>
  <c r="B4054" i="1" a="1"/>
  <c r="B4054" i="1" s="1"/>
  <c r="D4053" i="1"/>
  <c r="B4053" i="1" a="1"/>
  <c r="B4053" i="1" s="1"/>
  <c r="D4052" i="1"/>
  <c r="B4052" i="1" a="1"/>
  <c r="B4052" i="1" s="1"/>
  <c r="D4051" i="1"/>
  <c r="B4051" i="1" a="1"/>
  <c r="B4051" i="1" s="1"/>
  <c r="D4050" i="1"/>
  <c r="B4050" i="1" a="1"/>
  <c r="B4050" i="1" s="1"/>
  <c r="D4049" i="1"/>
  <c r="B4049" i="1" a="1"/>
  <c r="B4049" i="1" s="1"/>
  <c r="D4048" i="1"/>
  <c r="B4048" i="1" a="1"/>
  <c r="B4048" i="1" s="1"/>
  <c r="D4047" i="1"/>
  <c r="B4047" i="1" a="1"/>
  <c r="B4047" i="1" s="1"/>
  <c r="D4046" i="1"/>
  <c r="B4046" i="1" a="1"/>
  <c r="B4046" i="1" s="1"/>
  <c r="D4045" i="1"/>
  <c r="B4045" i="1" a="1"/>
  <c r="B4045" i="1" s="1"/>
  <c r="D4044" i="1"/>
  <c r="B4044" i="1" a="1"/>
  <c r="B4044" i="1" s="1"/>
  <c r="D4043" i="1"/>
  <c r="B4043" i="1" a="1"/>
  <c r="B4043" i="1" s="1"/>
  <c r="D4042" i="1"/>
  <c r="B4042" i="1" a="1"/>
  <c r="B4042" i="1" s="1"/>
  <c r="D4041" i="1"/>
  <c r="B4041" i="1" a="1"/>
  <c r="B4041" i="1" s="1"/>
  <c r="D4040" i="1"/>
  <c r="B4040" i="1" a="1"/>
  <c r="B4040" i="1" s="1"/>
  <c r="D4039" i="1"/>
  <c r="B4039" i="1" a="1"/>
  <c r="B4039" i="1" s="1"/>
  <c r="D4038" i="1"/>
  <c r="B4038" i="1" a="1"/>
  <c r="B4038" i="1" s="1"/>
  <c r="D4037" i="1"/>
  <c r="B4037" i="1" a="1"/>
  <c r="B4037" i="1" s="1"/>
  <c r="D4036" i="1"/>
  <c r="B4036" i="1" a="1"/>
  <c r="B4036" i="1" s="1"/>
  <c r="D4035" i="1"/>
  <c r="B4035" i="1" a="1"/>
  <c r="B4035" i="1" s="1"/>
  <c r="D4034" i="1"/>
  <c r="B4034" i="1" a="1"/>
  <c r="B4034" i="1" s="1"/>
  <c r="D4033" i="1"/>
  <c r="B4033" i="1" a="1"/>
  <c r="B4033" i="1" s="1"/>
  <c r="D4032" i="1"/>
  <c r="B4032" i="1" a="1"/>
  <c r="B4032" i="1" s="1"/>
  <c r="D4031" i="1"/>
  <c r="B4031" i="1" a="1"/>
  <c r="B4031" i="1" s="1"/>
  <c r="D4030" i="1"/>
  <c r="B4030" i="1" a="1"/>
  <c r="B4030" i="1" s="1"/>
  <c r="D4029" i="1"/>
  <c r="B4029" i="1" a="1"/>
  <c r="B4029" i="1" s="1"/>
  <c r="D4028" i="1"/>
  <c r="B4028" i="1" a="1"/>
  <c r="B4028" i="1" s="1"/>
  <c r="D4027" i="1"/>
  <c r="B4027" i="1" a="1"/>
  <c r="B4027" i="1" s="1"/>
  <c r="D4026" i="1"/>
  <c r="B4026" i="1" a="1"/>
  <c r="B4026" i="1" s="1"/>
  <c r="D4025" i="1"/>
  <c r="B4025" i="1" a="1"/>
  <c r="B4025" i="1" s="1"/>
  <c r="D4024" i="1"/>
  <c r="B4024" i="1" a="1"/>
  <c r="B4024" i="1" s="1"/>
  <c r="D4023" i="1"/>
  <c r="B4023" i="1" a="1"/>
  <c r="B4023" i="1" s="1"/>
  <c r="D4022" i="1"/>
  <c r="B4022" i="1" a="1"/>
  <c r="B4022" i="1" s="1"/>
  <c r="D4021" i="1"/>
  <c r="B4021" i="1" a="1"/>
  <c r="B4021" i="1" s="1"/>
  <c r="D4020" i="1"/>
  <c r="B4020" i="1" a="1"/>
  <c r="B4020" i="1" s="1"/>
  <c r="D4019" i="1"/>
  <c r="B4019" i="1" a="1"/>
  <c r="B4019" i="1" s="1"/>
  <c r="D4018" i="1"/>
  <c r="B4018" i="1" a="1"/>
  <c r="B4018" i="1" s="1"/>
  <c r="D4017" i="1"/>
  <c r="B4017" i="1" a="1"/>
  <c r="B4017" i="1" s="1"/>
  <c r="D4016" i="1"/>
  <c r="B4016" i="1" a="1"/>
  <c r="B4016" i="1" s="1"/>
  <c r="D4015" i="1"/>
  <c r="B4015" i="1" a="1"/>
  <c r="B4015" i="1" s="1"/>
  <c r="D4014" i="1"/>
  <c r="B4014" i="1" a="1"/>
  <c r="B4014" i="1" s="1"/>
  <c r="D4013" i="1"/>
  <c r="B4013" i="1" a="1"/>
  <c r="B4013" i="1" s="1"/>
  <c r="D4012" i="1"/>
  <c r="B4012" i="1" a="1"/>
  <c r="B4012" i="1" s="1"/>
  <c r="D4011" i="1"/>
  <c r="B4011" i="1" a="1"/>
  <c r="B4011" i="1" s="1"/>
  <c r="D4010" i="1"/>
  <c r="B4010" i="1" a="1"/>
  <c r="B4010" i="1" s="1"/>
  <c r="D4009" i="1"/>
  <c r="B4009" i="1" a="1"/>
  <c r="B4009" i="1" s="1"/>
  <c r="D4008" i="1"/>
  <c r="B4008" i="1" a="1"/>
  <c r="B4008" i="1" s="1"/>
  <c r="D4007" i="1"/>
  <c r="B4007" i="1" a="1"/>
  <c r="B4007" i="1" s="1"/>
  <c r="D4006" i="1"/>
  <c r="B4006" i="1" a="1"/>
  <c r="B4006" i="1" s="1"/>
  <c r="D4005" i="1"/>
  <c r="B4005" i="1" a="1"/>
  <c r="B4005" i="1" s="1"/>
  <c r="D4004" i="1"/>
  <c r="B4004" i="1" a="1"/>
  <c r="B4004" i="1" s="1"/>
  <c r="D4003" i="1"/>
  <c r="B4003" i="1" a="1"/>
  <c r="B4003" i="1" s="1"/>
  <c r="D4002" i="1"/>
  <c r="B4002" i="1" a="1"/>
  <c r="B4002" i="1" s="1"/>
  <c r="D4001" i="1"/>
  <c r="B4001" i="1" a="1"/>
  <c r="B4001" i="1" s="1"/>
  <c r="D4000" i="1"/>
  <c r="B4000" i="1" a="1"/>
  <c r="B4000" i="1" s="1"/>
  <c r="D3999" i="1"/>
  <c r="B3999" i="1" a="1"/>
  <c r="B3999" i="1" s="1"/>
  <c r="D3998" i="1"/>
  <c r="B3998" i="1" a="1"/>
  <c r="B3998" i="1" s="1"/>
  <c r="D3997" i="1"/>
  <c r="B3997" i="1" a="1"/>
  <c r="B3997" i="1" s="1"/>
  <c r="D3996" i="1"/>
  <c r="B3996" i="1" a="1"/>
  <c r="B3996" i="1" s="1"/>
  <c r="D3995" i="1"/>
  <c r="B3995" i="1" a="1"/>
  <c r="B3995" i="1" s="1"/>
  <c r="D3994" i="1"/>
  <c r="B3994" i="1" a="1"/>
  <c r="B3994" i="1" s="1"/>
  <c r="D3993" i="1"/>
  <c r="B3993" i="1" a="1"/>
  <c r="B3993" i="1" s="1"/>
  <c r="D3992" i="1"/>
  <c r="B3992" i="1" a="1"/>
  <c r="B3992" i="1" s="1"/>
  <c r="D3991" i="1"/>
  <c r="B3991" i="1" a="1"/>
  <c r="B3991" i="1" s="1"/>
  <c r="D3990" i="1"/>
  <c r="B3990" i="1" a="1"/>
  <c r="B3990" i="1" s="1"/>
  <c r="D3989" i="1"/>
  <c r="B3989" i="1" a="1"/>
  <c r="B3989" i="1" s="1"/>
  <c r="D3988" i="1"/>
  <c r="B3988" i="1" a="1"/>
  <c r="B3988" i="1" s="1"/>
  <c r="D3987" i="1"/>
  <c r="B3987" i="1" a="1"/>
  <c r="B3987" i="1" s="1"/>
  <c r="D3986" i="1"/>
  <c r="B3986" i="1" a="1"/>
  <c r="B3986" i="1" s="1"/>
  <c r="D3985" i="1"/>
  <c r="B3985" i="1" a="1"/>
  <c r="B3985" i="1" s="1"/>
  <c r="D3984" i="1"/>
  <c r="B3984" i="1" a="1"/>
  <c r="B3984" i="1" s="1"/>
  <c r="D3983" i="1"/>
  <c r="B3983" i="1" a="1"/>
  <c r="B3983" i="1" s="1"/>
  <c r="D3982" i="1"/>
  <c r="B3982" i="1" a="1"/>
  <c r="B3982" i="1" s="1"/>
  <c r="D3981" i="1"/>
  <c r="B3981" i="1" a="1"/>
  <c r="B3981" i="1" s="1"/>
  <c r="D3980" i="1"/>
  <c r="B3980" i="1" a="1"/>
  <c r="B3980" i="1" s="1"/>
  <c r="D3979" i="1"/>
  <c r="B3979" i="1" a="1"/>
  <c r="B3979" i="1" s="1"/>
  <c r="D3978" i="1"/>
  <c r="B3978" i="1" a="1"/>
  <c r="B3978" i="1" s="1"/>
  <c r="D3977" i="1"/>
  <c r="B3977" i="1" a="1"/>
  <c r="B3977" i="1" s="1"/>
  <c r="D3976" i="1"/>
  <c r="B3976" i="1" a="1"/>
  <c r="B3976" i="1" s="1"/>
  <c r="D3975" i="1"/>
  <c r="B3975" i="1" a="1"/>
  <c r="B3975" i="1" s="1"/>
  <c r="D3974" i="1"/>
  <c r="B3974" i="1" a="1"/>
  <c r="B3974" i="1" s="1"/>
  <c r="D3973" i="1"/>
  <c r="B3973" i="1" a="1"/>
  <c r="B3973" i="1" s="1"/>
  <c r="D3972" i="1"/>
  <c r="B3972" i="1" a="1"/>
  <c r="B3972" i="1" s="1"/>
  <c r="D3971" i="1"/>
  <c r="B3971" i="1" a="1"/>
  <c r="B3971" i="1" s="1"/>
  <c r="D3970" i="1"/>
  <c r="B3970" i="1" a="1"/>
  <c r="B3970" i="1" s="1"/>
  <c r="D3969" i="1"/>
  <c r="B3969" i="1" a="1"/>
  <c r="B3969" i="1" s="1"/>
  <c r="D3968" i="1"/>
  <c r="B3968" i="1" a="1"/>
  <c r="B3968" i="1" s="1"/>
  <c r="D3967" i="1"/>
  <c r="B3967" i="1" a="1"/>
  <c r="B3967" i="1" s="1"/>
  <c r="D3966" i="1"/>
  <c r="B3966" i="1" a="1"/>
  <c r="B3966" i="1" s="1"/>
  <c r="D3965" i="1"/>
  <c r="B3965" i="1" a="1"/>
  <c r="B3965" i="1" s="1"/>
  <c r="D3964" i="1"/>
  <c r="B3964" i="1" a="1"/>
  <c r="B3964" i="1" s="1"/>
  <c r="D3963" i="1"/>
  <c r="B3963" i="1" a="1"/>
  <c r="B3963" i="1" s="1"/>
  <c r="D3962" i="1"/>
  <c r="B3962" i="1" a="1"/>
  <c r="B3962" i="1" s="1"/>
  <c r="D3961" i="1"/>
  <c r="B3961" i="1" a="1"/>
  <c r="B3961" i="1" s="1"/>
  <c r="D3960" i="1"/>
  <c r="B3960" i="1" a="1"/>
  <c r="B3960" i="1" s="1"/>
  <c r="D3959" i="1"/>
  <c r="B3959" i="1" a="1"/>
  <c r="B3959" i="1" s="1"/>
  <c r="D3958" i="1"/>
  <c r="B3958" i="1" a="1"/>
  <c r="B3958" i="1" s="1"/>
  <c r="D3957" i="1"/>
  <c r="B3957" i="1" a="1"/>
  <c r="B3957" i="1" s="1"/>
  <c r="D3956" i="1"/>
  <c r="B3956" i="1" a="1"/>
  <c r="B3956" i="1" s="1"/>
  <c r="D3955" i="1"/>
  <c r="B3955" i="1" a="1"/>
  <c r="B3955" i="1" s="1"/>
  <c r="D3954" i="1"/>
  <c r="B3954" i="1" a="1"/>
  <c r="B3954" i="1" s="1"/>
  <c r="D3953" i="1"/>
  <c r="B3953" i="1" a="1"/>
  <c r="B3953" i="1" s="1"/>
  <c r="D3952" i="1"/>
  <c r="B3952" i="1" a="1"/>
  <c r="B3952" i="1" s="1"/>
  <c r="D3951" i="1"/>
  <c r="B3951" i="1" a="1"/>
  <c r="B3951" i="1" s="1"/>
  <c r="D3950" i="1"/>
  <c r="B3950" i="1" a="1"/>
  <c r="B3950" i="1" s="1"/>
  <c r="D3949" i="1"/>
  <c r="B3949" i="1" a="1"/>
  <c r="B3949" i="1" s="1"/>
  <c r="D3948" i="1"/>
  <c r="B3948" i="1" a="1"/>
  <c r="B3948" i="1" s="1"/>
  <c r="D3947" i="1"/>
  <c r="B3947" i="1" a="1"/>
  <c r="B3947" i="1" s="1"/>
  <c r="D3946" i="1"/>
  <c r="B3946" i="1" a="1"/>
  <c r="B3946" i="1" s="1"/>
  <c r="D3945" i="1"/>
  <c r="B3945" i="1" a="1"/>
  <c r="B3945" i="1" s="1"/>
  <c r="D3944" i="1"/>
  <c r="B3944" i="1" a="1"/>
  <c r="B3944" i="1" s="1"/>
  <c r="D3943" i="1"/>
  <c r="B3943" i="1" a="1"/>
  <c r="B3943" i="1" s="1"/>
  <c r="D3942" i="1"/>
  <c r="B3942" i="1" a="1"/>
  <c r="B3942" i="1" s="1"/>
  <c r="D3941" i="1"/>
  <c r="B3941" i="1" a="1"/>
  <c r="B3941" i="1" s="1"/>
  <c r="D3940" i="1"/>
  <c r="B3940" i="1" a="1"/>
  <c r="B3940" i="1" s="1"/>
  <c r="D3939" i="1"/>
  <c r="B3939" i="1" a="1"/>
  <c r="B3939" i="1" s="1"/>
  <c r="D3938" i="1"/>
  <c r="B3938" i="1" a="1"/>
  <c r="B3938" i="1" s="1"/>
  <c r="D3937" i="1"/>
  <c r="B3937" i="1" a="1"/>
  <c r="B3937" i="1" s="1"/>
  <c r="D3936" i="1"/>
  <c r="B3936" i="1" a="1"/>
  <c r="B3936" i="1" s="1"/>
  <c r="D3935" i="1"/>
  <c r="B3935" i="1" a="1"/>
  <c r="B3935" i="1" s="1"/>
  <c r="D3934" i="1"/>
  <c r="B3934" i="1" a="1"/>
  <c r="B3934" i="1" s="1"/>
  <c r="D3933" i="1"/>
  <c r="B3933" i="1" a="1"/>
  <c r="B3933" i="1" s="1"/>
  <c r="D3932" i="1"/>
  <c r="B3932" i="1" a="1"/>
  <c r="B3932" i="1" s="1"/>
  <c r="D3931" i="1"/>
  <c r="B3931" i="1" a="1"/>
  <c r="B3931" i="1" s="1"/>
  <c r="D3930" i="1"/>
  <c r="B3930" i="1" a="1"/>
  <c r="B3930" i="1" s="1"/>
  <c r="D3929" i="1"/>
  <c r="B3929" i="1" a="1"/>
  <c r="B3929" i="1" s="1"/>
  <c r="D3928" i="1"/>
  <c r="B3928" i="1" a="1"/>
  <c r="B3928" i="1" s="1"/>
  <c r="D3927" i="1"/>
  <c r="B3927" i="1" a="1"/>
  <c r="B3927" i="1" s="1"/>
  <c r="D3926" i="1"/>
  <c r="B3926" i="1" a="1"/>
  <c r="B3926" i="1" s="1"/>
  <c r="D3925" i="1"/>
  <c r="B3925" i="1" a="1"/>
  <c r="B3925" i="1" s="1"/>
  <c r="D3924" i="1"/>
  <c r="B3924" i="1" a="1"/>
  <c r="B3924" i="1" s="1"/>
  <c r="D3923" i="1"/>
  <c r="B3923" i="1" a="1"/>
  <c r="B3923" i="1" s="1"/>
  <c r="D3922" i="1"/>
  <c r="B3922" i="1" a="1"/>
  <c r="B3922" i="1" s="1"/>
  <c r="D3921" i="1"/>
  <c r="B3921" i="1" a="1"/>
  <c r="B3921" i="1" s="1"/>
  <c r="D3920" i="1"/>
  <c r="B3920" i="1" a="1"/>
  <c r="B3920" i="1" s="1"/>
  <c r="D3919" i="1"/>
  <c r="B3919" i="1" a="1"/>
  <c r="B3919" i="1" s="1"/>
  <c r="D3918" i="1"/>
  <c r="B3918" i="1" a="1"/>
  <c r="B3918" i="1" s="1"/>
  <c r="D3917" i="1"/>
  <c r="B3917" i="1" a="1"/>
  <c r="B3917" i="1" s="1"/>
  <c r="D3916" i="1"/>
  <c r="B3916" i="1" a="1"/>
  <c r="B3916" i="1" s="1"/>
  <c r="D3915" i="1"/>
  <c r="B3915" i="1" a="1"/>
  <c r="B3915" i="1" s="1"/>
  <c r="D3914" i="1"/>
  <c r="B3914" i="1" a="1"/>
  <c r="B3914" i="1" s="1"/>
  <c r="D3913" i="1"/>
  <c r="B3913" i="1" a="1"/>
  <c r="B3913" i="1" s="1"/>
  <c r="D3912" i="1"/>
  <c r="B3912" i="1" a="1"/>
  <c r="B3912" i="1" s="1"/>
  <c r="D3911" i="1"/>
  <c r="B3911" i="1" a="1"/>
  <c r="B3911" i="1" s="1"/>
  <c r="D3910" i="1"/>
  <c r="B3910" i="1" a="1"/>
  <c r="B3910" i="1" s="1"/>
  <c r="D3909" i="1"/>
  <c r="B3909" i="1" a="1"/>
  <c r="B3909" i="1" s="1"/>
  <c r="D3908" i="1"/>
  <c r="B3908" i="1" a="1"/>
  <c r="B3908" i="1" s="1"/>
  <c r="D3907" i="1"/>
  <c r="B3907" i="1" a="1"/>
  <c r="B3907" i="1" s="1"/>
  <c r="D3906" i="1"/>
  <c r="B3906" i="1" a="1"/>
  <c r="B3906" i="1" s="1"/>
  <c r="D3905" i="1"/>
  <c r="B3905" i="1" a="1"/>
  <c r="B3905" i="1" s="1"/>
  <c r="D3904" i="1"/>
  <c r="B3904" i="1" a="1"/>
  <c r="B3904" i="1" s="1"/>
  <c r="D3903" i="1"/>
  <c r="B3903" i="1" a="1"/>
  <c r="B3903" i="1" s="1"/>
  <c r="D3902" i="1"/>
  <c r="B3902" i="1" a="1"/>
  <c r="B3902" i="1" s="1"/>
  <c r="D3901" i="1"/>
  <c r="B3901" i="1" a="1"/>
  <c r="B3901" i="1" s="1"/>
  <c r="D3900" i="1"/>
  <c r="B3900" i="1" a="1"/>
  <c r="B3900" i="1" s="1"/>
  <c r="D3899" i="1"/>
  <c r="B3899" i="1" a="1"/>
  <c r="B3899" i="1" s="1"/>
  <c r="D3898" i="1"/>
  <c r="B3898" i="1" a="1"/>
  <c r="B3898" i="1" s="1"/>
  <c r="D3897" i="1"/>
  <c r="B3897" i="1" a="1"/>
  <c r="B3897" i="1" s="1"/>
  <c r="D3896" i="1"/>
  <c r="B3896" i="1" a="1"/>
  <c r="B3896" i="1" s="1"/>
  <c r="D3895" i="1"/>
  <c r="B3895" i="1" a="1"/>
  <c r="B3895" i="1" s="1"/>
  <c r="D3894" i="1"/>
  <c r="B3894" i="1" a="1"/>
  <c r="B3894" i="1" s="1"/>
  <c r="D3893" i="1"/>
  <c r="B3893" i="1" a="1"/>
  <c r="B3893" i="1" s="1"/>
  <c r="D3892" i="1"/>
  <c r="B3892" i="1" a="1"/>
  <c r="B3892" i="1" s="1"/>
  <c r="D3891" i="1"/>
  <c r="B3891" i="1" a="1"/>
  <c r="B3891" i="1" s="1"/>
  <c r="D3890" i="1"/>
  <c r="B3890" i="1" a="1"/>
  <c r="B3890" i="1" s="1"/>
  <c r="D3889" i="1"/>
  <c r="B3889" i="1" a="1"/>
  <c r="B3889" i="1" s="1"/>
  <c r="D3888" i="1"/>
  <c r="B3888" i="1" a="1"/>
  <c r="B3888" i="1" s="1"/>
  <c r="D3887" i="1"/>
  <c r="B3887" i="1" a="1"/>
  <c r="B3887" i="1" s="1"/>
  <c r="D3886" i="1"/>
  <c r="B3886" i="1" a="1"/>
  <c r="B3886" i="1" s="1"/>
  <c r="D3885" i="1"/>
  <c r="B3885" i="1" a="1"/>
  <c r="B3885" i="1" s="1"/>
  <c r="D3884" i="1"/>
  <c r="B3884" i="1" a="1"/>
  <c r="B3884" i="1" s="1"/>
  <c r="D3883" i="1"/>
  <c r="B3883" i="1" a="1"/>
  <c r="B3883" i="1" s="1"/>
  <c r="D3882" i="1"/>
  <c r="B3882" i="1" a="1"/>
  <c r="B3882" i="1" s="1"/>
  <c r="D3881" i="1"/>
  <c r="B3881" i="1" a="1"/>
  <c r="B3881" i="1" s="1"/>
  <c r="D3880" i="1"/>
  <c r="B3880" i="1" a="1"/>
  <c r="B3880" i="1" s="1"/>
  <c r="D3879" i="1"/>
  <c r="B3879" i="1" a="1"/>
  <c r="B3879" i="1" s="1"/>
  <c r="D3878" i="1"/>
  <c r="B3878" i="1" a="1"/>
  <c r="B3878" i="1" s="1"/>
  <c r="D3877" i="1"/>
  <c r="B3877" i="1" a="1"/>
  <c r="B3877" i="1" s="1"/>
  <c r="D3876" i="1"/>
  <c r="B3876" i="1" a="1"/>
  <c r="B3876" i="1" s="1"/>
  <c r="D3875" i="1"/>
  <c r="B3875" i="1" a="1"/>
  <c r="B3875" i="1" s="1"/>
  <c r="D3874" i="1"/>
  <c r="B3874" i="1" a="1"/>
  <c r="B3874" i="1" s="1"/>
  <c r="D3873" i="1"/>
  <c r="B3873" i="1" a="1"/>
  <c r="B3873" i="1" s="1"/>
  <c r="D3872" i="1"/>
  <c r="B3872" i="1" a="1"/>
  <c r="B3872" i="1" s="1"/>
  <c r="D3871" i="1"/>
  <c r="B3871" i="1" a="1"/>
  <c r="B3871" i="1" s="1"/>
  <c r="D3870" i="1"/>
  <c r="B3870" i="1" a="1"/>
  <c r="B3870" i="1" s="1"/>
  <c r="D3869" i="1"/>
  <c r="B3869" i="1" a="1"/>
  <c r="B3869" i="1" s="1"/>
  <c r="D3868" i="1"/>
  <c r="B3868" i="1" a="1"/>
  <c r="B3868" i="1" s="1"/>
  <c r="D3867" i="1"/>
  <c r="B3867" i="1" a="1"/>
  <c r="B3867" i="1" s="1"/>
  <c r="D3866" i="1"/>
  <c r="B3866" i="1" a="1"/>
  <c r="B3866" i="1" s="1"/>
  <c r="D3865" i="1"/>
  <c r="B3865" i="1" a="1"/>
  <c r="B3865" i="1" s="1"/>
  <c r="D3864" i="1"/>
  <c r="B3864" i="1" a="1"/>
  <c r="B3864" i="1" s="1"/>
  <c r="D3863" i="1"/>
  <c r="B3863" i="1" a="1"/>
  <c r="B3863" i="1" s="1"/>
  <c r="D3862" i="1"/>
  <c r="B3862" i="1" a="1"/>
  <c r="B3862" i="1" s="1"/>
  <c r="D3861" i="1"/>
  <c r="B3861" i="1" a="1"/>
  <c r="B3861" i="1" s="1"/>
  <c r="D3860" i="1"/>
  <c r="B3860" i="1" a="1"/>
  <c r="B3860" i="1" s="1"/>
  <c r="D3859" i="1"/>
  <c r="B3859" i="1" a="1"/>
  <c r="B3859" i="1" s="1"/>
  <c r="D3858" i="1"/>
  <c r="B3858" i="1" a="1"/>
  <c r="B3858" i="1" s="1"/>
  <c r="D3857" i="1"/>
  <c r="B3857" i="1" a="1"/>
  <c r="B3857" i="1" s="1"/>
  <c r="D3856" i="1"/>
  <c r="B3856" i="1" a="1"/>
  <c r="B3856" i="1" s="1"/>
  <c r="D3855" i="1"/>
  <c r="B3855" i="1" a="1"/>
  <c r="B3855" i="1" s="1"/>
  <c r="D3854" i="1"/>
  <c r="B3854" i="1" a="1"/>
  <c r="B3854" i="1" s="1"/>
  <c r="D3853" i="1"/>
  <c r="B3853" i="1" a="1"/>
  <c r="B3853" i="1" s="1"/>
  <c r="D3852" i="1"/>
  <c r="B3852" i="1" a="1"/>
  <c r="B3852" i="1" s="1"/>
  <c r="D3851" i="1"/>
  <c r="B3851" i="1" a="1"/>
  <c r="B3851" i="1" s="1"/>
  <c r="D3850" i="1"/>
  <c r="B3850" i="1" a="1"/>
  <c r="B3850" i="1" s="1"/>
  <c r="D3849" i="1"/>
  <c r="B3849" i="1" a="1"/>
  <c r="B3849" i="1" s="1"/>
  <c r="D3848" i="1"/>
  <c r="B3848" i="1" a="1"/>
  <c r="B3848" i="1" s="1"/>
  <c r="D3847" i="1"/>
  <c r="B3847" i="1" a="1"/>
  <c r="B3847" i="1" s="1"/>
  <c r="D3846" i="1"/>
  <c r="B3846" i="1" a="1"/>
  <c r="B3846" i="1" s="1"/>
  <c r="D3845" i="1"/>
  <c r="B3845" i="1" a="1"/>
  <c r="B3845" i="1" s="1"/>
  <c r="D3844" i="1"/>
  <c r="B3844" i="1" a="1"/>
  <c r="B3844" i="1" s="1"/>
  <c r="D3843" i="1"/>
  <c r="B3843" i="1" a="1"/>
  <c r="B3843" i="1" s="1"/>
  <c r="D3842" i="1"/>
  <c r="B3842" i="1" a="1"/>
  <c r="B3842" i="1" s="1"/>
  <c r="D3841" i="1"/>
  <c r="B3841" i="1" a="1"/>
  <c r="B3841" i="1" s="1"/>
  <c r="D3840" i="1"/>
  <c r="B3840" i="1" a="1"/>
  <c r="B3840" i="1" s="1"/>
  <c r="D3839" i="1"/>
  <c r="B3839" i="1" a="1"/>
  <c r="B3839" i="1" s="1"/>
  <c r="D3838" i="1"/>
  <c r="B3838" i="1" a="1"/>
  <c r="B3838" i="1" s="1"/>
  <c r="D3837" i="1"/>
  <c r="B3837" i="1" a="1"/>
  <c r="B3837" i="1" s="1"/>
  <c r="D3836" i="1"/>
  <c r="B3836" i="1" a="1"/>
  <c r="B3836" i="1" s="1"/>
  <c r="D3835" i="1"/>
  <c r="B3835" i="1" a="1"/>
  <c r="B3835" i="1" s="1"/>
  <c r="D3834" i="1"/>
  <c r="B3834" i="1" a="1"/>
  <c r="B3834" i="1" s="1"/>
  <c r="D3833" i="1"/>
  <c r="B3833" i="1" a="1"/>
  <c r="B3833" i="1" s="1"/>
  <c r="D3832" i="1"/>
  <c r="B3832" i="1" a="1"/>
  <c r="B3832" i="1" s="1"/>
  <c r="D3831" i="1"/>
  <c r="B3831" i="1" a="1"/>
  <c r="B3831" i="1" s="1"/>
  <c r="D3830" i="1"/>
  <c r="B3830" i="1" a="1"/>
  <c r="B3830" i="1" s="1"/>
  <c r="D3829" i="1"/>
  <c r="B3829" i="1" a="1"/>
  <c r="B3829" i="1" s="1"/>
  <c r="D3828" i="1"/>
  <c r="B3828" i="1" a="1"/>
  <c r="B3828" i="1" s="1"/>
  <c r="D3827" i="1"/>
  <c r="B3827" i="1" a="1"/>
  <c r="B3827" i="1" s="1"/>
  <c r="D3826" i="1"/>
  <c r="B3826" i="1" a="1"/>
  <c r="B3826" i="1" s="1"/>
  <c r="D3825" i="1"/>
  <c r="B3825" i="1" a="1"/>
  <c r="B3825" i="1" s="1"/>
  <c r="D3824" i="1"/>
  <c r="B3824" i="1" a="1"/>
  <c r="B3824" i="1" s="1"/>
  <c r="D3823" i="1"/>
  <c r="B3823" i="1" a="1"/>
  <c r="B3823" i="1" s="1"/>
  <c r="D3822" i="1"/>
  <c r="B3822" i="1" a="1"/>
  <c r="B3822" i="1" s="1"/>
  <c r="D3821" i="1"/>
  <c r="B3821" i="1" a="1"/>
  <c r="B3821" i="1" s="1"/>
  <c r="D3820" i="1"/>
  <c r="B3820" i="1" a="1"/>
  <c r="B3820" i="1" s="1"/>
  <c r="D3819" i="1"/>
  <c r="B3819" i="1" a="1"/>
  <c r="B3819" i="1" s="1"/>
  <c r="D3818" i="1"/>
  <c r="B3818" i="1" a="1"/>
  <c r="B3818" i="1" s="1"/>
  <c r="D3817" i="1"/>
  <c r="B3817" i="1" a="1"/>
  <c r="B3817" i="1" s="1"/>
  <c r="D3816" i="1"/>
  <c r="B3816" i="1" a="1"/>
  <c r="B3816" i="1" s="1"/>
  <c r="D3815" i="1"/>
  <c r="B3815" i="1" a="1"/>
  <c r="B3815" i="1" s="1"/>
  <c r="D3814" i="1"/>
  <c r="B3814" i="1" a="1"/>
  <c r="B3814" i="1" s="1"/>
  <c r="D3813" i="1"/>
  <c r="B3813" i="1" a="1"/>
  <c r="B3813" i="1" s="1"/>
  <c r="D3812" i="1"/>
  <c r="B3812" i="1" a="1"/>
  <c r="B3812" i="1" s="1"/>
  <c r="D3811" i="1"/>
  <c r="B3811" i="1" a="1"/>
  <c r="B3811" i="1" s="1"/>
  <c r="D3810" i="1"/>
  <c r="B3810" i="1" a="1"/>
  <c r="B3810" i="1" s="1"/>
  <c r="D3809" i="1"/>
  <c r="B3809" i="1" a="1"/>
  <c r="B3809" i="1" s="1"/>
  <c r="D3808" i="1"/>
  <c r="B3808" i="1" a="1"/>
  <c r="B3808" i="1" s="1"/>
  <c r="D3807" i="1"/>
  <c r="B3807" i="1" a="1"/>
  <c r="B3807" i="1" s="1"/>
  <c r="D3806" i="1"/>
  <c r="B3806" i="1" a="1"/>
  <c r="B3806" i="1" s="1"/>
  <c r="D3805" i="1"/>
  <c r="B3805" i="1" a="1"/>
  <c r="B3805" i="1" s="1"/>
  <c r="D3804" i="1"/>
  <c r="B3804" i="1" a="1"/>
  <c r="B3804" i="1" s="1"/>
  <c r="D3803" i="1"/>
  <c r="B3803" i="1" a="1"/>
  <c r="B3803" i="1" s="1"/>
  <c r="D3802" i="1"/>
  <c r="B3802" i="1" a="1"/>
  <c r="B3802" i="1" s="1"/>
  <c r="D3801" i="1"/>
  <c r="B3801" i="1" a="1"/>
  <c r="B3801" i="1" s="1"/>
  <c r="D3800" i="1"/>
  <c r="B3800" i="1" a="1"/>
  <c r="B3800" i="1" s="1"/>
  <c r="D3799" i="1"/>
  <c r="B3799" i="1" a="1"/>
  <c r="B3799" i="1" s="1"/>
  <c r="D3798" i="1"/>
  <c r="B3798" i="1" a="1"/>
  <c r="B3798" i="1" s="1"/>
  <c r="D3797" i="1"/>
  <c r="B3797" i="1" a="1"/>
  <c r="B3797" i="1" s="1"/>
  <c r="D3796" i="1"/>
  <c r="B3796" i="1" a="1"/>
  <c r="B3796" i="1" s="1"/>
  <c r="D3795" i="1"/>
  <c r="B3795" i="1" a="1"/>
  <c r="B3795" i="1" s="1"/>
  <c r="D3794" i="1"/>
  <c r="B3794" i="1" a="1"/>
  <c r="B3794" i="1" s="1"/>
  <c r="D3793" i="1"/>
  <c r="B3793" i="1" a="1"/>
  <c r="B3793" i="1" s="1"/>
  <c r="D3792" i="1"/>
  <c r="B3792" i="1" a="1"/>
  <c r="B3792" i="1" s="1"/>
  <c r="D3791" i="1"/>
  <c r="B3791" i="1" a="1"/>
  <c r="B3791" i="1" s="1"/>
  <c r="D3790" i="1"/>
  <c r="B3790" i="1" a="1"/>
  <c r="B3790" i="1" s="1"/>
  <c r="D3789" i="1"/>
  <c r="B3789" i="1" a="1"/>
  <c r="B3789" i="1" s="1"/>
  <c r="D3788" i="1"/>
  <c r="B3788" i="1" a="1"/>
  <c r="B3788" i="1" s="1"/>
  <c r="D3787" i="1"/>
  <c r="B3787" i="1" a="1"/>
  <c r="B3787" i="1" s="1"/>
  <c r="D3786" i="1"/>
  <c r="B3786" i="1" a="1"/>
  <c r="B3786" i="1" s="1"/>
  <c r="D3785" i="1"/>
  <c r="B3785" i="1" a="1"/>
  <c r="B3785" i="1" s="1"/>
  <c r="D3784" i="1"/>
  <c r="B3784" i="1" a="1"/>
  <c r="B3784" i="1" s="1"/>
  <c r="D3783" i="1"/>
  <c r="B3783" i="1" a="1"/>
  <c r="B3783" i="1" s="1"/>
  <c r="D3782" i="1"/>
  <c r="B3782" i="1" a="1"/>
  <c r="B3782" i="1" s="1"/>
  <c r="D3781" i="1"/>
  <c r="B3781" i="1" a="1"/>
  <c r="B3781" i="1" s="1"/>
  <c r="D3780" i="1"/>
  <c r="B3780" i="1" a="1"/>
  <c r="B3780" i="1" s="1"/>
  <c r="D3779" i="1"/>
  <c r="B3779" i="1" a="1"/>
  <c r="B3779" i="1" s="1"/>
  <c r="D3778" i="1"/>
  <c r="B3778" i="1" a="1"/>
  <c r="B3778" i="1" s="1"/>
  <c r="D3777" i="1"/>
  <c r="B3777" i="1" a="1"/>
  <c r="B3777" i="1" s="1"/>
  <c r="D3776" i="1"/>
  <c r="B3776" i="1" a="1"/>
  <c r="B3776" i="1" s="1"/>
  <c r="D3775" i="1"/>
  <c r="B3775" i="1" a="1"/>
  <c r="B3775" i="1" s="1"/>
  <c r="D3774" i="1"/>
  <c r="B3774" i="1" a="1"/>
  <c r="B3774" i="1" s="1"/>
  <c r="D3773" i="1"/>
  <c r="B3773" i="1" a="1"/>
  <c r="B3773" i="1" s="1"/>
  <c r="D3772" i="1"/>
  <c r="B3772" i="1" a="1"/>
  <c r="B3772" i="1" s="1"/>
  <c r="D3771" i="1"/>
  <c r="B3771" i="1" a="1"/>
  <c r="B3771" i="1" s="1"/>
  <c r="D3770" i="1"/>
  <c r="B3770" i="1" a="1"/>
  <c r="B3770" i="1" s="1"/>
  <c r="D3769" i="1"/>
  <c r="B3769" i="1" a="1"/>
  <c r="B3769" i="1" s="1"/>
  <c r="D3768" i="1"/>
  <c r="B3768" i="1" a="1"/>
  <c r="B3768" i="1" s="1"/>
  <c r="D3767" i="1"/>
  <c r="B3767" i="1" a="1"/>
  <c r="B3767" i="1" s="1"/>
  <c r="D3766" i="1"/>
  <c r="B3766" i="1" a="1"/>
  <c r="B3766" i="1" s="1"/>
  <c r="D3765" i="1"/>
  <c r="B3765" i="1" a="1"/>
  <c r="B3765" i="1" s="1"/>
  <c r="D3764" i="1"/>
  <c r="B3764" i="1" a="1"/>
  <c r="B3764" i="1" s="1"/>
  <c r="D3763" i="1"/>
  <c r="B3763" i="1" a="1"/>
  <c r="B3763" i="1" s="1"/>
  <c r="D3762" i="1"/>
  <c r="B3762" i="1" a="1"/>
  <c r="B3762" i="1" s="1"/>
  <c r="D3761" i="1"/>
  <c r="B3761" i="1" a="1"/>
  <c r="B3761" i="1" s="1"/>
  <c r="D3760" i="1"/>
  <c r="B3760" i="1" a="1"/>
  <c r="B3760" i="1" s="1"/>
  <c r="D3759" i="1"/>
  <c r="B3759" i="1" a="1"/>
  <c r="B3759" i="1" s="1"/>
  <c r="D3758" i="1"/>
  <c r="B3758" i="1" a="1"/>
  <c r="B3758" i="1" s="1"/>
  <c r="D3757" i="1"/>
  <c r="B3757" i="1" a="1"/>
  <c r="B3757" i="1" s="1"/>
  <c r="D3756" i="1"/>
  <c r="B3756" i="1" a="1"/>
  <c r="B3756" i="1" s="1"/>
  <c r="D3755" i="1"/>
  <c r="B3755" i="1" a="1"/>
  <c r="B3755" i="1" s="1"/>
  <c r="D3754" i="1"/>
  <c r="B3754" i="1" a="1"/>
  <c r="B3754" i="1" s="1"/>
  <c r="D3753" i="1"/>
  <c r="B3753" i="1" a="1"/>
  <c r="B3753" i="1" s="1"/>
  <c r="D3752" i="1"/>
  <c r="B3752" i="1" a="1"/>
  <c r="B3752" i="1" s="1"/>
  <c r="D3751" i="1"/>
  <c r="B3751" i="1" a="1"/>
  <c r="B3751" i="1" s="1"/>
  <c r="D3750" i="1"/>
  <c r="B3750" i="1" a="1"/>
  <c r="B3750" i="1" s="1"/>
  <c r="D3749" i="1"/>
  <c r="B3749" i="1" a="1"/>
  <c r="B3749" i="1" s="1"/>
  <c r="D3748" i="1"/>
  <c r="B3748" i="1" a="1"/>
  <c r="B3748" i="1" s="1"/>
  <c r="D3747" i="1"/>
  <c r="B3747" i="1" a="1"/>
  <c r="B3747" i="1" s="1"/>
  <c r="D3746" i="1"/>
  <c r="B3746" i="1" a="1"/>
  <c r="B3746" i="1" s="1"/>
  <c r="D3745" i="1"/>
  <c r="B3745" i="1" a="1"/>
  <c r="B3745" i="1" s="1"/>
  <c r="D3744" i="1"/>
  <c r="B3744" i="1" a="1"/>
  <c r="B3744" i="1" s="1"/>
  <c r="D3743" i="1"/>
  <c r="B3743" i="1" a="1"/>
  <c r="B3743" i="1" s="1"/>
  <c r="D3742" i="1"/>
  <c r="B3742" i="1" a="1"/>
  <c r="B3742" i="1" s="1"/>
  <c r="D3741" i="1"/>
  <c r="B3741" i="1" a="1"/>
  <c r="B3741" i="1" s="1"/>
  <c r="D3740" i="1"/>
  <c r="B3740" i="1" a="1"/>
  <c r="B3740" i="1" s="1"/>
  <c r="D3739" i="1"/>
  <c r="B3739" i="1" a="1"/>
  <c r="B3739" i="1" s="1"/>
  <c r="D3738" i="1"/>
  <c r="B3738" i="1" a="1"/>
  <c r="B3738" i="1" s="1"/>
  <c r="D3737" i="1"/>
  <c r="B3737" i="1" a="1"/>
  <c r="B3737" i="1" s="1"/>
  <c r="D3736" i="1"/>
  <c r="B3736" i="1" a="1"/>
  <c r="B3736" i="1" s="1"/>
  <c r="D3735" i="1"/>
  <c r="B3735" i="1" a="1"/>
  <c r="B3735" i="1" s="1"/>
  <c r="D3734" i="1"/>
  <c r="B3734" i="1" a="1"/>
  <c r="B3734" i="1" s="1"/>
  <c r="D3733" i="1"/>
  <c r="B3733" i="1" a="1"/>
  <c r="B3733" i="1" s="1"/>
  <c r="D3732" i="1"/>
  <c r="B3732" i="1" a="1"/>
  <c r="B3732" i="1" s="1"/>
  <c r="D3731" i="1"/>
  <c r="B3731" i="1" a="1"/>
  <c r="B3731" i="1" s="1"/>
  <c r="D3730" i="1"/>
  <c r="B3730" i="1" a="1"/>
  <c r="B3730" i="1" s="1"/>
  <c r="D3729" i="1"/>
  <c r="B3729" i="1" a="1"/>
  <c r="B3729" i="1" s="1"/>
  <c r="D3728" i="1"/>
  <c r="B3728" i="1" a="1"/>
  <c r="B3728" i="1" s="1"/>
  <c r="D3727" i="1"/>
  <c r="B3727" i="1" a="1"/>
  <c r="B3727" i="1" s="1"/>
  <c r="D3726" i="1"/>
  <c r="B3726" i="1" a="1"/>
  <c r="B3726" i="1" s="1"/>
  <c r="D3725" i="1"/>
  <c r="B3725" i="1" a="1"/>
  <c r="B3725" i="1" s="1"/>
  <c r="D3724" i="1"/>
  <c r="B3724" i="1" a="1"/>
  <c r="B3724" i="1" s="1"/>
  <c r="D3723" i="1"/>
  <c r="B3723" i="1" a="1"/>
  <c r="B3723" i="1" s="1"/>
  <c r="D3722" i="1"/>
  <c r="B3722" i="1" a="1"/>
  <c r="B3722" i="1" s="1"/>
  <c r="D3721" i="1"/>
  <c r="B3721" i="1" a="1"/>
  <c r="B3721" i="1" s="1"/>
  <c r="D3720" i="1"/>
  <c r="B3720" i="1" a="1"/>
  <c r="B3720" i="1" s="1"/>
  <c r="D3719" i="1"/>
  <c r="B3719" i="1" a="1"/>
  <c r="B3719" i="1" s="1"/>
  <c r="D3718" i="1"/>
  <c r="B3718" i="1" a="1"/>
  <c r="B3718" i="1" s="1"/>
  <c r="D3717" i="1"/>
  <c r="B3717" i="1" a="1"/>
  <c r="B3717" i="1" s="1"/>
  <c r="D3716" i="1"/>
  <c r="B3716" i="1" a="1"/>
  <c r="B3716" i="1" s="1"/>
  <c r="D3715" i="1"/>
  <c r="B3715" i="1" a="1"/>
  <c r="B3715" i="1" s="1"/>
  <c r="D3714" i="1"/>
  <c r="B3714" i="1" a="1"/>
  <c r="B3714" i="1" s="1"/>
  <c r="D3713" i="1"/>
  <c r="B3713" i="1" a="1"/>
  <c r="B3713" i="1" s="1"/>
  <c r="D3712" i="1"/>
  <c r="B3712" i="1" a="1"/>
  <c r="B3712" i="1" s="1"/>
  <c r="D3711" i="1"/>
  <c r="B3711" i="1" a="1"/>
  <c r="B3711" i="1" s="1"/>
  <c r="D3710" i="1"/>
  <c r="B3710" i="1" a="1"/>
  <c r="B3710" i="1" s="1"/>
  <c r="D3709" i="1"/>
  <c r="B3709" i="1" a="1"/>
  <c r="B3709" i="1" s="1"/>
  <c r="D3708" i="1"/>
  <c r="B3708" i="1" a="1"/>
  <c r="B3708" i="1" s="1"/>
  <c r="D3707" i="1"/>
  <c r="B3707" i="1" a="1"/>
  <c r="B3707" i="1" s="1"/>
  <c r="D3706" i="1"/>
  <c r="B3706" i="1" a="1"/>
  <c r="B3706" i="1" s="1"/>
  <c r="D3705" i="1"/>
  <c r="B3705" i="1" a="1"/>
  <c r="B3705" i="1" s="1"/>
  <c r="D3704" i="1"/>
  <c r="B3704" i="1" a="1"/>
  <c r="B3704" i="1" s="1"/>
  <c r="D3703" i="1"/>
  <c r="B3703" i="1" a="1"/>
  <c r="B3703" i="1" s="1"/>
  <c r="D3702" i="1"/>
  <c r="B3702" i="1" a="1"/>
  <c r="B3702" i="1" s="1"/>
  <c r="D3701" i="1"/>
  <c r="B3701" i="1" a="1"/>
  <c r="B3701" i="1" s="1"/>
  <c r="D3700" i="1"/>
  <c r="B3700" i="1" a="1"/>
  <c r="B3700" i="1" s="1"/>
  <c r="D3699" i="1"/>
  <c r="B3699" i="1" a="1"/>
  <c r="B3699" i="1" s="1"/>
  <c r="D3698" i="1"/>
  <c r="B3698" i="1" a="1"/>
  <c r="B3698" i="1" s="1"/>
  <c r="D3697" i="1"/>
  <c r="B3697" i="1" a="1"/>
  <c r="B3697" i="1" s="1"/>
  <c r="D3696" i="1"/>
  <c r="B3696" i="1" a="1"/>
  <c r="B3696" i="1" s="1"/>
  <c r="D3695" i="1"/>
  <c r="B3695" i="1" a="1"/>
  <c r="B3695" i="1" s="1"/>
  <c r="D3694" i="1"/>
  <c r="B3694" i="1" a="1"/>
  <c r="B3694" i="1" s="1"/>
  <c r="D3693" i="1"/>
  <c r="B3693" i="1" a="1"/>
  <c r="B3693" i="1" s="1"/>
  <c r="D3692" i="1"/>
  <c r="B3692" i="1" a="1"/>
  <c r="B3692" i="1" s="1"/>
  <c r="D3691" i="1"/>
  <c r="B3691" i="1" a="1"/>
  <c r="B3691" i="1" s="1"/>
  <c r="D3690" i="1"/>
  <c r="B3690" i="1" a="1"/>
  <c r="B3690" i="1" s="1"/>
  <c r="D3689" i="1"/>
  <c r="B3689" i="1" a="1"/>
  <c r="B3689" i="1" s="1"/>
  <c r="D3688" i="1"/>
  <c r="B3688" i="1" a="1"/>
  <c r="B3688" i="1" s="1"/>
  <c r="D3687" i="1"/>
  <c r="B3687" i="1" a="1"/>
  <c r="B3687" i="1" s="1"/>
  <c r="D3686" i="1"/>
  <c r="B3686" i="1" a="1"/>
  <c r="B3686" i="1" s="1"/>
  <c r="D3685" i="1"/>
  <c r="B3685" i="1" a="1"/>
  <c r="B3685" i="1" s="1"/>
  <c r="D3684" i="1"/>
  <c r="B3684" i="1" a="1"/>
  <c r="B3684" i="1" s="1"/>
  <c r="D3683" i="1"/>
  <c r="B3683" i="1" a="1"/>
  <c r="B3683" i="1" s="1"/>
  <c r="D3682" i="1"/>
  <c r="B3682" i="1" a="1"/>
  <c r="B3682" i="1" s="1"/>
  <c r="D3681" i="1"/>
  <c r="B3681" i="1" a="1"/>
  <c r="B3681" i="1" s="1"/>
  <c r="D3680" i="1"/>
  <c r="B3680" i="1" a="1"/>
  <c r="B3680" i="1" s="1"/>
  <c r="D3679" i="1"/>
  <c r="B3679" i="1" a="1"/>
  <c r="B3679" i="1" s="1"/>
  <c r="D3678" i="1"/>
  <c r="B3678" i="1" a="1"/>
  <c r="B3678" i="1" s="1"/>
  <c r="D3677" i="1"/>
  <c r="B3677" i="1" a="1"/>
  <c r="B3677" i="1" s="1"/>
  <c r="D3676" i="1"/>
  <c r="B3676" i="1" a="1"/>
  <c r="B3676" i="1" s="1"/>
  <c r="D3675" i="1"/>
  <c r="B3675" i="1" a="1"/>
  <c r="B3675" i="1" s="1"/>
  <c r="D3674" i="1"/>
  <c r="B3674" i="1" a="1"/>
  <c r="B3674" i="1" s="1"/>
  <c r="D3673" i="1"/>
  <c r="B3673" i="1" a="1"/>
  <c r="B3673" i="1" s="1"/>
  <c r="D3672" i="1"/>
  <c r="B3672" i="1" a="1"/>
  <c r="B3672" i="1" s="1"/>
  <c r="D3671" i="1"/>
  <c r="B3671" i="1" a="1"/>
  <c r="B3671" i="1" s="1"/>
  <c r="D3670" i="1"/>
  <c r="B3670" i="1" a="1"/>
  <c r="B3670" i="1" s="1"/>
  <c r="D3669" i="1"/>
  <c r="B3669" i="1" a="1"/>
  <c r="B3669" i="1" s="1"/>
  <c r="D3668" i="1"/>
  <c r="B3668" i="1" a="1"/>
  <c r="B3668" i="1" s="1"/>
  <c r="D3667" i="1"/>
  <c r="B3667" i="1" a="1"/>
  <c r="B3667" i="1" s="1"/>
  <c r="D3666" i="1"/>
  <c r="B3666" i="1" a="1"/>
  <c r="B3666" i="1" s="1"/>
  <c r="D3665" i="1"/>
  <c r="B3665" i="1" a="1"/>
  <c r="B3665" i="1" s="1"/>
  <c r="D3664" i="1"/>
  <c r="B3664" i="1" a="1"/>
  <c r="B3664" i="1" s="1"/>
  <c r="D3663" i="1"/>
  <c r="B3663" i="1" a="1"/>
  <c r="B3663" i="1" s="1"/>
  <c r="D3662" i="1"/>
  <c r="B3662" i="1" a="1"/>
  <c r="B3662" i="1" s="1"/>
  <c r="D3661" i="1"/>
  <c r="B3661" i="1" a="1"/>
  <c r="B3661" i="1" s="1"/>
  <c r="D3660" i="1"/>
  <c r="B3660" i="1" a="1"/>
  <c r="B3660" i="1" s="1"/>
  <c r="D3659" i="1"/>
  <c r="B3659" i="1" a="1"/>
  <c r="B3659" i="1" s="1"/>
  <c r="D3658" i="1"/>
  <c r="B3658" i="1" a="1"/>
  <c r="B3658" i="1" s="1"/>
  <c r="D3657" i="1"/>
  <c r="B3657" i="1" a="1"/>
  <c r="B3657" i="1" s="1"/>
  <c r="D3656" i="1"/>
  <c r="B3656" i="1" a="1"/>
  <c r="B3656" i="1" s="1"/>
  <c r="D3655" i="1"/>
  <c r="B3655" i="1" a="1"/>
  <c r="B3655" i="1" s="1"/>
  <c r="D3654" i="1"/>
  <c r="B3654" i="1" a="1"/>
  <c r="B3654" i="1" s="1"/>
  <c r="D3653" i="1"/>
  <c r="B3653" i="1" a="1"/>
  <c r="B3653" i="1" s="1"/>
  <c r="D3652" i="1"/>
  <c r="B3652" i="1" a="1"/>
  <c r="B3652" i="1" s="1"/>
  <c r="D3651" i="1"/>
  <c r="B3651" i="1" a="1"/>
  <c r="B3651" i="1" s="1"/>
  <c r="D3650" i="1"/>
  <c r="B3650" i="1" a="1"/>
  <c r="B3650" i="1" s="1"/>
  <c r="D3649" i="1"/>
  <c r="B3649" i="1" a="1"/>
  <c r="B3649" i="1" s="1"/>
  <c r="D3648" i="1"/>
  <c r="B3648" i="1" a="1"/>
  <c r="B3648" i="1" s="1"/>
  <c r="D3647" i="1"/>
  <c r="B3647" i="1" a="1"/>
  <c r="B3647" i="1" s="1"/>
  <c r="D3646" i="1"/>
  <c r="B3646" i="1" a="1"/>
  <c r="B3646" i="1" s="1"/>
  <c r="D3645" i="1"/>
  <c r="B3645" i="1" a="1"/>
  <c r="B3645" i="1" s="1"/>
  <c r="D3644" i="1"/>
  <c r="B3644" i="1" a="1"/>
  <c r="B3644" i="1" s="1"/>
  <c r="D3643" i="1"/>
  <c r="B3643" i="1" a="1"/>
  <c r="B3643" i="1" s="1"/>
  <c r="D3642" i="1"/>
  <c r="B3642" i="1" a="1"/>
  <c r="B3642" i="1" s="1"/>
  <c r="D3641" i="1"/>
  <c r="B3641" i="1" a="1"/>
  <c r="B3641" i="1" s="1"/>
  <c r="D3640" i="1"/>
  <c r="B3640" i="1" a="1"/>
  <c r="B3640" i="1" s="1"/>
  <c r="D3639" i="1"/>
  <c r="B3639" i="1" a="1"/>
  <c r="B3639" i="1" s="1"/>
  <c r="D3638" i="1"/>
  <c r="B3638" i="1" a="1"/>
  <c r="B3638" i="1" s="1"/>
  <c r="D3637" i="1"/>
  <c r="B3637" i="1" a="1"/>
  <c r="B3637" i="1" s="1"/>
  <c r="D3636" i="1"/>
  <c r="B3636" i="1" a="1"/>
  <c r="B3636" i="1" s="1"/>
  <c r="D3635" i="1"/>
  <c r="B3635" i="1" a="1"/>
  <c r="B3635" i="1" s="1"/>
  <c r="D3634" i="1"/>
  <c r="B3634" i="1" a="1"/>
  <c r="B3634" i="1" s="1"/>
  <c r="D3633" i="1"/>
  <c r="B3633" i="1" a="1"/>
  <c r="B3633" i="1" s="1"/>
  <c r="D3632" i="1"/>
  <c r="B3632" i="1" a="1"/>
  <c r="B3632" i="1" s="1"/>
  <c r="D3631" i="1"/>
  <c r="B3631" i="1" a="1"/>
  <c r="B3631" i="1" s="1"/>
  <c r="D3630" i="1"/>
  <c r="B3630" i="1" a="1"/>
  <c r="B3630" i="1" s="1"/>
  <c r="D3629" i="1"/>
  <c r="B3629" i="1" a="1"/>
  <c r="B3629" i="1" s="1"/>
  <c r="D3628" i="1"/>
  <c r="B3628" i="1" a="1"/>
  <c r="B3628" i="1" s="1"/>
  <c r="D3627" i="1"/>
  <c r="B3627" i="1" a="1"/>
  <c r="B3627" i="1" s="1"/>
  <c r="D3626" i="1"/>
  <c r="B3626" i="1" a="1"/>
  <c r="B3626" i="1" s="1"/>
  <c r="D3625" i="1"/>
  <c r="B3625" i="1" a="1"/>
  <c r="B3625" i="1" s="1"/>
  <c r="D3624" i="1"/>
  <c r="B3624" i="1" a="1"/>
  <c r="B3624" i="1" s="1"/>
  <c r="D3623" i="1"/>
  <c r="B3623" i="1" a="1"/>
  <c r="B3623" i="1" s="1"/>
  <c r="D3622" i="1"/>
  <c r="B3622" i="1" a="1"/>
  <c r="B3622" i="1" s="1"/>
  <c r="D3621" i="1"/>
  <c r="B3621" i="1" a="1"/>
  <c r="B3621" i="1" s="1"/>
  <c r="D3620" i="1"/>
  <c r="B3620" i="1" a="1"/>
  <c r="B3620" i="1" s="1"/>
  <c r="D3619" i="1"/>
  <c r="B3619" i="1" a="1"/>
  <c r="B3619" i="1" s="1"/>
  <c r="D3618" i="1"/>
  <c r="B3618" i="1" a="1"/>
  <c r="B3618" i="1" s="1"/>
  <c r="D3617" i="1"/>
  <c r="B3617" i="1" a="1"/>
  <c r="B3617" i="1" s="1"/>
  <c r="D3616" i="1"/>
  <c r="B3616" i="1" a="1"/>
  <c r="B3616" i="1" s="1"/>
  <c r="D3615" i="1"/>
  <c r="B3615" i="1" a="1"/>
  <c r="B3615" i="1" s="1"/>
  <c r="D3614" i="1"/>
  <c r="B3614" i="1" a="1"/>
  <c r="B3614" i="1" s="1"/>
  <c r="D3613" i="1"/>
  <c r="B3613" i="1" a="1"/>
  <c r="B3613" i="1" s="1"/>
  <c r="D3612" i="1"/>
  <c r="B3612" i="1" a="1"/>
  <c r="B3612" i="1" s="1"/>
  <c r="D3611" i="1"/>
  <c r="B3611" i="1" a="1"/>
  <c r="B3611" i="1" s="1"/>
  <c r="D3610" i="1"/>
  <c r="B3610" i="1" a="1"/>
  <c r="B3610" i="1" s="1"/>
  <c r="D3609" i="1"/>
  <c r="B3609" i="1" a="1"/>
  <c r="B3609" i="1" s="1"/>
  <c r="D3608" i="1"/>
  <c r="B3608" i="1" a="1"/>
  <c r="B3608" i="1" s="1"/>
  <c r="D3607" i="1"/>
  <c r="B3607" i="1" a="1"/>
  <c r="B3607" i="1" s="1"/>
  <c r="D3606" i="1"/>
  <c r="B3606" i="1" a="1"/>
  <c r="B3606" i="1" s="1"/>
  <c r="D3605" i="1"/>
  <c r="B3605" i="1" a="1"/>
  <c r="B3605" i="1" s="1"/>
  <c r="D3604" i="1"/>
  <c r="B3604" i="1" a="1"/>
  <c r="B3604" i="1" s="1"/>
  <c r="D3603" i="1"/>
  <c r="B3603" i="1" a="1"/>
  <c r="B3603" i="1" s="1"/>
  <c r="D3602" i="1"/>
  <c r="B3602" i="1" a="1"/>
  <c r="B3602" i="1" s="1"/>
  <c r="D3601" i="1"/>
  <c r="B3601" i="1" a="1"/>
  <c r="B3601" i="1" s="1"/>
  <c r="D3600" i="1"/>
  <c r="B3600" i="1" a="1"/>
  <c r="B3600" i="1" s="1"/>
  <c r="D3599" i="1"/>
  <c r="B3599" i="1" a="1"/>
  <c r="B3599" i="1" s="1"/>
  <c r="D3598" i="1"/>
  <c r="B3598" i="1" a="1"/>
  <c r="B3598" i="1" s="1"/>
  <c r="D3597" i="1"/>
  <c r="B3597" i="1" a="1"/>
  <c r="B3597" i="1" s="1"/>
  <c r="D3596" i="1"/>
  <c r="B3596" i="1" a="1"/>
  <c r="B3596" i="1" s="1"/>
  <c r="D3595" i="1"/>
  <c r="B3595" i="1" a="1"/>
  <c r="B3595" i="1" s="1"/>
  <c r="D3594" i="1"/>
  <c r="B3594" i="1" a="1"/>
  <c r="B3594" i="1" s="1"/>
  <c r="D3593" i="1"/>
  <c r="B3593" i="1" a="1"/>
  <c r="B3593" i="1" s="1"/>
  <c r="D3592" i="1"/>
  <c r="B3592" i="1" a="1"/>
  <c r="B3592" i="1" s="1"/>
  <c r="D3591" i="1"/>
  <c r="B3591" i="1" a="1"/>
  <c r="B3591" i="1" s="1"/>
  <c r="D3590" i="1"/>
  <c r="B3590" i="1" a="1"/>
  <c r="B3590" i="1" s="1"/>
  <c r="D3589" i="1"/>
  <c r="B3589" i="1" a="1"/>
  <c r="B3589" i="1" s="1"/>
  <c r="D3588" i="1"/>
  <c r="B3588" i="1" a="1"/>
  <c r="B3588" i="1" s="1"/>
  <c r="D3587" i="1"/>
  <c r="B3587" i="1" a="1"/>
  <c r="B3587" i="1" s="1"/>
  <c r="D3586" i="1"/>
  <c r="B3586" i="1" a="1"/>
  <c r="B3586" i="1" s="1"/>
  <c r="D3585" i="1"/>
  <c r="B3585" i="1" a="1"/>
  <c r="B3585" i="1" s="1"/>
  <c r="D3584" i="1"/>
  <c r="B3584" i="1" a="1"/>
  <c r="B3584" i="1" s="1"/>
  <c r="D3583" i="1"/>
  <c r="B3583" i="1" a="1"/>
  <c r="B3583" i="1" s="1"/>
  <c r="D3582" i="1"/>
  <c r="B3582" i="1" a="1"/>
  <c r="B3582" i="1" s="1"/>
  <c r="D3581" i="1"/>
  <c r="B3581" i="1" a="1"/>
  <c r="B3581" i="1" s="1"/>
  <c r="D3580" i="1"/>
  <c r="B3580" i="1" a="1"/>
  <c r="B3580" i="1" s="1"/>
  <c r="D3579" i="1"/>
  <c r="B3579" i="1" a="1"/>
  <c r="B3579" i="1" s="1"/>
  <c r="D3578" i="1"/>
  <c r="B3578" i="1" a="1"/>
  <c r="B3578" i="1" s="1"/>
  <c r="D3577" i="1"/>
  <c r="B3577" i="1" a="1"/>
  <c r="B3577" i="1" s="1"/>
  <c r="D3576" i="1"/>
  <c r="B3576" i="1" a="1"/>
  <c r="B3576" i="1" s="1"/>
  <c r="D3575" i="1"/>
  <c r="B3575" i="1" a="1"/>
  <c r="B3575" i="1" s="1"/>
  <c r="D3574" i="1"/>
  <c r="B3574" i="1" a="1"/>
  <c r="B3574" i="1" s="1"/>
  <c r="D3573" i="1"/>
  <c r="B3573" i="1" a="1"/>
  <c r="B3573" i="1" s="1"/>
  <c r="D3572" i="1"/>
  <c r="B3572" i="1" a="1"/>
  <c r="B3572" i="1" s="1"/>
  <c r="D3571" i="1"/>
  <c r="B3571" i="1" a="1"/>
  <c r="B3571" i="1" s="1"/>
  <c r="D3570" i="1"/>
  <c r="B3570" i="1" a="1"/>
  <c r="B3570" i="1" s="1"/>
  <c r="D3569" i="1"/>
  <c r="B3569" i="1" a="1"/>
  <c r="B3569" i="1" s="1"/>
  <c r="D3568" i="1"/>
  <c r="B3568" i="1" a="1"/>
  <c r="B3568" i="1" s="1"/>
  <c r="D3567" i="1"/>
  <c r="B3567" i="1" a="1"/>
  <c r="B3567" i="1" s="1"/>
  <c r="D3566" i="1"/>
  <c r="B3566" i="1" a="1"/>
  <c r="B3566" i="1" s="1"/>
  <c r="D3565" i="1"/>
  <c r="B3565" i="1" a="1"/>
  <c r="B3565" i="1" s="1"/>
  <c r="D3564" i="1"/>
  <c r="B3564" i="1" a="1"/>
  <c r="B3564" i="1" s="1"/>
  <c r="D3563" i="1"/>
  <c r="B3563" i="1" a="1"/>
  <c r="B3563" i="1" s="1"/>
  <c r="D3562" i="1"/>
  <c r="B3562" i="1" a="1"/>
  <c r="B3562" i="1" s="1"/>
  <c r="D3561" i="1"/>
  <c r="B3561" i="1" a="1"/>
  <c r="B3561" i="1" s="1"/>
  <c r="D3560" i="1"/>
  <c r="B3560" i="1" a="1"/>
  <c r="B3560" i="1" s="1"/>
  <c r="D3559" i="1"/>
  <c r="B3559" i="1" a="1"/>
  <c r="B3559" i="1" s="1"/>
  <c r="D3558" i="1"/>
  <c r="B3558" i="1" a="1"/>
  <c r="B3558" i="1" s="1"/>
  <c r="D3557" i="1"/>
  <c r="B3557" i="1" a="1"/>
  <c r="B3557" i="1" s="1"/>
  <c r="D3556" i="1"/>
  <c r="B3556" i="1" a="1"/>
  <c r="B3556" i="1" s="1"/>
  <c r="D3555" i="1"/>
  <c r="B3555" i="1" a="1"/>
  <c r="B3555" i="1" s="1"/>
  <c r="D3554" i="1"/>
  <c r="B3554" i="1" a="1"/>
  <c r="B3554" i="1" s="1"/>
  <c r="D3553" i="1"/>
  <c r="B3553" i="1" a="1"/>
  <c r="B3553" i="1" s="1"/>
  <c r="D3552" i="1"/>
  <c r="B3552" i="1" a="1"/>
  <c r="B3552" i="1" s="1"/>
  <c r="D3551" i="1"/>
  <c r="B3551" i="1" a="1"/>
  <c r="B3551" i="1" s="1"/>
  <c r="D3550" i="1"/>
  <c r="B3550" i="1" a="1"/>
  <c r="B3550" i="1" s="1"/>
  <c r="D3549" i="1"/>
  <c r="B3549" i="1" a="1"/>
  <c r="B3549" i="1" s="1"/>
  <c r="D3548" i="1"/>
  <c r="B3548" i="1" a="1"/>
  <c r="B3548" i="1" s="1"/>
  <c r="D3547" i="1"/>
  <c r="B3547" i="1" a="1"/>
  <c r="B3547" i="1" s="1"/>
  <c r="D3546" i="1"/>
  <c r="B3546" i="1" a="1"/>
  <c r="B3546" i="1" s="1"/>
  <c r="D3545" i="1"/>
  <c r="B3545" i="1" a="1"/>
  <c r="B3545" i="1" s="1"/>
  <c r="D3544" i="1"/>
  <c r="B3544" i="1" a="1"/>
  <c r="B3544" i="1" s="1"/>
  <c r="D3543" i="1"/>
  <c r="B3543" i="1" a="1"/>
  <c r="B3543" i="1" s="1"/>
  <c r="D3542" i="1"/>
  <c r="B3542" i="1" a="1"/>
  <c r="B3542" i="1" s="1"/>
  <c r="D3541" i="1"/>
  <c r="B3541" i="1" a="1"/>
  <c r="B3541" i="1" s="1"/>
  <c r="D3540" i="1"/>
  <c r="B3540" i="1" a="1"/>
  <c r="B3540" i="1" s="1"/>
  <c r="D3539" i="1"/>
  <c r="B3539" i="1" a="1"/>
  <c r="B3539" i="1" s="1"/>
  <c r="D3538" i="1"/>
  <c r="B3538" i="1" a="1"/>
  <c r="B3538" i="1" s="1"/>
  <c r="D3537" i="1"/>
  <c r="B3537" i="1" a="1"/>
  <c r="B3537" i="1" s="1"/>
  <c r="D3536" i="1"/>
  <c r="B3536" i="1" a="1"/>
  <c r="B3536" i="1" s="1"/>
  <c r="D3535" i="1"/>
  <c r="B3535" i="1" a="1"/>
  <c r="B3535" i="1" s="1"/>
  <c r="D3534" i="1"/>
  <c r="B3534" i="1" a="1"/>
  <c r="B3534" i="1" s="1"/>
  <c r="D3533" i="1"/>
  <c r="B3533" i="1" a="1"/>
  <c r="B3533" i="1" s="1"/>
  <c r="D3532" i="1"/>
  <c r="B3532" i="1" a="1"/>
  <c r="B3532" i="1" s="1"/>
  <c r="D3531" i="1"/>
  <c r="B3531" i="1" a="1"/>
  <c r="B3531" i="1" s="1"/>
  <c r="D3530" i="1"/>
  <c r="B3530" i="1" a="1"/>
  <c r="B3530" i="1" s="1"/>
  <c r="D3529" i="1"/>
  <c r="B3529" i="1" a="1"/>
  <c r="B3529" i="1" s="1"/>
  <c r="D3528" i="1"/>
  <c r="B3528" i="1" a="1"/>
  <c r="B3528" i="1" s="1"/>
  <c r="D3527" i="1"/>
  <c r="B3527" i="1" a="1"/>
  <c r="B3527" i="1" s="1"/>
  <c r="D3526" i="1"/>
  <c r="B3526" i="1" a="1"/>
  <c r="B3526" i="1" s="1"/>
  <c r="D3525" i="1"/>
  <c r="B3525" i="1" a="1"/>
  <c r="B3525" i="1" s="1"/>
  <c r="D3524" i="1"/>
  <c r="B3524" i="1" a="1"/>
  <c r="B3524" i="1" s="1"/>
  <c r="D3523" i="1"/>
  <c r="B3523" i="1" a="1"/>
  <c r="B3523" i="1" s="1"/>
  <c r="D3522" i="1"/>
  <c r="B3522" i="1" a="1"/>
  <c r="B3522" i="1" s="1"/>
  <c r="D3521" i="1"/>
  <c r="B3521" i="1" a="1"/>
  <c r="B3521" i="1" s="1"/>
  <c r="D3520" i="1"/>
  <c r="B3520" i="1" a="1"/>
  <c r="B3520" i="1" s="1"/>
  <c r="D3519" i="1"/>
  <c r="B3519" i="1" a="1"/>
  <c r="B3519" i="1" s="1"/>
  <c r="D3518" i="1"/>
  <c r="B3518" i="1" a="1"/>
  <c r="B3518" i="1" s="1"/>
  <c r="D3517" i="1"/>
  <c r="B3517" i="1" a="1"/>
  <c r="B3517" i="1" s="1"/>
  <c r="D3516" i="1"/>
  <c r="B3516" i="1" a="1"/>
  <c r="B3516" i="1" s="1"/>
  <c r="D3515" i="1"/>
  <c r="B3515" i="1" a="1"/>
  <c r="B3515" i="1" s="1"/>
  <c r="D3514" i="1"/>
  <c r="B3514" i="1" a="1"/>
  <c r="B3514" i="1" s="1"/>
  <c r="D3513" i="1"/>
  <c r="B3513" i="1" a="1"/>
  <c r="B3513" i="1" s="1"/>
  <c r="D3512" i="1"/>
  <c r="B3512" i="1" a="1"/>
  <c r="B3512" i="1" s="1"/>
  <c r="D3511" i="1"/>
  <c r="B3511" i="1" a="1"/>
  <c r="B3511" i="1" s="1"/>
  <c r="D3510" i="1"/>
  <c r="B3510" i="1" a="1"/>
  <c r="B3510" i="1" s="1"/>
  <c r="D3509" i="1"/>
  <c r="B3509" i="1" a="1"/>
  <c r="B3509" i="1" s="1"/>
  <c r="D3508" i="1"/>
  <c r="B3508" i="1" a="1"/>
  <c r="B3508" i="1" s="1"/>
  <c r="D3507" i="1"/>
  <c r="B3507" i="1" a="1"/>
  <c r="B3507" i="1" s="1"/>
  <c r="D3506" i="1"/>
  <c r="B3506" i="1" a="1"/>
  <c r="B3506" i="1" s="1"/>
  <c r="D3505" i="1"/>
  <c r="B3505" i="1" a="1"/>
  <c r="B3505" i="1" s="1"/>
  <c r="D3504" i="1"/>
  <c r="B3504" i="1" a="1"/>
  <c r="B3504" i="1" s="1"/>
  <c r="D3503" i="1"/>
  <c r="B3503" i="1" a="1"/>
  <c r="B3503" i="1" s="1"/>
  <c r="D3502" i="1"/>
  <c r="B3502" i="1" a="1"/>
  <c r="B3502" i="1" s="1"/>
  <c r="D3501" i="1"/>
  <c r="B3501" i="1" a="1"/>
  <c r="B3501" i="1" s="1"/>
  <c r="D3500" i="1"/>
  <c r="B3500" i="1" a="1"/>
  <c r="B3500" i="1" s="1"/>
  <c r="B194" i="1" a="1"/>
  <c r="B194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3" i="1" a="1"/>
  <c r="B173" i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 s="1"/>
  <c r="B303" i="1" a="1"/>
  <c r="B303" i="1" s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431" i="1" a="1"/>
  <c r="B431" i="1" s="1"/>
  <c r="B432" i="1" a="1"/>
  <c r="B432" i="1" s="1"/>
  <c r="B433" i="1" a="1"/>
  <c r="B433" i="1" s="1"/>
  <c r="B434" i="1" a="1"/>
  <c r="B434" i="1" s="1"/>
  <c r="B435" i="1" a="1"/>
  <c r="B435" i="1" s="1"/>
  <c r="B436" i="1" a="1"/>
  <c r="B436" i="1" s="1"/>
  <c r="B437" i="1" a="1"/>
  <c r="B437" i="1" s="1"/>
  <c r="B438" i="1" a="1"/>
  <c r="B438" i="1" s="1"/>
  <c r="B439" i="1" a="1"/>
  <c r="B439" i="1" s="1"/>
  <c r="B440" i="1" a="1"/>
  <c r="B440" i="1" s="1"/>
  <c r="B441" i="1" a="1"/>
  <c r="B441" i="1" s="1"/>
  <c r="B442" i="1" a="1"/>
  <c r="B442" i="1" s="1"/>
  <c r="B443" i="1" a="1"/>
  <c r="B443" i="1" s="1"/>
  <c r="B444" i="1" a="1"/>
  <c r="B444" i="1" s="1"/>
  <c r="B445" i="1" a="1"/>
  <c r="B445" i="1" s="1"/>
  <c r="B446" i="1" a="1"/>
  <c r="B446" i="1" s="1"/>
  <c r="B447" i="1" a="1"/>
  <c r="B447" i="1" s="1"/>
  <c r="B448" i="1" a="1"/>
  <c r="B448" i="1" s="1"/>
  <c r="B449" i="1" a="1"/>
  <c r="B449" i="1" s="1"/>
  <c r="B450" i="1" a="1"/>
  <c r="B450" i="1" s="1"/>
  <c r="B451" i="1" a="1"/>
  <c r="B451" i="1" s="1"/>
  <c r="B452" i="1" a="1"/>
  <c r="B452" i="1" s="1"/>
  <c r="B453" i="1" a="1"/>
  <c r="B453" i="1" s="1"/>
  <c r="B454" i="1" a="1"/>
  <c r="B454" i="1" s="1"/>
  <c r="B455" i="1" a="1"/>
  <c r="B455" i="1" s="1"/>
  <c r="B456" i="1" a="1"/>
  <c r="B456" i="1" s="1"/>
  <c r="B457" i="1" a="1"/>
  <c r="B457" i="1" s="1"/>
  <c r="B458" i="1" a="1"/>
  <c r="B458" i="1" s="1"/>
  <c r="B459" i="1" a="1"/>
  <c r="B459" i="1" s="1"/>
  <c r="B460" i="1" a="1"/>
  <c r="B460" i="1" s="1"/>
  <c r="B461" i="1" a="1"/>
  <c r="B461" i="1" s="1"/>
  <c r="B462" i="1" a="1"/>
  <c r="B462" i="1" s="1"/>
  <c r="B463" i="1" a="1"/>
  <c r="B463" i="1" s="1"/>
  <c r="B464" i="1" a="1"/>
  <c r="B464" i="1" s="1"/>
  <c r="B465" i="1" a="1"/>
  <c r="B465" i="1" s="1"/>
  <c r="B466" i="1" a="1"/>
  <c r="B466" i="1" s="1"/>
  <c r="B467" i="1" a="1"/>
  <c r="B467" i="1" s="1"/>
  <c r="B468" i="1" a="1"/>
  <c r="B468" i="1" s="1"/>
  <c r="B469" i="1" a="1"/>
  <c r="B469" i="1" s="1"/>
  <c r="B470" i="1" a="1"/>
  <c r="B470" i="1" s="1"/>
  <c r="B471" i="1" a="1"/>
  <c r="B471" i="1" s="1"/>
  <c r="B472" i="1" a="1"/>
  <c r="B472" i="1" s="1"/>
  <c r="B473" i="1" a="1"/>
  <c r="B473" i="1" s="1"/>
  <c r="B474" i="1" a="1"/>
  <c r="B474" i="1" s="1"/>
  <c r="B475" i="1" a="1"/>
  <c r="B475" i="1" s="1"/>
  <c r="B476" i="1" a="1"/>
  <c r="B476" i="1" s="1"/>
  <c r="B477" i="1" a="1"/>
  <c r="B477" i="1" s="1"/>
  <c r="B478" i="1" a="1"/>
  <c r="B478" i="1" s="1"/>
  <c r="B479" i="1" a="1"/>
  <c r="B479" i="1" s="1"/>
  <c r="B480" i="1" a="1"/>
  <c r="B480" i="1" s="1"/>
  <c r="B481" i="1" a="1"/>
  <c r="B481" i="1" s="1"/>
  <c r="B482" i="1" a="1"/>
  <c r="B482" i="1" s="1"/>
  <c r="B483" i="1" a="1"/>
  <c r="B483" i="1" s="1"/>
  <c r="B484" i="1" a="1"/>
  <c r="B484" i="1" s="1"/>
  <c r="B485" i="1" a="1"/>
  <c r="B485" i="1" s="1"/>
  <c r="B486" i="1" a="1"/>
  <c r="B486" i="1" s="1"/>
  <c r="B487" i="1" a="1"/>
  <c r="B487" i="1" s="1"/>
  <c r="B488" i="1" a="1"/>
  <c r="B488" i="1" s="1"/>
  <c r="B489" i="1" a="1"/>
  <c r="B489" i="1" s="1"/>
  <c r="B490" i="1" a="1"/>
  <c r="B490" i="1" s="1"/>
  <c r="B491" i="1" a="1"/>
  <c r="B491" i="1" s="1"/>
  <c r="B492" i="1" a="1"/>
  <c r="B492" i="1" s="1"/>
  <c r="B493" i="1" a="1"/>
  <c r="B493" i="1" s="1"/>
  <c r="B494" i="1" a="1"/>
  <c r="B494" i="1" s="1"/>
  <c r="B495" i="1" a="1"/>
  <c r="B495" i="1" s="1"/>
  <c r="B496" i="1" a="1"/>
  <c r="B496" i="1" s="1"/>
  <c r="B497" i="1" a="1"/>
  <c r="B497" i="1" s="1"/>
  <c r="B498" i="1" a="1"/>
  <c r="B498" i="1" s="1"/>
  <c r="B499" i="1" a="1"/>
  <c r="B499" i="1" s="1"/>
  <c r="B500" i="1" a="1"/>
  <c r="B500" i="1" s="1"/>
  <c r="B501" i="1" a="1"/>
  <c r="B501" i="1" s="1"/>
  <c r="B502" i="1" a="1"/>
  <c r="B502" i="1" s="1"/>
  <c r="B503" i="1" a="1"/>
  <c r="B503" i="1" s="1"/>
  <c r="B504" i="1" a="1"/>
  <c r="B504" i="1" s="1"/>
  <c r="B505" i="1" a="1"/>
  <c r="B505" i="1" s="1"/>
  <c r="B506" i="1" a="1"/>
  <c r="B506" i="1" s="1"/>
  <c r="B507" i="1" a="1"/>
  <c r="B507" i="1" s="1"/>
  <c r="B508" i="1" a="1"/>
  <c r="B508" i="1" s="1"/>
  <c r="B509" i="1" a="1"/>
  <c r="B509" i="1" s="1"/>
  <c r="B510" i="1" a="1"/>
  <c r="B510" i="1" s="1"/>
  <c r="B511" i="1" a="1"/>
  <c r="B511" i="1" s="1"/>
  <c r="B512" i="1" a="1"/>
  <c r="B512" i="1" s="1"/>
  <c r="B513" i="1" a="1"/>
  <c r="B513" i="1" s="1"/>
  <c r="B514" i="1" a="1"/>
  <c r="B514" i="1" s="1"/>
  <c r="B515" i="1" a="1"/>
  <c r="B515" i="1" s="1"/>
  <c r="B516" i="1" a="1"/>
  <c r="B516" i="1" s="1"/>
  <c r="B517" i="1" a="1"/>
  <c r="B517" i="1" s="1"/>
  <c r="B518" i="1" a="1"/>
  <c r="B518" i="1" s="1"/>
  <c r="B519" i="1" a="1"/>
  <c r="B519" i="1" s="1"/>
  <c r="B520" i="1" a="1"/>
  <c r="B520" i="1" s="1"/>
  <c r="B521" i="1" a="1"/>
  <c r="B521" i="1" s="1"/>
  <c r="B522" i="1" a="1"/>
  <c r="B522" i="1" s="1"/>
  <c r="B523" i="1" a="1"/>
  <c r="B523" i="1" s="1"/>
  <c r="B524" i="1" a="1"/>
  <c r="B524" i="1" s="1"/>
  <c r="B525" i="1" a="1"/>
  <c r="B525" i="1" s="1"/>
  <c r="B526" i="1" a="1"/>
  <c r="B526" i="1" s="1"/>
  <c r="B527" i="1" a="1"/>
  <c r="B527" i="1" s="1"/>
  <c r="B528" i="1" a="1"/>
  <c r="B528" i="1" s="1"/>
  <c r="B529" i="1" a="1"/>
  <c r="B529" i="1" s="1"/>
  <c r="B530" i="1" a="1"/>
  <c r="B530" i="1" s="1"/>
  <c r="B531" i="1" a="1"/>
  <c r="B531" i="1" s="1"/>
  <c r="B532" i="1" a="1"/>
  <c r="B532" i="1"/>
  <c r="B533" i="1" a="1"/>
  <c r="B533" i="1" s="1"/>
  <c r="B534" i="1" a="1"/>
  <c r="B534" i="1" s="1"/>
  <c r="B535" i="1" a="1"/>
  <c r="B535" i="1" s="1"/>
  <c r="B536" i="1" a="1"/>
  <c r="B536" i="1" s="1"/>
  <c r="B537" i="1" a="1"/>
  <c r="B537" i="1" s="1"/>
  <c r="B538" i="1" a="1"/>
  <c r="B538" i="1" s="1"/>
  <c r="B539" i="1" a="1"/>
  <c r="B539" i="1" s="1"/>
  <c r="B540" i="1" a="1"/>
  <c r="B540" i="1" s="1"/>
  <c r="B541" i="1" a="1"/>
  <c r="B541" i="1" s="1"/>
  <c r="B542" i="1" a="1"/>
  <c r="B542" i="1" s="1"/>
  <c r="B543" i="1" a="1"/>
  <c r="B543" i="1" s="1"/>
  <c r="B544" i="1" a="1"/>
  <c r="B544" i="1" s="1"/>
  <c r="B545" i="1" a="1"/>
  <c r="B545" i="1" s="1"/>
  <c r="B546" i="1" a="1"/>
  <c r="B546" i="1" s="1"/>
  <c r="B547" i="1" a="1"/>
  <c r="B547" i="1" s="1"/>
  <c r="B548" i="1" a="1"/>
  <c r="B548" i="1" s="1"/>
  <c r="B549" i="1" a="1"/>
  <c r="B549" i="1" s="1"/>
  <c r="B550" i="1" a="1"/>
  <c r="B550" i="1" s="1"/>
  <c r="B551" i="1" a="1"/>
  <c r="B551" i="1" s="1"/>
  <c r="B552" i="1" a="1"/>
  <c r="B552" i="1" s="1"/>
  <c r="B553" i="1" a="1"/>
  <c r="B553" i="1" s="1"/>
  <c r="B554" i="1" a="1"/>
  <c r="B554" i="1" s="1"/>
  <c r="B555" i="1" a="1"/>
  <c r="B555" i="1" s="1"/>
  <c r="B556" i="1" a="1"/>
  <c r="B556" i="1" s="1"/>
  <c r="B557" i="1" a="1"/>
  <c r="B557" i="1" s="1"/>
  <c r="B558" i="1" a="1"/>
  <c r="B558" i="1" s="1"/>
  <c r="B559" i="1" a="1"/>
  <c r="B559" i="1" s="1"/>
  <c r="B560" i="1" a="1"/>
  <c r="B560" i="1" s="1"/>
  <c r="B561" i="1" a="1"/>
  <c r="B561" i="1" s="1"/>
  <c r="B562" i="1" a="1"/>
  <c r="B562" i="1" s="1"/>
  <c r="B563" i="1" a="1"/>
  <c r="B563" i="1" s="1"/>
  <c r="B564" i="1" a="1"/>
  <c r="B564" i="1" s="1"/>
  <c r="B565" i="1" a="1"/>
  <c r="B565" i="1" s="1"/>
  <c r="B566" i="1" a="1"/>
  <c r="B566" i="1" s="1"/>
  <c r="B567" i="1" a="1"/>
  <c r="B567" i="1" s="1"/>
  <c r="B568" i="1" a="1"/>
  <c r="B568" i="1" s="1"/>
  <c r="B569" i="1" a="1"/>
  <c r="B569" i="1" s="1"/>
  <c r="B570" i="1" a="1"/>
  <c r="B570" i="1" s="1"/>
  <c r="B571" i="1" a="1"/>
  <c r="B571" i="1" s="1"/>
  <c r="B572" i="1" a="1"/>
  <c r="B572" i="1" s="1"/>
  <c r="B573" i="1" a="1"/>
  <c r="B573" i="1" s="1"/>
  <c r="B574" i="1" a="1"/>
  <c r="B574" i="1" s="1"/>
  <c r="B575" i="1" a="1"/>
  <c r="B575" i="1" s="1"/>
  <c r="B576" i="1" a="1"/>
  <c r="B576" i="1" s="1"/>
  <c r="B577" i="1" a="1"/>
  <c r="B577" i="1" s="1"/>
  <c r="B578" i="1" a="1"/>
  <c r="B578" i="1" s="1"/>
  <c r="B579" i="1" a="1"/>
  <c r="B579" i="1" s="1"/>
  <c r="B580" i="1" a="1"/>
  <c r="B580" i="1" s="1"/>
  <c r="B581" i="1" a="1"/>
  <c r="B581" i="1" s="1"/>
  <c r="B582" i="1" a="1"/>
  <c r="B582" i="1" s="1"/>
  <c r="B583" i="1" a="1"/>
  <c r="B583" i="1" s="1"/>
  <c r="B584" i="1" a="1"/>
  <c r="B584" i="1" s="1"/>
  <c r="B585" i="1" a="1"/>
  <c r="B585" i="1" s="1"/>
  <c r="B586" i="1" a="1"/>
  <c r="B586" i="1" s="1"/>
  <c r="B587" i="1" a="1"/>
  <c r="B587" i="1" s="1"/>
  <c r="B588" i="1" a="1"/>
  <c r="B588" i="1" s="1"/>
  <c r="B589" i="1" a="1"/>
  <c r="B589" i="1" s="1"/>
  <c r="B590" i="1" a="1"/>
  <c r="B590" i="1" s="1"/>
  <c r="B591" i="1" a="1"/>
  <c r="B591" i="1" s="1"/>
  <c r="B592" i="1" a="1"/>
  <c r="B592" i="1" s="1"/>
  <c r="B593" i="1" a="1"/>
  <c r="B593" i="1" s="1"/>
  <c r="B594" i="1" a="1"/>
  <c r="B594" i="1" s="1"/>
  <c r="B595" i="1" a="1"/>
  <c r="B595" i="1" s="1"/>
  <c r="B596" i="1" a="1"/>
  <c r="B596" i="1" s="1"/>
  <c r="B597" i="1" a="1"/>
  <c r="B597" i="1" s="1"/>
  <c r="B598" i="1" a="1"/>
  <c r="B598" i="1" s="1"/>
  <c r="B599" i="1" a="1"/>
  <c r="B599" i="1" s="1"/>
  <c r="B600" i="1" a="1"/>
  <c r="B600" i="1" s="1"/>
  <c r="B601" i="1" a="1"/>
  <c r="B601" i="1" s="1"/>
  <c r="B602" i="1" a="1"/>
  <c r="B602" i="1" s="1"/>
  <c r="B603" i="1" a="1"/>
  <c r="B603" i="1" s="1"/>
  <c r="B604" i="1" a="1"/>
  <c r="B604" i="1" s="1"/>
  <c r="B605" i="1" a="1"/>
  <c r="B605" i="1" s="1"/>
  <c r="B606" i="1" a="1"/>
  <c r="B606" i="1" s="1"/>
  <c r="B607" i="1" a="1"/>
  <c r="B607" i="1" s="1"/>
  <c r="B608" i="1" a="1"/>
  <c r="B608" i="1" s="1"/>
  <c r="B609" i="1" a="1"/>
  <c r="B609" i="1" s="1"/>
  <c r="B610" i="1" a="1"/>
  <c r="B610" i="1" s="1"/>
  <c r="B611" i="1" a="1"/>
  <c r="B611" i="1" s="1"/>
  <c r="B612" i="1" a="1"/>
  <c r="B612" i="1" s="1"/>
  <c r="B613" i="1" a="1"/>
  <c r="B613" i="1"/>
  <c r="B614" i="1" a="1"/>
  <c r="B614" i="1" s="1"/>
  <c r="B615" i="1" a="1"/>
  <c r="B615" i="1" s="1"/>
  <c r="B616" i="1" a="1"/>
  <c r="B616" i="1" s="1"/>
  <c r="B617" i="1" a="1"/>
  <c r="B617" i="1" s="1"/>
  <c r="B618" i="1" a="1"/>
  <c r="B618" i="1" s="1"/>
  <c r="B619" i="1" a="1"/>
  <c r="B619" i="1" s="1"/>
  <c r="B620" i="1" a="1"/>
  <c r="B620" i="1" s="1"/>
  <c r="B621" i="1" a="1"/>
  <c r="B621" i="1" s="1"/>
  <c r="B622" i="1" a="1"/>
  <c r="B622" i="1" s="1"/>
  <c r="B623" i="1" a="1"/>
  <c r="B623" i="1" s="1"/>
  <c r="B624" i="1" a="1"/>
  <c r="B624" i="1" s="1"/>
  <c r="B625" i="1" a="1"/>
  <c r="B625" i="1" s="1"/>
  <c r="B626" i="1" a="1"/>
  <c r="B626" i="1" s="1"/>
  <c r="B627" i="1" a="1"/>
  <c r="B627" i="1" s="1"/>
  <c r="B628" i="1" a="1"/>
  <c r="B628" i="1" s="1"/>
  <c r="B629" i="1" a="1"/>
  <c r="B629" i="1" s="1"/>
  <c r="B630" i="1" a="1"/>
  <c r="B630" i="1" s="1"/>
  <c r="B631" i="1" a="1"/>
  <c r="B631" i="1" s="1"/>
  <c r="B632" i="1" a="1"/>
  <c r="B632" i="1" s="1"/>
  <c r="B633" i="1" a="1"/>
  <c r="B633" i="1" s="1"/>
  <c r="B634" i="1" a="1"/>
  <c r="B634" i="1" s="1"/>
  <c r="B635" i="1" a="1"/>
  <c r="B635" i="1" s="1"/>
  <c r="B636" i="1" a="1"/>
  <c r="B636" i="1" s="1"/>
  <c r="B637" i="1" a="1"/>
  <c r="B637" i="1" s="1"/>
  <c r="B638" i="1" a="1"/>
  <c r="B638" i="1" s="1"/>
  <c r="B639" i="1" a="1"/>
  <c r="B639" i="1" s="1"/>
  <c r="B640" i="1" a="1"/>
  <c r="B640" i="1" s="1"/>
  <c r="B641" i="1" a="1"/>
  <c r="B641" i="1" s="1"/>
  <c r="B642" i="1" a="1"/>
  <c r="B642" i="1" s="1"/>
  <c r="B643" i="1" a="1"/>
  <c r="B643" i="1" s="1"/>
  <c r="B644" i="1" a="1"/>
  <c r="B644" i="1" s="1"/>
  <c r="B645" i="1" a="1"/>
  <c r="B645" i="1" s="1"/>
  <c r="B646" i="1" a="1"/>
  <c r="B646" i="1" s="1"/>
  <c r="B647" i="1" a="1"/>
  <c r="B647" i="1" s="1"/>
  <c r="B648" i="1" a="1"/>
  <c r="B648" i="1" s="1"/>
  <c r="B649" i="1" a="1"/>
  <c r="B649" i="1" s="1"/>
  <c r="B650" i="1" a="1"/>
  <c r="B650" i="1" s="1"/>
  <c r="B651" i="1" a="1"/>
  <c r="B651" i="1" s="1"/>
  <c r="B652" i="1" a="1"/>
  <c r="B652" i="1" s="1"/>
  <c r="B653" i="1" a="1"/>
  <c r="B653" i="1" s="1"/>
  <c r="B654" i="1" a="1"/>
  <c r="B654" i="1" s="1"/>
  <c r="B655" i="1" a="1"/>
  <c r="B655" i="1" s="1"/>
  <c r="B656" i="1" a="1"/>
  <c r="B656" i="1" s="1"/>
  <c r="B657" i="1" a="1"/>
  <c r="B657" i="1" s="1"/>
  <c r="B658" i="1" a="1"/>
  <c r="B658" i="1" s="1"/>
  <c r="B659" i="1" a="1"/>
  <c r="B659" i="1" s="1"/>
  <c r="B660" i="1" a="1"/>
  <c r="B660" i="1" s="1"/>
  <c r="B661" i="1" a="1"/>
  <c r="B661" i="1" s="1"/>
  <c r="B662" i="1" a="1"/>
  <c r="B662" i="1" s="1"/>
  <c r="B663" i="1" a="1"/>
  <c r="B663" i="1" s="1"/>
  <c r="B664" i="1" a="1"/>
  <c r="B664" i="1" s="1"/>
  <c r="B665" i="1" a="1"/>
  <c r="B665" i="1" s="1"/>
  <c r="B666" i="1" a="1"/>
  <c r="B666" i="1" s="1"/>
  <c r="B667" i="1" a="1"/>
  <c r="B667" i="1" s="1"/>
  <c r="B668" i="1" a="1"/>
  <c r="B668" i="1" s="1"/>
  <c r="B669" i="1" a="1"/>
  <c r="B669" i="1" s="1"/>
  <c r="B670" i="1" a="1"/>
  <c r="B670" i="1" s="1"/>
  <c r="B671" i="1" a="1"/>
  <c r="B671" i="1" s="1"/>
  <c r="B672" i="1" a="1"/>
  <c r="B672" i="1" s="1"/>
  <c r="B673" i="1" a="1"/>
  <c r="B673" i="1" s="1"/>
  <c r="B674" i="1" a="1"/>
  <c r="B674" i="1" s="1"/>
  <c r="B675" i="1" a="1"/>
  <c r="B675" i="1" s="1"/>
  <c r="B676" i="1" a="1"/>
  <c r="B676" i="1" s="1"/>
  <c r="B677" i="1" a="1"/>
  <c r="B677" i="1" s="1"/>
  <c r="B678" i="1" a="1"/>
  <c r="B678" i="1" s="1"/>
  <c r="B679" i="1" a="1"/>
  <c r="B679" i="1" s="1"/>
  <c r="B680" i="1" a="1"/>
  <c r="B680" i="1" s="1"/>
  <c r="B681" i="1" a="1"/>
  <c r="B681" i="1" s="1"/>
  <c r="B682" i="1" a="1"/>
  <c r="B682" i="1" s="1"/>
  <c r="B683" i="1" a="1"/>
  <c r="B683" i="1" s="1"/>
  <c r="B684" i="1" a="1"/>
  <c r="B684" i="1" s="1"/>
  <c r="B685" i="1" a="1"/>
  <c r="B685" i="1" s="1"/>
  <c r="B686" i="1" a="1"/>
  <c r="B686" i="1" s="1"/>
  <c r="B687" i="1" a="1"/>
  <c r="B687" i="1" s="1"/>
  <c r="B688" i="1" a="1"/>
  <c r="B688" i="1" s="1"/>
  <c r="B689" i="1" a="1"/>
  <c r="B689" i="1" s="1"/>
  <c r="B690" i="1" a="1"/>
  <c r="B690" i="1" s="1"/>
  <c r="B691" i="1" a="1"/>
  <c r="B691" i="1" s="1"/>
  <c r="B692" i="1" a="1"/>
  <c r="B692" i="1" s="1"/>
  <c r="B693" i="1" a="1"/>
  <c r="B693" i="1" s="1"/>
  <c r="B694" i="1" a="1"/>
  <c r="B694" i="1" s="1"/>
  <c r="B695" i="1" a="1"/>
  <c r="B695" i="1" s="1"/>
  <c r="B696" i="1" a="1"/>
  <c r="B696" i="1" s="1"/>
  <c r="B697" i="1" a="1"/>
  <c r="B697" i="1" s="1"/>
  <c r="B698" i="1" a="1"/>
  <c r="B698" i="1" s="1"/>
  <c r="B699" i="1" a="1"/>
  <c r="B699" i="1" s="1"/>
  <c r="B700" i="1" a="1"/>
  <c r="B700" i="1" s="1"/>
  <c r="B701" i="1" a="1"/>
  <c r="B701" i="1" s="1"/>
  <c r="B702" i="1" a="1"/>
  <c r="B702" i="1" s="1"/>
  <c r="B703" i="1" a="1"/>
  <c r="B703" i="1" s="1"/>
  <c r="B704" i="1" a="1"/>
  <c r="B704" i="1" s="1"/>
  <c r="B705" i="1" a="1"/>
  <c r="B705" i="1" s="1"/>
  <c r="B706" i="1" a="1"/>
  <c r="B706" i="1" s="1"/>
  <c r="B707" i="1" a="1"/>
  <c r="B707" i="1" s="1"/>
  <c r="B708" i="1" a="1"/>
  <c r="B708" i="1" s="1"/>
  <c r="B709" i="1" a="1"/>
  <c r="B709" i="1" s="1"/>
  <c r="B710" i="1" a="1"/>
  <c r="B710" i="1" s="1"/>
  <c r="B711" i="1" a="1"/>
  <c r="B711" i="1" s="1"/>
  <c r="B712" i="1" a="1"/>
  <c r="B712" i="1" s="1"/>
  <c r="B713" i="1" a="1"/>
  <c r="B713" i="1" s="1"/>
  <c r="B714" i="1" a="1"/>
  <c r="B714" i="1" s="1"/>
  <c r="B715" i="1" a="1"/>
  <c r="B715" i="1" s="1"/>
  <c r="B716" i="1" a="1"/>
  <c r="B716" i="1" s="1"/>
  <c r="B717" i="1" a="1"/>
  <c r="B717" i="1" s="1"/>
  <c r="B718" i="1" a="1"/>
  <c r="B718" i="1" s="1"/>
  <c r="B719" i="1" a="1"/>
  <c r="B719" i="1" s="1"/>
  <c r="B720" i="1" a="1"/>
  <c r="B720" i="1" s="1"/>
  <c r="B721" i="1" a="1"/>
  <c r="B721" i="1" s="1"/>
  <c r="B722" i="1" a="1"/>
  <c r="B722" i="1" s="1"/>
  <c r="B723" i="1" a="1"/>
  <c r="B723" i="1" s="1"/>
  <c r="B724" i="1" a="1"/>
  <c r="B724" i="1" s="1"/>
  <c r="B725" i="1" a="1"/>
  <c r="B725" i="1" s="1"/>
  <c r="B726" i="1" a="1"/>
  <c r="B726" i="1" s="1"/>
  <c r="B727" i="1" a="1"/>
  <c r="B727" i="1" s="1"/>
  <c r="B728" i="1" a="1"/>
  <c r="B728" i="1" s="1"/>
  <c r="B729" i="1" a="1"/>
  <c r="B729" i="1" s="1"/>
  <c r="B730" i="1" a="1"/>
  <c r="B730" i="1" s="1"/>
  <c r="B731" i="1" a="1"/>
  <c r="B731" i="1" s="1"/>
  <c r="B732" i="1" a="1"/>
  <c r="B732" i="1" s="1"/>
  <c r="B733" i="1" a="1"/>
  <c r="B733" i="1" s="1"/>
  <c r="B734" i="1" a="1"/>
  <c r="B734" i="1" s="1"/>
  <c r="B735" i="1" a="1"/>
  <c r="B735" i="1" s="1"/>
  <c r="B736" i="1" a="1"/>
  <c r="B736" i="1" s="1"/>
  <c r="B737" i="1" a="1"/>
  <c r="B737" i="1" s="1"/>
  <c r="B738" i="1" a="1"/>
  <c r="B738" i="1" s="1"/>
  <c r="B739" i="1" a="1"/>
  <c r="B739" i="1" s="1"/>
  <c r="B740" i="1" a="1"/>
  <c r="B740" i="1" s="1"/>
  <c r="B741" i="1" a="1"/>
  <c r="B741" i="1" s="1"/>
  <c r="B742" i="1" a="1"/>
  <c r="B742" i="1" s="1"/>
  <c r="B743" i="1" a="1"/>
  <c r="B743" i="1" s="1"/>
  <c r="B744" i="1" a="1"/>
  <c r="B744" i="1" s="1"/>
  <c r="B745" i="1" a="1"/>
  <c r="B745" i="1" s="1"/>
  <c r="B746" i="1" a="1"/>
  <c r="B746" i="1" s="1"/>
  <c r="B747" i="1" a="1"/>
  <c r="B747" i="1" s="1"/>
  <c r="B748" i="1" a="1"/>
  <c r="B748" i="1" s="1"/>
  <c r="B749" i="1" a="1"/>
  <c r="B749" i="1" s="1"/>
  <c r="B750" i="1" a="1"/>
  <c r="B750" i="1" s="1"/>
  <c r="B751" i="1" a="1"/>
  <c r="B751" i="1" s="1"/>
  <c r="B752" i="1" a="1"/>
  <c r="B752" i="1" s="1"/>
  <c r="B753" i="1" a="1"/>
  <c r="B753" i="1" s="1"/>
  <c r="B754" i="1" a="1"/>
  <c r="B754" i="1" s="1"/>
  <c r="B755" i="1" a="1"/>
  <c r="B755" i="1" s="1"/>
  <c r="B756" i="1" a="1"/>
  <c r="B756" i="1" s="1"/>
  <c r="B757" i="1" a="1"/>
  <c r="B757" i="1" s="1"/>
  <c r="B758" i="1" a="1"/>
  <c r="B758" i="1" s="1"/>
  <c r="B759" i="1" a="1"/>
  <c r="B759" i="1" s="1"/>
  <c r="B760" i="1" a="1"/>
  <c r="B760" i="1" s="1"/>
  <c r="B761" i="1" a="1"/>
  <c r="B761" i="1" s="1"/>
  <c r="B762" i="1" a="1"/>
  <c r="B762" i="1" s="1"/>
  <c r="B763" i="1" a="1"/>
  <c r="B763" i="1" s="1"/>
  <c r="B764" i="1" a="1"/>
  <c r="B764" i="1" s="1"/>
  <c r="B765" i="1" a="1"/>
  <c r="B765" i="1" s="1"/>
  <c r="B766" i="1" a="1"/>
  <c r="B766" i="1" s="1"/>
  <c r="B767" i="1" a="1"/>
  <c r="B767" i="1" s="1"/>
  <c r="B768" i="1" a="1"/>
  <c r="B768" i="1" s="1"/>
  <c r="B769" i="1" a="1"/>
  <c r="B769" i="1" s="1"/>
  <c r="B770" i="1" a="1"/>
  <c r="B770" i="1" s="1"/>
  <c r="B771" i="1" a="1"/>
  <c r="B771" i="1" s="1"/>
  <c r="B772" i="1" a="1"/>
  <c r="B772" i="1" s="1"/>
  <c r="B773" i="1" a="1"/>
  <c r="B773" i="1" s="1"/>
  <c r="B774" i="1" a="1"/>
  <c r="B774" i="1" s="1"/>
  <c r="B775" i="1" a="1"/>
  <c r="B775" i="1" s="1"/>
  <c r="B776" i="1" a="1"/>
  <c r="B776" i="1" s="1"/>
  <c r="B777" i="1" a="1"/>
  <c r="B777" i="1" s="1"/>
  <c r="B778" i="1" a="1"/>
  <c r="B778" i="1" s="1"/>
  <c r="B779" i="1" a="1"/>
  <c r="B779" i="1" s="1"/>
  <c r="B780" i="1" a="1"/>
  <c r="B780" i="1" s="1"/>
  <c r="B781" i="1" a="1"/>
  <c r="B781" i="1" s="1"/>
  <c r="B782" i="1" a="1"/>
  <c r="B782" i="1" s="1"/>
  <c r="B783" i="1" a="1"/>
  <c r="B783" i="1" s="1"/>
  <c r="B784" i="1" a="1"/>
  <c r="B784" i="1" s="1"/>
  <c r="B785" i="1" a="1"/>
  <c r="B785" i="1" s="1"/>
  <c r="B786" i="1" a="1"/>
  <c r="B786" i="1" s="1"/>
  <c r="B787" i="1" a="1"/>
  <c r="B787" i="1" s="1"/>
  <c r="B788" i="1" a="1"/>
  <c r="B788" i="1" s="1"/>
  <c r="B789" i="1" a="1"/>
  <c r="B789" i="1" s="1"/>
  <c r="B790" i="1" a="1"/>
  <c r="B790" i="1" s="1"/>
  <c r="B791" i="1" a="1"/>
  <c r="B791" i="1" s="1"/>
  <c r="B792" i="1" a="1"/>
  <c r="B792" i="1" s="1"/>
  <c r="B793" i="1" a="1"/>
  <c r="B793" i="1" s="1"/>
  <c r="B794" i="1" a="1"/>
  <c r="B794" i="1" s="1"/>
  <c r="B795" i="1" a="1"/>
  <c r="B795" i="1" s="1"/>
  <c r="B796" i="1" a="1"/>
  <c r="B796" i="1" s="1"/>
  <c r="B797" i="1" a="1"/>
  <c r="B797" i="1" s="1"/>
  <c r="B798" i="1" a="1"/>
  <c r="B798" i="1" s="1"/>
  <c r="B799" i="1" a="1"/>
  <c r="B799" i="1" s="1"/>
  <c r="B800" i="1" a="1"/>
  <c r="B800" i="1" s="1"/>
  <c r="B801" i="1" a="1"/>
  <c r="B801" i="1" s="1"/>
  <c r="B802" i="1" a="1"/>
  <c r="B802" i="1" s="1"/>
  <c r="B803" i="1" a="1"/>
  <c r="B803" i="1" s="1"/>
  <c r="B804" i="1" a="1"/>
  <c r="B804" i="1" s="1"/>
  <c r="B805" i="1" a="1"/>
  <c r="B805" i="1" s="1"/>
  <c r="B806" i="1" a="1"/>
  <c r="B806" i="1" s="1"/>
  <c r="B807" i="1" a="1"/>
  <c r="B807" i="1" s="1"/>
  <c r="B808" i="1" a="1"/>
  <c r="B808" i="1" s="1"/>
  <c r="B809" i="1" a="1"/>
  <c r="B809" i="1" s="1"/>
  <c r="B810" i="1" a="1"/>
  <c r="B810" i="1" s="1"/>
  <c r="B811" i="1" a="1"/>
  <c r="B811" i="1" s="1"/>
  <c r="B812" i="1" a="1"/>
  <c r="B812" i="1" s="1"/>
  <c r="B813" i="1" a="1"/>
  <c r="B813" i="1" s="1"/>
  <c r="B814" i="1" a="1"/>
  <c r="B814" i="1" s="1"/>
  <c r="B815" i="1" a="1"/>
  <c r="B815" i="1" s="1"/>
  <c r="B816" i="1" a="1"/>
  <c r="B816" i="1" s="1"/>
  <c r="B817" i="1" a="1"/>
  <c r="B817" i="1" s="1"/>
  <c r="B818" i="1" a="1"/>
  <c r="B818" i="1" s="1"/>
  <c r="B819" i="1" a="1"/>
  <c r="B819" i="1" s="1"/>
  <c r="B820" i="1" a="1"/>
  <c r="B820" i="1" s="1"/>
  <c r="B821" i="1" a="1"/>
  <c r="B821" i="1" s="1"/>
  <c r="B822" i="1" a="1"/>
  <c r="B822" i="1" s="1"/>
  <c r="B823" i="1" a="1"/>
  <c r="B823" i="1" s="1"/>
  <c r="B824" i="1" a="1"/>
  <c r="B824" i="1" s="1"/>
  <c r="B825" i="1" a="1"/>
  <c r="B825" i="1" s="1"/>
  <c r="B826" i="1" a="1"/>
  <c r="B826" i="1" s="1"/>
  <c r="B827" i="1" a="1"/>
  <c r="B827" i="1" s="1"/>
  <c r="B828" i="1" a="1"/>
  <c r="B828" i="1" s="1"/>
  <c r="B829" i="1" a="1"/>
  <c r="B829" i="1" s="1"/>
  <c r="B830" i="1" a="1"/>
  <c r="B830" i="1" s="1"/>
  <c r="B831" i="1" a="1"/>
  <c r="B831" i="1" s="1"/>
  <c r="B832" i="1" a="1"/>
  <c r="B832" i="1" s="1"/>
  <c r="B833" i="1" a="1"/>
  <c r="B833" i="1" s="1"/>
  <c r="B834" i="1" a="1"/>
  <c r="B834" i="1" s="1"/>
  <c r="B835" i="1" a="1"/>
  <c r="B835" i="1" s="1"/>
  <c r="B836" i="1" a="1"/>
  <c r="B836" i="1" s="1"/>
  <c r="B837" i="1" a="1"/>
  <c r="B837" i="1" s="1"/>
  <c r="B838" i="1" a="1"/>
  <c r="B838" i="1" s="1"/>
  <c r="B839" i="1" a="1"/>
  <c r="B839" i="1" s="1"/>
  <c r="B840" i="1" a="1"/>
  <c r="B840" i="1" s="1"/>
  <c r="B841" i="1" a="1"/>
  <c r="B841" i="1" s="1"/>
  <c r="B842" i="1" a="1"/>
  <c r="B842" i="1" s="1"/>
  <c r="B843" i="1" a="1"/>
  <c r="B843" i="1" s="1"/>
  <c r="B844" i="1" a="1"/>
  <c r="B844" i="1" s="1"/>
  <c r="B845" i="1" a="1"/>
  <c r="B845" i="1" s="1"/>
  <c r="B846" i="1" a="1"/>
  <c r="B846" i="1" s="1"/>
  <c r="B847" i="1" a="1"/>
  <c r="B847" i="1" s="1"/>
  <c r="B848" i="1" a="1"/>
  <c r="B848" i="1" s="1"/>
  <c r="B849" i="1" a="1"/>
  <c r="B849" i="1" s="1"/>
  <c r="B850" i="1" a="1"/>
  <c r="B850" i="1" s="1"/>
  <c r="B851" i="1" a="1"/>
  <c r="B851" i="1" s="1"/>
  <c r="B852" i="1" a="1"/>
  <c r="B852" i="1" s="1"/>
  <c r="B853" i="1" a="1"/>
  <c r="B853" i="1" s="1"/>
  <c r="B854" i="1" a="1"/>
  <c r="B854" i="1" s="1"/>
  <c r="B855" i="1" a="1"/>
  <c r="B855" i="1" s="1"/>
  <c r="B856" i="1" a="1"/>
  <c r="B856" i="1" s="1"/>
  <c r="B857" i="1" a="1"/>
  <c r="B857" i="1" s="1"/>
  <c r="B858" i="1" a="1"/>
  <c r="B858" i="1" s="1"/>
  <c r="B859" i="1" a="1"/>
  <c r="B859" i="1" s="1"/>
  <c r="B860" i="1" a="1"/>
  <c r="B860" i="1" s="1"/>
  <c r="B861" i="1" a="1"/>
  <c r="B861" i="1" s="1"/>
  <c r="B862" i="1" a="1"/>
  <c r="B862" i="1" s="1"/>
  <c r="B863" i="1" a="1"/>
  <c r="B863" i="1" s="1"/>
  <c r="B864" i="1" a="1"/>
  <c r="B864" i="1" s="1"/>
  <c r="B865" i="1" a="1"/>
  <c r="B865" i="1" s="1"/>
  <c r="B866" i="1" a="1"/>
  <c r="B866" i="1" s="1"/>
  <c r="B867" i="1" a="1"/>
  <c r="B867" i="1" s="1"/>
  <c r="B868" i="1" a="1"/>
  <c r="B868" i="1" s="1"/>
  <c r="B869" i="1" a="1"/>
  <c r="B869" i="1" s="1"/>
  <c r="B870" i="1" a="1"/>
  <c r="B870" i="1" s="1"/>
  <c r="B871" i="1" a="1"/>
  <c r="B871" i="1" s="1"/>
  <c r="B872" i="1" a="1"/>
  <c r="B872" i="1" s="1"/>
  <c r="B873" i="1" a="1"/>
  <c r="B873" i="1" s="1"/>
  <c r="B874" i="1" a="1"/>
  <c r="B874" i="1" s="1"/>
  <c r="B875" i="1" a="1"/>
  <c r="B875" i="1" s="1"/>
  <c r="B876" i="1" a="1"/>
  <c r="B876" i="1" s="1"/>
  <c r="B877" i="1" a="1"/>
  <c r="B877" i="1" s="1"/>
  <c r="B878" i="1" a="1"/>
  <c r="B878" i="1" s="1"/>
  <c r="B879" i="1" a="1"/>
  <c r="B879" i="1" s="1"/>
  <c r="B880" i="1" a="1"/>
  <c r="B880" i="1" s="1"/>
  <c r="B881" i="1" a="1"/>
  <c r="B881" i="1" s="1"/>
  <c r="B882" i="1" a="1"/>
  <c r="B882" i="1" s="1"/>
  <c r="B883" i="1" a="1"/>
  <c r="B883" i="1" s="1"/>
  <c r="B884" i="1" a="1"/>
  <c r="B884" i="1" s="1"/>
  <c r="B885" i="1" a="1"/>
  <c r="B885" i="1" s="1"/>
  <c r="B886" i="1" a="1"/>
  <c r="B886" i="1" s="1"/>
  <c r="B887" i="1" a="1"/>
  <c r="B887" i="1" s="1"/>
  <c r="B888" i="1" a="1"/>
  <c r="B888" i="1" s="1"/>
  <c r="B889" i="1" a="1"/>
  <c r="B889" i="1" s="1"/>
  <c r="B890" i="1" a="1"/>
  <c r="B890" i="1" s="1"/>
  <c r="B891" i="1" a="1"/>
  <c r="B891" i="1" s="1"/>
  <c r="B892" i="1" a="1"/>
  <c r="B892" i="1" s="1"/>
  <c r="B893" i="1" a="1"/>
  <c r="B893" i="1" s="1"/>
  <c r="B894" i="1" a="1"/>
  <c r="B894" i="1" s="1"/>
  <c r="B895" i="1" a="1"/>
  <c r="B895" i="1" s="1"/>
  <c r="B896" i="1" a="1"/>
  <c r="B896" i="1" s="1"/>
  <c r="B897" i="1" a="1"/>
  <c r="B897" i="1" s="1"/>
  <c r="B898" i="1" a="1"/>
  <c r="B898" i="1" s="1"/>
  <c r="B899" i="1" a="1"/>
  <c r="B899" i="1" s="1"/>
  <c r="B900" i="1" a="1"/>
  <c r="B900" i="1" s="1"/>
  <c r="B901" i="1" a="1"/>
  <c r="B901" i="1" s="1"/>
  <c r="B902" i="1" a="1"/>
  <c r="B902" i="1" s="1"/>
  <c r="B903" i="1" a="1"/>
  <c r="B903" i="1" s="1"/>
  <c r="B904" i="1" a="1"/>
  <c r="B904" i="1" s="1"/>
  <c r="B905" i="1" a="1"/>
  <c r="B905" i="1" s="1"/>
  <c r="B906" i="1" a="1"/>
  <c r="B906" i="1" s="1"/>
  <c r="B907" i="1" a="1"/>
  <c r="B907" i="1" s="1"/>
  <c r="B908" i="1" a="1"/>
  <c r="B908" i="1" s="1"/>
  <c r="B909" i="1" a="1"/>
  <c r="B909" i="1" s="1"/>
  <c r="B910" i="1" a="1"/>
  <c r="B910" i="1" s="1"/>
  <c r="B911" i="1" a="1"/>
  <c r="B911" i="1" s="1"/>
  <c r="B912" i="1" a="1"/>
  <c r="B912" i="1" s="1"/>
  <c r="B913" i="1" a="1"/>
  <c r="B913" i="1" s="1"/>
  <c r="B914" i="1" a="1"/>
  <c r="B914" i="1" s="1"/>
  <c r="B915" i="1" a="1"/>
  <c r="B915" i="1" s="1"/>
  <c r="B916" i="1" a="1"/>
  <c r="B916" i="1" s="1"/>
  <c r="B917" i="1" a="1"/>
  <c r="B917" i="1" s="1"/>
  <c r="B918" i="1" a="1"/>
  <c r="B918" i="1" s="1"/>
  <c r="B919" i="1" a="1"/>
  <c r="B919" i="1" s="1"/>
  <c r="B920" i="1" a="1"/>
  <c r="B920" i="1" s="1"/>
  <c r="B921" i="1" a="1"/>
  <c r="B921" i="1" s="1"/>
  <c r="B922" i="1" a="1"/>
  <c r="B922" i="1" s="1"/>
  <c r="B923" i="1" a="1"/>
  <c r="B923" i="1" s="1"/>
  <c r="B924" i="1" a="1"/>
  <c r="B924" i="1" s="1"/>
  <c r="B925" i="1" a="1"/>
  <c r="B925" i="1" s="1"/>
  <c r="B926" i="1" a="1"/>
  <c r="B926" i="1" s="1"/>
  <c r="B927" i="1" a="1"/>
  <c r="B927" i="1" s="1"/>
  <c r="B928" i="1" a="1"/>
  <c r="B928" i="1" s="1"/>
  <c r="B929" i="1" a="1"/>
  <c r="B929" i="1" s="1"/>
  <c r="B930" i="1" a="1"/>
  <c r="B930" i="1" s="1"/>
  <c r="B931" i="1" a="1"/>
  <c r="B931" i="1" s="1"/>
  <c r="B932" i="1" a="1"/>
  <c r="B932" i="1" s="1"/>
  <c r="B933" i="1" a="1"/>
  <c r="B933" i="1" s="1"/>
  <c r="B934" i="1" a="1"/>
  <c r="B934" i="1" s="1"/>
  <c r="B935" i="1" a="1"/>
  <c r="B935" i="1" s="1"/>
  <c r="B936" i="1" a="1"/>
  <c r="B936" i="1" s="1"/>
  <c r="B937" i="1" a="1"/>
  <c r="B937" i="1" s="1"/>
  <c r="B938" i="1" a="1"/>
  <c r="B938" i="1" s="1"/>
  <c r="B939" i="1" a="1"/>
  <c r="B939" i="1" s="1"/>
  <c r="B940" i="1" a="1"/>
  <c r="B940" i="1" s="1"/>
  <c r="B941" i="1" a="1"/>
  <c r="B941" i="1" s="1"/>
  <c r="B942" i="1" a="1"/>
  <c r="B942" i="1" s="1"/>
  <c r="B943" i="1" a="1"/>
  <c r="B943" i="1" s="1"/>
  <c r="B944" i="1" a="1"/>
  <c r="B944" i="1" s="1"/>
  <c r="B945" i="1" a="1"/>
  <c r="B945" i="1" s="1"/>
  <c r="B946" i="1" a="1"/>
  <c r="B946" i="1" s="1"/>
  <c r="B947" i="1" a="1"/>
  <c r="B947" i="1" s="1"/>
  <c r="B948" i="1" a="1"/>
  <c r="B948" i="1" s="1"/>
  <c r="B949" i="1" a="1"/>
  <c r="B949" i="1" s="1"/>
  <c r="B950" i="1" a="1"/>
  <c r="B950" i="1" s="1"/>
  <c r="B951" i="1" a="1"/>
  <c r="B951" i="1" s="1"/>
  <c r="B952" i="1" a="1"/>
  <c r="B952" i="1" s="1"/>
  <c r="B953" i="1" a="1"/>
  <c r="B953" i="1" s="1"/>
  <c r="B954" i="1" a="1"/>
  <c r="B954" i="1" s="1"/>
  <c r="B955" i="1" a="1"/>
  <c r="B955" i="1" s="1"/>
  <c r="B956" i="1" a="1"/>
  <c r="B956" i="1" s="1"/>
  <c r="B957" i="1" a="1"/>
  <c r="B957" i="1" s="1"/>
  <c r="B958" i="1" a="1"/>
  <c r="B958" i="1" s="1"/>
  <c r="B959" i="1" a="1"/>
  <c r="B959" i="1" s="1"/>
  <c r="B960" i="1" a="1"/>
  <c r="B960" i="1" s="1"/>
  <c r="B961" i="1" a="1"/>
  <c r="B961" i="1" s="1"/>
  <c r="B962" i="1" a="1"/>
  <c r="B962" i="1" s="1"/>
  <c r="B963" i="1" a="1"/>
  <c r="B963" i="1" s="1"/>
  <c r="B964" i="1" a="1"/>
  <c r="B964" i="1" s="1"/>
  <c r="B965" i="1" a="1"/>
  <c r="B965" i="1" s="1"/>
  <c r="B966" i="1" a="1"/>
  <c r="B966" i="1" s="1"/>
  <c r="B967" i="1" a="1"/>
  <c r="B967" i="1" s="1"/>
  <c r="B968" i="1" a="1"/>
  <c r="B968" i="1" s="1"/>
  <c r="B969" i="1" a="1"/>
  <c r="B969" i="1" s="1"/>
  <c r="B970" i="1" a="1"/>
  <c r="B970" i="1" s="1"/>
  <c r="B971" i="1" a="1"/>
  <c r="B971" i="1" s="1"/>
  <c r="B972" i="1" a="1"/>
  <c r="B972" i="1" s="1"/>
  <c r="B973" i="1" a="1"/>
  <c r="B973" i="1" s="1"/>
  <c r="B974" i="1" a="1"/>
  <c r="B974" i="1" s="1"/>
  <c r="B975" i="1" a="1"/>
  <c r="B975" i="1" s="1"/>
  <c r="B976" i="1" a="1"/>
  <c r="B976" i="1" s="1"/>
  <c r="B977" i="1" a="1"/>
  <c r="B977" i="1" s="1"/>
  <c r="B978" i="1" a="1"/>
  <c r="B978" i="1" s="1"/>
  <c r="B979" i="1" a="1"/>
  <c r="B979" i="1" s="1"/>
  <c r="B980" i="1" a="1"/>
  <c r="B980" i="1" s="1"/>
  <c r="B981" i="1" a="1"/>
  <c r="B981" i="1" s="1"/>
  <c r="B982" i="1" a="1"/>
  <c r="B982" i="1" s="1"/>
  <c r="B983" i="1" a="1"/>
  <c r="B983" i="1" s="1"/>
  <c r="B984" i="1" a="1"/>
  <c r="B984" i="1" s="1"/>
  <c r="B985" i="1" a="1"/>
  <c r="B985" i="1" s="1"/>
  <c r="B986" i="1" a="1"/>
  <c r="B986" i="1" s="1"/>
  <c r="B987" i="1" a="1"/>
  <c r="B987" i="1" s="1"/>
  <c r="B988" i="1" a="1"/>
  <c r="B988" i="1" s="1"/>
  <c r="B989" i="1" a="1"/>
  <c r="B989" i="1" s="1"/>
  <c r="B990" i="1" a="1"/>
  <c r="B990" i="1" s="1"/>
  <c r="B991" i="1" a="1"/>
  <c r="B991" i="1" s="1"/>
  <c r="B992" i="1" a="1"/>
  <c r="B992" i="1" s="1"/>
  <c r="B993" i="1" a="1"/>
  <c r="B993" i="1" s="1"/>
  <c r="B994" i="1" a="1"/>
  <c r="B994" i="1" s="1"/>
  <c r="B995" i="1" a="1"/>
  <c r="B995" i="1" s="1"/>
  <c r="B996" i="1" a="1"/>
  <c r="B996" i="1" s="1"/>
  <c r="B997" i="1" a="1"/>
  <c r="B997" i="1" s="1"/>
  <c r="B998" i="1" a="1"/>
  <c r="B998" i="1" s="1"/>
  <c r="B999" i="1" a="1"/>
  <c r="B999" i="1" s="1"/>
  <c r="B1000" i="1" a="1"/>
  <c r="B1000" i="1" s="1"/>
  <c r="B1001" i="1" a="1"/>
  <c r="B1001" i="1" s="1"/>
  <c r="B1002" i="1" a="1"/>
  <c r="B1002" i="1" s="1"/>
  <c r="B1003" i="1" a="1"/>
  <c r="B1003" i="1" s="1"/>
  <c r="B1004" i="1" a="1"/>
  <c r="B1004" i="1" s="1"/>
  <c r="B1005" i="1" a="1"/>
  <c r="B1005" i="1" s="1"/>
  <c r="B1006" i="1" a="1"/>
  <c r="B1006" i="1" s="1"/>
  <c r="B1007" i="1" a="1"/>
  <c r="B1007" i="1" s="1"/>
  <c r="B1008" i="1" a="1"/>
  <c r="B1008" i="1" s="1"/>
  <c r="B1009" i="1" a="1"/>
  <c r="B1009" i="1" s="1"/>
  <c r="B1010" i="1" a="1"/>
  <c r="B1010" i="1" s="1"/>
  <c r="B1011" i="1" a="1"/>
  <c r="B1011" i="1" s="1"/>
  <c r="B1012" i="1" a="1"/>
  <c r="B1012" i="1" s="1"/>
  <c r="B1013" i="1" a="1"/>
  <c r="B1013" i="1" s="1"/>
  <c r="B1014" i="1" a="1"/>
  <c r="B1014" i="1" s="1"/>
  <c r="B1015" i="1" a="1"/>
  <c r="B1015" i="1" s="1"/>
  <c r="B1016" i="1" a="1"/>
  <c r="B1016" i="1" s="1"/>
  <c r="B1017" i="1" a="1"/>
  <c r="B1017" i="1" s="1"/>
  <c r="B1018" i="1" a="1"/>
  <c r="B1018" i="1" s="1"/>
  <c r="B1019" i="1" a="1"/>
  <c r="B1019" i="1" s="1"/>
  <c r="B1020" i="1" a="1"/>
  <c r="B1020" i="1" s="1"/>
  <c r="B1021" i="1" a="1"/>
  <c r="B1021" i="1" s="1"/>
  <c r="B1022" i="1" a="1"/>
  <c r="B1022" i="1" s="1"/>
  <c r="B1023" i="1" a="1"/>
  <c r="B1023" i="1" s="1"/>
  <c r="B1024" i="1" a="1"/>
  <c r="B1024" i="1" s="1"/>
  <c r="B1025" i="1" a="1"/>
  <c r="B1025" i="1" s="1"/>
  <c r="B1026" i="1" a="1"/>
  <c r="B1026" i="1" s="1"/>
  <c r="B1027" i="1" a="1"/>
  <c r="B1027" i="1" s="1"/>
  <c r="B1028" i="1" a="1"/>
  <c r="B1028" i="1" s="1"/>
  <c r="B1029" i="1" a="1"/>
  <c r="B1029" i="1" s="1"/>
  <c r="B1030" i="1" a="1"/>
  <c r="B1030" i="1" s="1"/>
  <c r="B1031" i="1" a="1"/>
  <c r="B1031" i="1" s="1"/>
  <c r="B1032" i="1" a="1"/>
  <c r="B1032" i="1" s="1"/>
  <c r="B1033" i="1" a="1"/>
  <c r="B1033" i="1" s="1"/>
  <c r="B1034" i="1" a="1"/>
  <c r="B1034" i="1" s="1"/>
  <c r="B1035" i="1" a="1"/>
  <c r="B1035" i="1" s="1"/>
  <c r="B1036" i="1" a="1"/>
  <c r="B1036" i="1" s="1"/>
  <c r="B1037" i="1" a="1"/>
  <c r="B1037" i="1" s="1"/>
  <c r="B1038" i="1" a="1"/>
  <c r="B1038" i="1" s="1"/>
  <c r="B1039" i="1" a="1"/>
  <c r="B1039" i="1" s="1"/>
  <c r="B1040" i="1" a="1"/>
  <c r="B1040" i="1" s="1"/>
  <c r="B1041" i="1" a="1"/>
  <c r="B1041" i="1" s="1"/>
  <c r="B1042" i="1" a="1"/>
  <c r="B1042" i="1" s="1"/>
  <c r="B1043" i="1" a="1"/>
  <c r="B1043" i="1" s="1"/>
  <c r="B1044" i="1" a="1"/>
  <c r="B1044" i="1" s="1"/>
  <c r="B1045" i="1" a="1"/>
  <c r="B1045" i="1" s="1"/>
  <c r="B1046" i="1" a="1"/>
  <c r="B1046" i="1" s="1"/>
  <c r="B1047" i="1" a="1"/>
  <c r="B1047" i="1" s="1"/>
  <c r="B1048" i="1" a="1"/>
  <c r="B1048" i="1" s="1"/>
  <c r="B1049" i="1" a="1"/>
  <c r="B1049" i="1" s="1"/>
  <c r="B1050" i="1" a="1"/>
  <c r="B1050" i="1" s="1"/>
  <c r="B1051" i="1" a="1"/>
  <c r="B1051" i="1" s="1"/>
  <c r="B1052" i="1" a="1"/>
  <c r="B1052" i="1" s="1"/>
  <c r="B1053" i="1" a="1"/>
  <c r="B1053" i="1" s="1"/>
  <c r="B1054" i="1" a="1"/>
  <c r="B1054" i="1" s="1"/>
  <c r="B1055" i="1" a="1"/>
  <c r="B1055" i="1" s="1"/>
  <c r="B1056" i="1" a="1"/>
  <c r="B1056" i="1" s="1"/>
  <c r="B1057" i="1" a="1"/>
  <c r="B1057" i="1" s="1"/>
  <c r="B1058" i="1" a="1"/>
  <c r="B1058" i="1" s="1"/>
  <c r="B1059" i="1" a="1"/>
  <c r="B1059" i="1" s="1"/>
  <c r="B1060" i="1" a="1"/>
  <c r="B1060" i="1" s="1"/>
  <c r="B1061" i="1" a="1"/>
  <c r="B1061" i="1" s="1"/>
  <c r="B1062" i="1" a="1"/>
  <c r="B1062" i="1" s="1"/>
  <c r="B1063" i="1" a="1"/>
  <c r="B1063" i="1" s="1"/>
  <c r="B1064" i="1" a="1"/>
  <c r="B1064" i="1" s="1"/>
  <c r="B1065" i="1" a="1"/>
  <c r="B1065" i="1" s="1"/>
  <c r="B1066" i="1" a="1"/>
  <c r="B1066" i="1" s="1"/>
  <c r="B1067" i="1" a="1"/>
  <c r="B1067" i="1" s="1"/>
  <c r="B1068" i="1" a="1"/>
  <c r="B1068" i="1" s="1"/>
  <c r="B1069" i="1" a="1"/>
  <c r="B1069" i="1" s="1"/>
  <c r="B1070" i="1" a="1"/>
  <c r="B1070" i="1" s="1"/>
  <c r="B1071" i="1" a="1"/>
  <c r="B1071" i="1" s="1"/>
  <c r="B1072" i="1" a="1"/>
  <c r="B1072" i="1" s="1"/>
  <c r="B1073" i="1" a="1"/>
  <c r="B1073" i="1" s="1"/>
  <c r="B1074" i="1" a="1"/>
  <c r="B1074" i="1" s="1"/>
  <c r="B1075" i="1" a="1"/>
  <c r="B1075" i="1" s="1"/>
  <c r="B1076" i="1" a="1"/>
  <c r="B1076" i="1" s="1"/>
  <c r="B1077" i="1" a="1"/>
  <c r="B1077" i="1" s="1"/>
  <c r="B1078" i="1" a="1"/>
  <c r="B1078" i="1" s="1"/>
  <c r="B1079" i="1" a="1"/>
  <c r="B1079" i="1" s="1"/>
  <c r="B1080" i="1" a="1"/>
  <c r="B1080" i="1" s="1"/>
  <c r="B1081" i="1" a="1"/>
  <c r="B1081" i="1" s="1"/>
  <c r="B1082" i="1" a="1"/>
  <c r="B1082" i="1" s="1"/>
  <c r="B1083" i="1" a="1"/>
  <c r="B1083" i="1" s="1"/>
  <c r="B1084" i="1" a="1"/>
  <c r="B1084" i="1" s="1"/>
  <c r="B1085" i="1" a="1"/>
  <c r="B1085" i="1" s="1"/>
  <c r="B1086" i="1" a="1"/>
  <c r="B1086" i="1" s="1"/>
  <c r="B1087" i="1" a="1"/>
  <c r="B1087" i="1" s="1"/>
  <c r="B1088" i="1" a="1"/>
  <c r="B1088" i="1" s="1"/>
  <c r="B1089" i="1" a="1"/>
  <c r="B1089" i="1" s="1"/>
  <c r="B1090" i="1" a="1"/>
  <c r="B1090" i="1" s="1"/>
  <c r="B1091" i="1" a="1"/>
  <c r="B1091" i="1" s="1"/>
  <c r="B1092" i="1" a="1"/>
  <c r="B1092" i="1" s="1"/>
  <c r="B1093" i="1" a="1"/>
  <c r="B1093" i="1" s="1"/>
  <c r="B1094" i="1" a="1"/>
  <c r="B1094" i="1" s="1"/>
  <c r="B1095" i="1" a="1"/>
  <c r="B1095" i="1" s="1"/>
  <c r="B1096" i="1" a="1"/>
  <c r="B1096" i="1" s="1"/>
  <c r="B1097" i="1" a="1"/>
  <c r="B1097" i="1" s="1"/>
  <c r="B1098" i="1" a="1"/>
  <c r="B1098" i="1" s="1"/>
  <c r="B1099" i="1" a="1"/>
  <c r="B1099" i="1" s="1"/>
  <c r="B1100" i="1" a="1"/>
  <c r="B1100" i="1" s="1"/>
  <c r="B1101" i="1" a="1"/>
  <c r="B1101" i="1" s="1"/>
  <c r="B1102" i="1" a="1"/>
  <c r="B1102" i="1" s="1"/>
  <c r="B1103" i="1" a="1"/>
  <c r="B1103" i="1" s="1"/>
  <c r="B1104" i="1" a="1"/>
  <c r="B1104" i="1" s="1"/>
  <c r="B1105" i="1" a="1"/>
  <c r="B1105" i="1" s="1"/>
  <c r="B1106" i="1" a="1"/>
  <c r="B1106" i="1" s="1"/>
  <c r="B1107" i="1" a="1"/>
  <c r="B1107" i="1" s="1"/>
  <c r="B1108" i="1" a="1"/>
  <c r="B1108" i="1" s="1"/>
  <c r="B1109" i="1" a="1"/>
  <c r="B1109" i="1" s="1"/>
  <c r="B1110" i="1" a="1"/>
  <c r="B1110" i="1" s="1"/>
  <c r="B1111" i="1" a="1"/>
  <c r="B1111" i="1" s="1"/>
  <c r="B1112" i="1" a="1"/>
  <c r="B1112" i="1" s="1"/>
  <c r="B1113" i="1" a="1"/>
  <c r="B1113" i="1" s="1"/>
  <c r="B1114" i="1" a="1"/>
  <c r="B1114" i="1" s="1"/>
  <c r="B1115" i="1" a="1"/>
  <c r="B1115" i="1" s="1"/>
  <c r="B1116" i="1" a="1"/>
  <c r="B1116" i="1" s="1"/>
  <c r="B1117" i="1" a="1"/>
  <c r="B1117" i="1" s="1"/>
  <c r="B1118" i="1" a="1"/>
  <c r="B1118" i="1" s="1"/>
  <c r="B1119" i="1" a="1"/>
  <c r="B1119" i="1" s="1"/>
  <c r="B1120" i="1" a="1"/>
  <c r="B1120" i="1" s="1"/>
  <c r="B1121" i="1" a="1"/>
  <c r="B1121" i="1" s="1"/>
  <c r="B1122" i="1" a="1"/>
  <c r="B1122" i="1" s="1"/>
  <c r="B1123" i="1" a="1"/>
  <c r="B1123" i="1" s="1"/>
  <c r="B1124" i="1" a="1"/>
  <c r="B1124" i="1" s="1"/>
  <c r="B1125" i="1" a="1"/>
  <c r="B1125" i="1" s="1"/>
  <c r="B1126" i="1" a="1"/>
  <c r="B1126" i="1" s="1"/>
  <c r="B1127" i="1" a="1"/>
  <c r="B1127" i="1" s="1"/>
  <c r="B1128" i="1" a="1"/>
  <c r="B1128" i="1" s="1"/>
  <c r="B1129" i="1" a="1"/>
  <c r="B1129" i="1" s="1"/>
  <c r="B1130" i="1" a="1"/>
  <c r="B1130" i="1" s="1"/>
  <c r="B1131" i="1" a="1"/>
  <c r="B1131" i="1" s="1"/>
  <c r="B1132" i="1" a="1"/>
  <c r="B1132" i="1" s="1"/>
  <c r="B1133" i="1" a="1"/>
  <c r="B1133" i="1" s="1"/>
  <c r="B1134" i="1" a="1"/>
  <c r="B1134" i="1" s="1"/>
  <c r="B1135" i="1" a="1"/>
  <c r="B1135" i="1" s="1"/>
  <c r="B1136" i="1" a="1"/>
  <c r="B1136" i="1" s="1"/>
  <c r="B1137" i="1" a="1"/>
  <c r="B1137" i="1" s="1"/>
  <c r="B1138" i="1" a="1"/>
  <c r="B1138" i="1" s="1"/>
  <c r="B1139" i="1" a="1"/>
  <c r="B1139" i="1" s="1"/>
  <c r="B1140" i="1" a="1"/>
  <c r="B1140" i="1" s="1"/>
  <c r="B1141" i="1" a="1"/>
  <c r="B1141" i="1" s="1"/>
  <c r="B1142" i="1" a="1"/>
  <c r="B1142" i="1" s="1"/>
  <c r="B1143" i="1" a="1"/>
  <c r="B1143" i="1" s="1"/>
  <c r="B1144" i="1" a="1"/>
  <c r="B1144" i="1" s="1"/>
  <c r="B1145" i="1" a="1"/>
  <c r="B1145" i="1" s="1"/>
  <c r="B1146" i="1" a="1"/>
  <c r="B1146" i="1" s="1"/>
  <c r="B1147" i="1" a="1"/>
  <c r="B1147" i="1" s="1"/>
  <c r="B1148" i="1" a="1"/>
  <c r="B1148" i="1" s="1"/>
  <c r="B1149" i="1" a="1"/>
  <c r="B1149" i="1" s="1"/>
  <c r="B1150" i="1" a="1"/>
  <c r="B1150" i="1" s="1"/>
  <c r="B1151" i="1" a="1"/>
  <c r="B1151" i="1" s="1"/>
  <c r="B1152" i="1" a="1"/>
  <c r="B1152" i="1" s="1"/>
  <c r="B1153" i="1" a="1"/>
  <c r="B1153" i="1" s="1"/>
  <c r="B1154" i="1" a="1"/>
  <c r="B1154" i="1" s="1"/>
  <c r="B1155" i="1" a="1"/>
  <c r="B1155" i="1" s="1"/>
  <c r="B1156" i="1" a="1"/>
  <c r="B1156" i="1" s="1"/>
  <c r="B1157" i="1" a="1"/>
  <c r="B1157" i="1" s="1"/>
  <c r="B1158" i="1" a="1"/>
  <c r="B1158" i="1" s="1"/>
  <c r="B1159" i="1" a="1"/>
  <c r="B1159" i="1" s="1"/>
  <c r="B1160" i="1" a="1"/>
  <c r="B1160" i="1" s="1"/>
  <c r="B1161" i="1" a="1"/>
  <c r="B1161" i="1" s="1"/>
  <c r="B1162" i="1" a="1"/>
  <c r="B1162" i="1" s="1"/>
  <c r="B1163" i="1" a="1"/>
  <c r="B1163" i="1" s="1"/>
  <c r="B1164" i="1" a="1"/>
  <c r="B1164" i="1" s="1"/>
  <c r="B1165" i="1" a="1"/>
  <c r="B1165" i="1" s="1"/>
  <c r="B1166" i="1" a="1"/>
  <c r="B1166" i="1" s="1"/>
  <c r="B1167" i="1" a="1"/>
  <c r="B1167" i="1" s="1"/>
  <c r="B1168" i="1" a="1"/>
  <c r="B1168" i="1" s="1"/>
  <c r="B1169" i="1" a="1"/>
  <c r="B1169" i="1" s="1"/>
  <c r="B1170" i="1" a="1"/>
  <c r="B1170" i="1" s="1"/>
  <c r="B1171" i="1" a="1"/>
  <c r="B1171" i="1" s="1"/>
  <c r="B1172" i="1" a="1"/>
  <c r="B1172" i="1" s="1"/>
  <c r="B1173" i="1" a="1"/>
  <c r="B1173" i="1" s="1"/>
  <c r="B1174" i="1" a="1"/>
  <c r="B1174" i="1" s="1"/>
  <c r="B1175" i="1" a="1"/>
  <c r="B1175" i="1" s="1"/>
  <c r="B1176" i="1" a="1"/>
  <c r="B1176" i="1" s="1"/>
  <c r="B1177" i="1" a="1"/>
  <c r="B1177" i="1" s="1"/>
  <c r="B1178" i="1" a="1"/>
  <c r="B1178" i="1" s="1"/>
  <c r="B1179" i="1" a="1"/>
  <c r="B1179" i="1" s="1"/>
  <c r="B1180" i="1" a="1"/>
  <c r="B1180" i="1" s="1"/>
  <c r="B1181" i="1" a="1"/>
  <c r="B1181" i="1" s="1"/>
  <c r="B1182" i="1" a="1"/>
  <c r="B1182" i="1" s="1"/>
  <c r="B1183" i="1" a="1"/>
  <c r="B1183" i="1" s="1"/>
  <c r="B1184" i="1" a="1"/>
  <c r="B1184" i="1" s="1"/>
  <c r="B1185" i="1" a="1"/>
  <c r="B1185" i="1" s="1"/>
  <c r="B1186" i="1" a="1"/>
  <c r="B1186" i="1" s="1"/>
  <c r="B1187" i="1" a="1"/>
  <c r="B1187" i="1" s="1"/>
  <c r="B1188" i="1" a="1"/>
  <c r="B1188" i="1" s="1"/>
  <c r="B1189" i="1" a="1"/>
  <c r="B1189" i="1" s="1"/>
  <c r="B1190" i="1" a="1"/>
  <c r="B1190" i="1" s="1"/>
  <c r="B1191" i="1" a="1"/>
  <c r="B1191" i="1" s="1"/>
  <c r="B1192" i="1" a="1"/>
  <c r="B1192" i="1" s="1"/>
  <c r="B1193" i="1" a="1"/>
  <c r="B1193" i="1" s="1"/>
  <c r="B1194" i="1" a="1"/>
  <c r="B1194" i="1" s="1"/>
  <c r="B1195" i="1" a="1"/>
  <c r="B1195" i="1" s="1"/>
  <c r="B1196" i="1" a="1"/>
  <c r="B1196" i="1" s="1"/>
  <c r="B1197" i="1" a="1"/>
  <c r="B1197" i="1" s="1"/>
  <c r="B1198" i="1" a="1"/>
  <c r="B1198" i="1" s="1"/>
  <c r="B1199" i="1" a="1"/>
  <c r="B1199" i="1" s="1"/>
  <c r="B1200" i="1" a="1"/>
  <c r="B1200" i="1" s="1"/>
  <c r="B1201" i="1" a="1"/>
  <c r="B1201" i="1" s="1"/>
  <c r="B1202" i="1" a="1"/>
  <c r="B1202" i="1" s="1"/>
  <c r="B1203" i="1" a="1"/>
  <c r="B1203" i="1" s="1"/>
  <c r="B1204" i="1" a="1"/>
  <c r="B1204" i="1" s="1"/>
  <c r="B1205" i="1" a="1"/>
  <c r="B1205" i="1" s="1"/>
  <c r="B1206" i="1" a="1"/>
  <c r="B1206" i="1" s="1"/>
  <c r="B1207" i="1" a="1"/>
  <c r="B1207" i="1" s="1"/>
  <c r="B1208" i="1" a="1"/>
  <c r="B1208" i="1" s="1"/>
  <c r="B1209" i="1" a="1"/>
  <c r="B1209" i="1" s="1"/>
  <c r="B1210" i="1" a="1"/>
  <c r="B1210" i="1" s="1"/>
  <c r="B1211" i="1" a="1"/>
  <c r="B1211" i="1" s="1"/>
  <c r="B1212" i="1" a="1"/>
  <c r="B1212" i="1" s="1"/>
  <c r="B1213" i="1" a="1"/>
  <c r="B1213" i="1" s="1"/>
  <c r="B1214" i="1" a="1"/>
  <c r="B1214" i="1" s="1"/>
  <c r="B1215" i="1" a="1"/>
  <c r="B1215" i="1" s="1"/>
  <c r="B1216" i="1" a="1"/>
  <c r="B1216" i="1" s="1"/>
  <c r="B1217" i="1" a="1"/>
  <c r="B1217" i="1" s="1"/>
  <c r="B1218" i="1" a="1"/>
  <c r="B1218" i="1" s="1"/>
  <c r="B1219" i="1" a="1"/>
  <c r="B1219" i="1" s="1"/>
  <c r="B1220" i="1" a="1"/>
  <c r="B1220" i="1" s="1"/>
  <c r="B1221" i="1" a="1"/>
  <c r="B1221" i="1" s="1"/>
  <c r="B1222" i="1" a="1"/>
  <c r="B1222" i="1" s="1"/>
  <c r="B1223" i="1" a="1"/>
  <c r="B1223" i="1" s="1"/>
  <c r="B1224" i="1" a="1"/>
  <c r="B1224" i="1" s="1"/>
  <c r="B1225" i="1" a="1"/>
  <c r="B1225" i="1" s="1"/>
  <c r="B1226" i="1" a="1"/>
  <c r="B1226" i="1" s="1"/>
  <c r="B1227" i="1" a="1"/>
  <c r="B1227" i="1" s="1"/>
  <c r="B1228" i="1" a="1"/>
  <c r="B1228" i="1" s="1"/>
  <c r="B1229" i="1" a="1"/>
  <c r="B1229" i="1" s="1"/>
  <c r="B1230" i="1" a="1"/>
  <c r="B1230" i="1" s="1"/>
  <c r="B1231" i="1" a="1"/>
  <c r="B1231" i="1" s="1"/>
  <c r="B1232" i="1" a="1"/>
  <c r="B1232" i="1" s="1"/>
  <c r="B1233" i="1" a="1"/>
  <c r="B1233" i="1" s="1"/>
  <c r="B1234" i="1" a="1"/>
  <c r="B1234" i="1" s="1"/>
  <c r="B1235" i="1" a="1"/>
  <c r="B1235" i="1" s="1"/>
  <c r="B1236" i="1" a="1"/>
  <c r="B1236" i="1" s="1"/>
  <c r="B1237" i="1" a="1"/>
  <c r="B1237" i="1" s="1"/>
  <c r="B1238" i="1" a="1"/>
  <c r="B1238" i="1" s="1"/>
  <c r="B1239" i="1" a="1"/>
  <c r="B1239" i="1" s="1"/>
  <c r="B1240" i="1" a="1"/>
  <c r="B1240" i="1" s="1"/>
  <c r="B1241" i="1" a="1"/>
  <c r="B1241" i="1" s="1"/>
  <c r="B1242" i="1" a="1"/>
  <c r="B1242" i="1" s="1"/>
  <c r="B1243" i="1" a="1"/>
  <c r="B1243" i="1" s="1"/>
  <c r="B1244" i="1" a="1"/>
  <c r="B1244" i="1" s="1"/>
  <c r="B1245" i="1" a="1"/>
  <c r="B1245" i="1" s="1"/>
  <c r="B1246" i="1" a="1"/>
  <c r="B1246" i="1" s="1"/>
  <c r="B1247" i="1" a="1"/>
  <c r="B1247" i="1" s="1"/>
  <c r="B1248" i="1" a="1"/>
  <c r="B1248" i="1" s="1"/>
  <c r="B1249" i="1" a="1"/>
  <c r="B1249" i="1" s="1"/>
  <c r="B1250" i="1" a="1"/>
  <c r="B1250" i="1" s="1"/>
  <c r="B1251" i="1" a="1"/>
  <c r="B1251" i="1" s="1"/>
  <c r="B1252" i="1" a="1"/>
  <c r="B1252" i="1" s="1"/>
  <c r="B1253" i="1" a="1"/>
  <c r="B1253" i="1" s="1"/>
  <c r="B1254" i="1" a="1"/>
  <c r="B1254" i="1" s="1"/>
  <c r="B1255" i="1" a="1"/>
  <c r="B1255" i="1" s="1"/>
  <c r="B1256" i="1" a="1"/>
  <c r="B1256" i="1" s="1"/>
  <c r="B1257" i="1" a="1"/>
  <c r="B1257" i="1" s="1"/>
  <c r="B1258" i="1" a="1"/>
  <c r="B1258" i="1" s="1"/>
  <c r="B1259" i="1" a="1"/>
  <c r="B1259" i="1" s="1"/>
  <c r="B1260" i="1" a="1"/>
  <c r="B1260" i="1" s="1"/>
  <c r="B1261" i="1" a="1"/>
  <c r="B1261" i="1" s="1"/>
  <c r="B1262" i="1" a="1"/>
  <c r="B1262" i="1" s="1"/>
  <c r="B1263" i="1" a="1"/>
  <c r="B1263" i="1" s="1"/>
  <c r="B1264" i="1" a="1"/>
  <c r="B1264" i="1" s="1"/>
  <c r="B1265" i="1" a="1"/>
  <c r="B1265" i="1" s="1"/>
  <c r="B1266" i="1" a="1"/>
  <c r="B1266" i="1" s="1"/>
  <c r="B1267" i="1" a="1"/>
  <c r="B1267" i="1" s="1"/>
  <c r="B1268" i="1" a="1"/>
  <c r="B1268" i="1" s="1"/>
  <c r="B1269" i="1" a="1"/>
  <c r="B1269" i="1" s="1"/>
  <c r="B1270" i="1" a="1"/>
  <c r="B1270" i="1" s="1"/>
  <c r="B1271" i="1" a="1"/>
  <c r="B1271" i="1" s="1"/>
  <c r="B1272" i="1" a="1"/>
  <c r="B1272" i="1" s="1"/>
  <c r="B1273" i="1" a="1"/>
  <c r="B1273" i="1" s="1"/>
  <c r="B1274" i="1" a="1"/>
  <c r="B1274" i="1" s="1"/>
  <c r="B1275" i="1" a="1"/>
  <c r="B1275" i="1" s="1"/>
  <c r="B1276" i="1" a="1"/>
  <c r="B1276" i="1" s="1"/>
  <c r="B1277" i="1" a="1"/>
  <c r="B1277" i="1" s="1"/>
  <c r="B1278" i="1" a="1"/>
  <c r="B1278" i="1" s="1"/>
  <c r="B1279" i="1" a="1"/>
  <c r="B1279" i="1" s="1"/>
  <c r="B1280" i="1" a="1"/>
  <c r="B1280" i="1" s="1"/>
  <c r="B1281" i="1" a="1"/>
  <c r="B1281" i="1" s="1"/>
  <c r="B1282" i="1" a="1"/>
  <c r="B1282" i="1" s="1"/>
  <c r="B1283" i="1" a="1"/>
  <c r="B1283" i="1" s="1"/>
  <c r="B1284" i="1" a="1"/>
  <c r="B1284" i="1" s="1"/>
  <c r="B1285" i="1" a="1"/>
  <c r="B1285" i="1" s="1"/>
  <c r="B1286" i="1" a="1"/>
  <c r="B1286" i="1" s="1"/>
  <c r="B1287" i="1" a="1"/>
  <c r="B1287" i="1" s="1"/>
  <c r="B1288" i="1" a="1"/>
  <c r="B1288" i="1" s="1"/>
  <c r="B1289" i="1" a="1"/>
  <c r="B1289" i="1" s="1"/>
  <c r="B1290" i="1" a="1"/>
  <c r="B1290" i="1" s="1"/>
  <c r="B1291" i="1" a="1"/>
  <c r="B1291" i="1" s="1"/>
  <c r="B1292" i="1" a="1"/>
  <c r="B1292" i="1" s="1"/>
  <c r="B1293" i="1" a="1"/>
  <c r="B1293" i="1" s="1"/>
  <c r="B1294" i="1" a="1"/>
  <c r="B1294" i="1" s="1"/>
  <c r="B1295" i="1" a="1"/>
  <c r="B1295" i="1" s="1"/>
  <c r="B1296" i="1" a="1"/>
  <c r="B1296" i="1" s="1"/>
  <c r="B1297" i="1" a="1"/>
  <c r="B1297" i="1" s="1"/>
  <c r="B1298" i="1" a="1"/>
  <c r="B1298" i="1" s="1"/>
  <c r="B1299" i="1" a="1"/>
  <c r="B1299" i="1" s="1"/>
  <c r="B1300" i="1" a="1"/>
  <c r="B1300" i="1" s="1"/>
  <c r="B1301" i="1" a="1"/>
  <c r="B1301" i="1" s="1"/>
  <c r="B1302" i="1" a="1"/>
  <c r="B1302" i="1" s="1"/>
  <c r="B1303" i="1" a="1"/>
  <c r="B1303" i="1" s="1"/>
  <c r="B1304" i="1" a="1"/>
  <c r="B1304" i="1" s="1"/>
  <c r="B1305" i="1" a="1"/>
  <c r="B1305" i="1" s="1"/>
  <c r="B1306" i="1" a="1"/>
  <c r="B1306" i="1" s="1"/>
  <c r="B1307" i="1" a="1"/>
  <c r="B1307" i="1" s="1"/>
  <c r="B1308" i="1" a="1"/>
  <c r="B1308" i="1" s="1"/>
  <c r="B1309" i="1" a="1"/>
  <c r="B1309" i="1" s="1"/>
  <c r="B1310" i="1" a="1"/>
  <c r="B1310" i="1" s="1"/>
  <c r="B1311" i="1" a="1"/>
  <c r="B1311" i="1" s="1"/>
  <c r="B1312" i="1" a="1"/>
  <c r="B1312" i="1" s="1"/>
  <c r="B1313" i="1" a="1"/>
  <c r="B1313" i="1" s="1"/>
  <c r="B1314" i="1" a="1"/>
  <c r="B1314" i="1" s="1"/>
  <c r="B1315" i="1" a="1"/>
  <c r="B1315" i="1" s="1"/>
  <c r="B1316" i="1" a="1"/>
  <c r="B1316" i="1" s="1"/>
  <c r="B1317" i="1" a="1"/>
  <c r="B1317" i="1" s="1"/>
  <c r="B1318" i="1" a="1"/>
  <c r="B1318" i="1" s="1"/>
  <c r="B1319" i="1" a="1"/>
  <c r="B1319" i="1" s="1"/>
  <c r="B1320" i="1" a="1"/>
  <c r="B1320" i="1" s="1"/>
  <c r="B1321" i="1" a="1"/>
  <c r="B1321" i="1" s="1"/>
  <c r="B1322" i="1" a="1"/>
  <c r="B1322" i="1" s="1"/>
  <c r="B1323" i="1" a="1"/>
  <c r="B1323" i="1" s="1"/>
  <c r="B1324" i="1" a="1"/>
  <c r="B1324" i="1" s="1"/>
  <c r="B1325" i="1" a="1"/>
  <c r="B1325" i="1" s="1"/>
  <c r="B1326" i="1" a="1"/>
  <c r="B1326" i="1" s="1"/>
  <c r="B1327" i="1" a="1"/>
  <c r="B1327" i="1" s="1"/>
  <c r="B1328" i="1" a="1"/>
  <c r="B1328" i="1" s="1"/>
  <c r="B1329" i="1" a="1"/>
  <c r="B1329" i="1" s="1"/>
  <c r="B1330" i="1" a="1"/>
  <c r="B1330" i="1" s="1"/>
  <c r="B1331" i="1" a="1"/>
  <c r="B1331" i="1" s="1"/>
  <c r="B1332" i="1" a="1"/>
  <c r="B1332" i="1" s="1"/>
  <c r="B1333" i="1" a="1"/>
  <c r="B1333" i="1" s="1"/>
  <c r="B1334" i="1" a="1"/>
  <c r="B1334" i="1" s="1"/>
  <c r="B1335" i="1" a="1"/>
  <c r="B1335" i="1" s="1"/>
  <c r="B1336" i="1" a="1"/>
  <c r="B1336" i="1" s="1"/>
  <c r="B1337" i="1" a="1"/>
  <c r="B1337" i="1" s="1"/>
  <c r="B1338" i="1" a="1"/>
  <c r="B1338" i="1" s="1"/>
  <c r="B1339" i="1" a="1"/>
  <c r="B1339" i="1" s="1"/>
  <c r="B1340" i="1" a="1"/>
  <c r="B1340" i="1" s="1"/>
  <c r="B1341" i="1" a="1"/>
  <c r="B1341" i="1" s="1"/>
  <c r="B1342" i="1" a="1"/>
  <c r="B1342" i="1" s="1"/>
  <c r="B1343" i="1" a="1"/>
  <c r="B1343" i="1" s="1"/>
  <c r="B1344" i="1" a="1"/>
  <c r="B1344" i="1" s="1"/>
  <c r="B1345" i="1" a="1"/>
  <c r="B1345" i="1" s="1"/>
  <c r="B1346" i="1" a="1"/>
  <c r="B1346" i="1" s="1"/>
  <c r="B1347" i="1" a="1"/>
  <c r="B1347" i="1" s="1"/>
  <c r="B1348" i="1" a="1"/>
  <c r="B1348" i="1" s="1"/>
  <c r="B1349" i="1" a="1"/>
  <c r="B1349" i="1" s="1"/>
  <c r="B1350" i="1" a="1"/>
  <c r="B1350" i="1" s="1"/>
  <c r="B1351" i="1" a="1"/>
  <c r="B1351" i="1" s="1"/>
  <c r="B1352" i="1" a="1"/>
  <c r="B1352" i="1" s="1"/>
  <c r="B1353" i="1" a="1"/>
  <c r="B1353" i="1" s="1"/>
  <c r="B1354" i="1" a="1"/>
  <c r="B1354" i="1" s="1"/>
  <c r="B1355" i="1" a="1"/>
  <c r="B1355" i="1" s="1"/>
  <c r="B1356" i="1" a="1"/>
  <c r="B1356" i="1" s="1"/>
  <c r="B1357" i="1" a="1"/>
  <c r="B1357" i="1" s="1"/>
  <c r="B1358" i="1" a="1"/>
  <c r="B1358" i="1" s="1"/>
  <c r="B1359" i="1" a="1"/>
  <c r="B1359" i="1" s="1"/>
  <c r="B1360" i="1" a="1"/>
  <c r="B1360" i="1" s="1"/>
  <c r="B1361" i="1" a="1"/>
  <c r="B1361" i="1" s="1"/>
  <c r="B1362" i="1" a="1"/>
  <c r="B1362" i="1" s="1"/>
  <c r="B1363" i="1" a="1"/>
  <c r="B1363" i="1" s="1"/>
  <c r="B1364" i="1" a="1"/>
  <c r="B1364" i="1" s="1"/>
  <c r="B1365" i="1" a="1"/>
  <c r="B1365" i="1" s="1"/>
  <c r="B1366" i="1" a="1"/>
  <c r="B1366" i="1" s="1"/>
  <c r="B1367" i="1" a="1"/>
  <c r="B1367" i="1" s="1"/>
  <c r="B1368" i="1" a="1"/>
  <c r="B1368" i="1" s="1"/>
  <c r="B1369" i="1" a="1"/>
  <c r="B1369" i="1" s="1"/>
  <c r="B1370" i="1" a="1"/>
  <c r="B1370" i="1" s="1"/>
  <c r="B1371" i="1" a="1"/>
  <c r="B1371" i="1" s="1"/>
  <c r="B1372" i="1" a="1"/>
  <c r="B1372" i="1" s="1"/>
  <c r="B1373" i="1" a="1"/>
  <c r="B1373" i="1" s="1"/>
  <c r="B1374" i="1" a="1"/>
  <c r="B1374" i="1" s="1"/>
  <c r="B1375" i="1" a="1"/>
  <c r="B1375" i="1" s="1"/>
  <c r="B1376" i="1" a="1"/>
  <c r="B1376" i="1" s="1"/>
  <c r="B1377" i="1" a="1"/>
  <c r="B1377" i="1" s="1"/>
  <c r="B1378" i="1" a="1"/>
  <c r="B1378" i="1" s="1"/>
  <c r="B1379" i="1" a="1"/>
  <c r="B1379" i="1" s="1"/>
  <c r="B1380" i="1" a="1"/>
  <c r="B1380" i="1" s="1"/>
  <c r="B1381" i="1" a="1"/>
  <c r="B1381" i="1" s="1"/>
  <c r="B1382" i="1" a="1"/>
  <c r="B1382" i="1" s="1"/>
  <c r="B1383" i="1" a="1"/>
  <c r="B1383" i="1" s="1"/>
  <c r="B1384" i="1" a="1"/>
  <c r="B1384" i="1" s="1"/>
  <c r="B1385" i="1" a="1"/>
  <c r="B1385" i="1" s="1"/>
  <c r="B1386" i="1" a="1"/>
  <c r="B1386" i="1" s="1"/>
  <c r="B1387" i="1" a="1"/>
  <c r="B1387" i="1" s="1"/>
  <c r="B1388" i="1" a="1"/>
  <c r="B1388" i="1" s="1"/>
  <c r="B1389" i="1" a="1"/>
  <c r="B1389" i="1" s="1"/>
  <c r="B1390" i="1" a="1"/>
  <c r="B1390" i="1" s="1"/>
  <c r="B1391" i="1" a="1"/>
  <c r="B1391" i="1" s="1"/>
  <c r="B1392" i="1" a="1"/>
  <c r="B1392" i="1" s="1"/>
  <c r="B1393" i="1" a="1"/>
  <c r="B1393" i="1" s="1"/>
  <c r="B1394" i="1" a="1"/>
  <c r="B1394" i="1" s="1"/>
  <c r="B1395" i="1" a="1"/>
  <c r="B1395" i="1" s="1"/>
  <c r="B1396" i="1" a="1"/>
  <c r="B1396" i="1" s="1"/>
  <c r="B1397" i="1" a="1"/>
  <c r="B1397" i="1" s="1"/>
  <c r="B1398" i="1" a="1"/>
  <c r="B1398" i="1" s="1"/>
  <c r="B1399" i="1" a="1"/>
  <c r="B1399" i="1" s="1"/>
  <c r="B1400" i="1" a="1"/>
  <c r="B1400" i="1" s="1"/>
  <c r="B1401" i="1" a="1"/>
  <c r="B1401" i="1" s="1"/>
  <c r="B1402" i="1" a="1"/>
  <c r="B1402" i="1" s="1"/>
  <c r="B1403" i="1" a="1"/>
  <c r="B1403" i="1" s="1"/>
  <c r="B1404" i="1" a="1"/>
  <c r="B1404" i="1" s="1"/>
  <c r="B1405" i="1" a="1"/>
  <c r="B1405" i="1" s="1"/>
  <c r="B1406" i="1" a="1"/>
  <c r="B1406" i="1" s="1"/>
  <c r="B1407" i="1" a="1"/>
  <c r="B1407" i="1" s="1"/>
  <c r="B1408" i="1" a="1"/>
  <c r="B1408" i="1" s="1"/>
  <c r="B1409" i="1" a="1"/>
  <c r="B1409" i="1" s="1"/>
  <c r="B1410" i="1" a="1"/>
  <c r="B1410" i="1" s="1"/>
  <c r="B1411" i="1" a="1"/>
  <c r="B1411" i="1" s="1"/>
  <c r="B1412" i="1" a="1"/>
  <c r="B1412" i="1" s="1"/>
  <c r="B1413" i="1" a="1"/>
  <c r="B1413" i="1" s="1"/>
  <c r="B1414" i="1" a="1"/>
  <c r="B1414" i="1" s="1"/>
  <c r="B1415" i="1" a="1"/>
  <c r="B1415" i="1" s="1"/>
  <c r="B1416" i="1" a="1"/>
  <c r="B1416" i="1" s="1"/>
  <c r="B1417" i="1" a="1"/>
  <c r="B1417" i="1" s="1"/>
  <c r="B1418" i="1" a="1"/>
  <c r="B1418" i="1" s="1"/>
  <c r="B1419" i="1" a="1"/>
  <c r="B1419" i="1" s="1"/>
  <c r="B1420" i="1" a="1"/>
  <c r="B1420" i="1" s="1"/>
  <c r="B1421" i="1" a="1"/>
  <c r="B1421" i="1" s="1"/>
  <c r="B1422" i="1" a="1"/>
  <c r="B1422" i="1" s="1"/>
  <c r="B1423" i="1" a="1"/>
  <c r="B1423" i="1" s="1"/>
  <c r="B1424" i="1" a="1"/>
  <c r="B1424" i="1" s="1"/>
  <c r="B1425" i="1" a="1"/>
  <c r="B1425" i="1" s="1"/>
  <c r="B1426" i="1" a="1"/>
  <c r="B1426" i="1" s="1"/>
  <c r="B1427" i="1" a="1"/>
  <c r="B1427" i="1" s="1"/>
  <c r="B1428" i="1" a="1"/>
  <c r="B1428" i="1" s="1"/>
  <c r="B1429" i="1" a="1"/>
  <c r="B1429" i="1" s="1"/>
  <c r="B1430" i="1" a="1"/>
  <c r="B1430" i="1" s="1"/>
  <c r="B1431" i="1" a="1"/>
  <c r="B1431" i="1" s="1"/>
  <c r="B1432" i="1" a="1"/>
  <c r="B1432" i="1" s="1"/>
  <c r="B1433" i="1" a="1"/>
  <c r="B1433" i="1" s="1"/>
  <c r="B1434" i="1" a="1"/>
  <c r="B1434" i="1" s="1"/>
  <c r="B1435" i="1" a="1"/>
  <c r="B1435" i="1" s="1"/>
  <c r="B1436" i="1" a="1"/>
  <c r="B1436" i="1" s="1"/>
  <c r="B1437" i="1" a="1"/>
  <c r="B1437" i="1" s="1"/>
  <c r="B1438" i="1" a="1"/>
  <c r="B1438" i="1" s="1"/>
  <c r="B1439" i="1" a="1"/>
  <c r="B1439" i="1" s="1"/>
  <c r="B1440" i="1" a="1"/>
  <c r="B1440" i="1" s="1"/>
  <c r="B1441" i="1" a="1"/>
  <c r="B1441" i="1" s="1"/>
  <c r="B1442" i="1" a="1"/>
  <c r="B1442" i="1" s="1"/>
  <c r="B1443" i="1" a="1"/>
  <c r="B1443" i="1" s="1"/>
  <c r="B1444" i="1" a="1"/>
  <c r="B1444" i="1" s="1"/>
  <c r="B1445" i="1" a="1"/>
  <c r="B1445" i="1" s="1"/>
  <c r="B1446" i="1" a="1"/>
  <c r="B1446" i="1" s="1"/>
  <c r="B1447" i="1" a="1"/>
  <c r="B1447" i="1" s="1"/>
  <c r="B1448" i="1" a="1"/>
  <c r="B1448" i="1" s="1"/>
  <c r="B1449" i="1" a="1"/>
  <c r="B1449" i="1" s="1"/>
  <c r="B1450" i="1" a="1"/>
  <c r="B1450" i="1" s="1"/>
  <c r="B1451" i="1" a="1"/>
  <c r="B1451" i="1" s="1"/>
  <c r="B1452" i="1" a="1"/>
  <c r="B1452" i="1" s="1"/>
  <c r="B1453" i="1" a="1"/>
  <c r="B1453" i="1" s="1"/>
  <c r="B1454" i="1" a="1"/>
  <c r="B1454" i="1" s="1"/>
  <c r="B1455" i="1" a="1"/>
  <c r="B1455" i="1" s="1"/>
  <c r="B1456" i="1" a="1"/>
  <c r="B1456" i="1" s="1"/>
  <c r="B1457" i="1" a="1"/>
  <c r="B1457" i="1" s="1"/>
  <c r="B1458" i="1" a="1"/>
  <c r="B1458" i="1" s="1"/>
  <c r="B1459" i="1" a="1"/>
  <c r="B1459" i="1" s="1"/>
  <c r="B1460" i="1" a="1"/>
  <c r="B1460" i="1" s="1"/>
  <c r="B1461" i="1" a="1"/>
  <c r="B1461" i="1" s="1"/>
  <c r="B1462" i="1" a="1"/>
  <c r="B1462" i="1" s="1"/>
  <c r="B1463" i="1" a="1"/>
  <c r="B1463" i="1" s="1"/>
  <c r="B1464" i="1" a="1"/>
  <c r="B1464" i="1" s="1"/>
  <c r="B1465" i="1" a="1"/>
  <c r="B1465" i="1" s="1"/>
  <c r="B1466" i="1" a="1"/>
  <c r="B1466" i="1" s="1"/>
  <c r="B1467" i="1" a="1"/>
  <c r="B1467" i="1" s="1"/>
  <c r="B1468" i="1" a="1"/>
  <c r="B1468" i="1" s="1"/>
  <c r="B1469" i="1" a="1"/>
  <c r="B1469" i="1" s="1"/>
  <c r="B1470" i="1" a="1"/>
  <c r="B1470" i="1" s="1"/>
  <c r="B1471" i="1" a="1"/>
  <c r="B1471" i="1" s="1"/>
  <c r="B1472" i="1" a="1"/>
  <c r="B1472" i="1" s="1"/>
  <c r="B1473" i="1" a="1"/>
  <c r="B1473" i="1" s="1"/>
  <c r="B1474" i="1" a="1"/>
  <c r="B1474" i="1" s="1"/>
  <c r="B1475" i="1" a="1"/>
  <c r="B1475" i="1" s="1"/>
  <c r="B1476" i="1" a="1"/>
  <c r="B1476" i="1" s="1"/>
  <c r="B1477" i="1" a="1"/>
  <c r="B1477" i="1" s="1"/>
  <c r="B1478" i="1" a="1"/>
  <c r="B1478" i="1" s="1"/>
  <c r="B1479" i="1" a="1"/>
  <c r="B1479" i="1" s="1"/>
  <c r="B1480" i="1" a="1"/>
  <c r="B1480" i="1" s="1"/>
  <c r="B1481" i="1" a="1"/>
  <c r="B1481" i="1" s="1"/>
  <c r="B1482" i="1" a="1"/>
  <c r="B1482" i="1" s="1"/>
  <c r="B1483" i="1" a="1"/>
  <c r="B1483" i="1" s="1"/>
  <c r="B1484" i="1" a="1"/>
  <c r="B1484" i="1" s="1"/>
  <c r="B1485" i="1" a="1"/>
  <c r="B1485" i="1" s="1"/>
  <c r="B1486" i="1" a="1"/>
  <c r="B1486" i="1" s="1"/>
  <c r="B1487" i="1" a="1"/>
  <c r="B1487" i="1" s="1"/>
  <c r="B1488" i="1" a="1"/>
  <c r="B1488" i="1" s="1"/>
  <c r="B1489" i="1" a="1"/>
  <c r="B1489" i="1" s="1"/>
  <c r="B1490" i="1" a="1"/>
  <c r="B1490" i="1" s="1"/>
  <c r="B1491" i="1" a="1"/>
  <c r="B1491" i="1" s="1"/>
  <c r="B1492" i="1" a="1"/>
  <c r="B1492" i="1" s="1"/>
  <c r="B1493" i="1" a="1"/>
  <c r="B1493" i="1" s="1"/>
  <c r="B1494" i="1" a="1"/>
  <c r="B1494" i="1" s="1"/>
  <c r="B1495" i="1" a="1"/>
  <c r="B1495" i="1" s="1"/>
  <c r="B1496" i="1" a="1"/>
  <c r="B1496" i="1" s="1"/>
  <c r="B1497" i="1" a="1"/>
  <c r="B1497" i="1" s="1"/>
  <c r="B1498" i="1" a="1"/>
  <c r="B1498" i="1" s="1"/>
  <c r="B1499" i="1" a="1"/>
  <c r="B1499" i="1" s="1"/>
  <c r="B1500" i="1" a="1"/>
  <c r="B1500" i="1" s="1"/>
  <c r="B1501" i="1" a="1"/>
  <c r="B1501" i="1" s="1"/>
  <c r="B1502" i="1" a="1"/>
  <c r="B1502" i="1" s="1"/>
  <c r="B1503" i="1" a="1"/>
  <c r="B1503" i="1" s="1"/>
  <c r="B1504" i="1" a="1"/>
  <c r="B1504" i="1" s="1"/>
  <c r="B1505" i="1" a="1"/>
  <c r="B1505" i="1" s="1"/>
  <c r="B1506" i="1" a="1"/>
  <c r="B1506" i="1" s="1"/>
  <c r="B1507" i="1" a="1"/>
  <c r="B1507" i="1" s="1"/>
  <c r="B1508" i="1" a="1"/>
  <c r="B1508" i="1" s="1"/>
  <c r="B1509" i="1" a="1"/>
  <c r="B1509" i="1" s="1"/>
  <c r="B1510" i="1" a="1"/>
  <c r="B1510" i="1" s="1"/>
  <c r="B1511" i="1" a="1"/>
  <c r="B1511" i="1" s="1"/>
  <c r="B1512" i="1" a="1"/>
  <c r="B1512" i="1" s="1"/>
  <c r="B1513" i="1" a="1"/>
  <c r="B1513" i="1" s="1"/>
  <c r="B1514" i="1" a="1"/>
  <c r="B1514" i="1" s="1"/>
  <c r="B1515" i="1" a="1"/>
  <c r="B1515" i="1" s="1"/>
  <c r="B1516" i="1" a="1"/>
  <c r="B1516" i="1" s="1"/>
  <c r="B1517" i="1" a="1"/>
  <c r="B1517" i="1" s="1"/>
  <c r="B1518" i="1" a="1"/>
  <c r="B1518" i="1" s="1"/>
  <c r="B1519" i="1" a="1"/>
  <c r="B1519" i="1" s="1"/>
  <c r="B1520" i="1" a="1"/>
  <c r="B1520" i="1" s="1"/>
  <c r="B1521" i="1" a="1"/>
  <c r="B1521" i="1" s="1"/>
  <c r="B1522" i="1" a="1"/>
  <c r="B1522" i="1" s="1"/>
  <c r="B1523" i="1" a="1"/>
  <c r="B1523" i="1" s="1"/>
  <c r="B1524" i="1" a="1"/>
  <c r="B1524" i="1" s="1"/>
  <c r="B1525" i="1" a="1"/>
  <c r="B1525" i="1" s="1"/>
  <c r="B1526" i="1" a="1"/>
  <c r="B1526" i="1" s="1"/>
  <c r="B1527" i="1" a="1"/>
  <c r="B1527" i="1" s="1"/>
  <c r="B1528" i="1" a="1"/>
  <c r="B1528" i="1" s="1"/>
  <c r="B1529" i="1" a="1"/>
  <c r="B1529" i="1" s="1"/>
  <c r="B1530" i="1" a="1"/>
  <c r="B1530" i="1" s="1"/>
  <c r="B1531" i="1" a="1"/>
  <c r="B1531" i="1" s="1"/>
  <c r="B1532" i="1" a="1"/>
  <c r="B1532" i="1" s="1"/>
  <c r="B1533" i="1" a="1"/>
  <c r="B1533" i="1" s="1"/>
  <c r="B1534" i="1" a="1"/>
  <c r="B1534" i="1" s="1"/>
  <c r="B1535" i="1" a="1"/>
  <c r="B1535" i="1" s="1"/>
  <c r="B1536" i="1" a="1"/>
  <c r="B1536" i="1" s="1"/>
  <c r="B1537" i="1" a="1"/>
  <c r="B1537" i="1" s="1"/>
  <c r="B1538" i="1" a="1"/>
  <c r="B1538" i="1" s="1"/>
  <c r="B1539" i="1" a="1"/>
  <c r="B1539" i="1" s="1"/>
  <c r="B1540" i="1" a="1"/>
  <c r="B1540" i="1" s="1"/>
  <c r="B1541" i="1" a="1"/>
  <c r="B1541" i="1" s="1"/>
  <c r="B1542" i="1" a="1"/>
  <c r="B1542" i="1" s="1"/>
  <c r="B1543" i="1" a="1"/>
  <c r="B1543" i="1" s="1"/>
  <c r="B1544" i="1" a="1"/>
  <c r="B1544" i="1" s="1"/>
  <c r="B1545" i="1" a="1"/>
  <c r="B1545" i="1" s="1"/>
  <c r="B1546" i="1" a="1"/>
  <c r="B1546" i="1" s="1"/>
  <c r="B1547" i="1" a="1"/>
  <c r="B1547" i="1" s="1"/>
  <c r="B1548" i="1" a="1"/>
  <c r="B1548" i="1" s="1"/>
  <c r="B1549" i="1" a="1"/>
  <c r="B1549" i="1" s="1"/>
  <c r="B1550" i="1" a="1"/>
  <c r="B1550" i="1" s="1"/>
  <c r="B1551" i="1" a="1"/>
  <c r="B1551" i="1" s="1"/>
  <c r="B1552" i="1" a="1"/>
  <c r="B1552" i="1" s="1"/>
  <c r="B1553" i="1" a="1"/>
  <c r="B1553" i="1" s="1"/>
  <c r="B1554" i="1" a="1"/>
  <c r="B1554" i="1" s="1"/>
  <c r="B1555" i="1" a="1"/>
  <c r="B1555" i="1" s="1"/>
  <c r="B1556" i="1" a="1"/>
  <c r="B1556" i="1" s="1"/>
  <c r="B1557" i="1" a="1"/>
  <c r="B1557" i="1" s="1"/>
  <c r="B1558" i="1" a="1"/>
  <c r="B1558" i="1" s="1"/>
  <c r="B1559" i="1" a="1"/>
  <c r="B1559" i="1" s="1"/>
  <c r="B1560" i="1" a="1"/>
  <c r="B1560" i="1" s="1"/>
  <c r="B1561" i="1" a="1"/>
  <c r="B1561" i="1" s="1"/>
  <c r="B1562" i="1" a="1"/>
  <c r="B1562" i="1" s="1"/>
  <c r="B1563" i="1" a="1"/>
  <c r="B1563" i="1" s="1"/>
  <c r="B1564" i="1" a="1"/>
  <c r="B1564" i="1" s="1"/>
  <c r="B1565" i="1" a="1"/>
  <c r="B1565" i="1" s="1"/>
  <c r="B1566" i="1" a="1"/>
  <c r="B1566" i="1" s="1"/>
  <c r="B1567" i="1" a="1"/>
  <c r="B1567" i="1" s="1"/>
  <c r="B1568" i="1" a="1"/>
  <c r="B1568" i="1" s="1"/>
  <c r="B1569" i="1" a="1"/>
  <c r="B1569" i="1" s="1"/>
  <c r="B1570" i="1" a="1"/>
  <c r="B1570" i="1" s="1"/>
  <c r="B1571" i="1" a="1"/>
  <c r="B1571" i="1" s="1"/>
  <c r="B1572" i="1" a="1"/>
  <c r="B1572" i="1" s="1"/>
  <c r="B1573" i="1" a="1"/>
  <c r="B1573" i="1" s="1"/>
  <c r="B1574" i="1" a="1"/>
  <c r="B1574" i="1" s="1"/>
  <c r="B1575" i="1" a="1"/>
  <c r="B1575" i="1" s="1"/>
  <c r="B1576" i="1" a="1"/>
  <c r="B1576" i="1" s="1"/>
  <c r="B1577" i="1" a="1"/>
  <c r="B1577" i="1" s="1"/>
  <c r="B1578" i="1" a="1"/>
  <c r="B1578" i="1" s="1"/>
  <c r="B1579" i="1" a="1"/>
  <c r="B1579" i="1" s="1"/>
  <c r="B1580" i="1" a="1"/>
  <c r="B1580" i="1" s="1"/>
  <c r="B1581" i="1" a="1"/>
  <c r="B1581" i="1" s="1"/>
  <c r="B1582" i="1" a="1"/>
  <c r="B1582" i="1" s="1"/>
  <c r="B1583" i="1" a="1"/>
  <c r="B1583" i="1" s="1"/>
  <c r="B1584" i="1" a="1"/>
  <c r="B1584" i="1" s="1"/>
  <c r="B1585" i="1" a="1"/>
  <c r="B1585" i="1" s="1"/>
  <c r="B1586" i="1" a="1"/>
  <c r="B1586" i="1" s="1"/>
  <c r="B1587" i="1" a="1"/>
  <c r="B1587" i="1" s="1"/>
  <c r="B1588" i="1" a="1"/>
  <c r="B1588" i="1" s="1"/>
  <c r="B1589" i="1" a="1"/>
  <c r="B1589" i="1" s="1"/>
  <c r="B1590" i="1" a="1"/>
  <c r="B1590" i="1" s="1"/>
  <c r="B1591" i="1" a="1"/>
  <c r="B1591" i="1" s="1"/>
  <c r="B1592" i="1" a="1"/>
  <c r="B1592" i="1" s="1"/>
  <c r="B1593" i="1" a="1"/>
  <c r="B1593" i="1" s="1"/>
  <c r="B1594" i="1" a="1"/>
  <c r="B1594" i="1" s="1"/>
  <c r="B1595" i="1" a="1"/>
  <c r="B1595" i="1" s="1"/>
  <c r="B1596" i="1" a="1"/>
  <c r="B1596" i="1" s="1"/>
  <c r="B1597" i="1" a="1"/>
  <c r="B1597" i="1" s="1"/>
  <c r="B1598" i="1" a="1"/>
  <c r="B1598" i="1" s="1"/>
  <c r="B1599" i="1" a="1"/>
  <c r="B1599" i="1" s="1"/>
  <c r="B1600" i="1" a="1"/>
  <c r="B1600" i="1" s="1"/>
  <c r="B1601" i="1" a="1"/>
  <c r="B1601" i="1" s="1"/>
  <c r="B1602" i="1" a="1"/>
  <c r="B1602" i="1" s="1"/>
  <c r="B1603" i="1" a="1"/>
  <c r="B1603" i="1" s="1"/>
  <c r="B1604" i="1" a="1"/>
  <c r="B1604" i="1" s="1"/>
  <c r="B1605" i="1" a="1"/>
  <c r="B1605" i="1" s="1"/>
  <c r="B1606" i="1" a="1"/>
  <c r="B1606" i="1" s="1"/>
  <c r="B1607" i="1" a="1"/>
  <c r="B1607" i="1" s="1"/>
  <c r="B1608" i="1" a="1"/>
  <c r="B1608" i="1" s="1"/>
  <c r="B1609" i="1" a="1"/>
  <c r="B1609" i="1" s="1"/>
  <c r="B1610" i="1" a="1"/>
  <c r="B1610" i="1" s="1"/>
  <c r="B1611" i="1" a="1"/>
  <c r="B1611" i="1" s="1"/>
  <c r="B1612" i="1" a="1"/>
  <c r="B1612" i="1" s="1"/>
  <c r="B1613" i="1" a="1"/>
  <c r="B1613" i="1" s="1"/>
  <c r="B1614" i="1" a="1"/>
  <c r="B1614" i="1" s="1"/>
  <c r="B1615" i="1" a="1"/>
  <c r="B1615" i="1" s="1"/>
  <c r="B1616" i="1" a="1"/>
  <c r="B1616" i="1" s="1"/>
  <c r="B1617" i="1" a="1"/>
  <c r="B1617" i="1" s="1"/>
  <c r="B1618" i="1" a="1"/>
  <c r="B1618" i="1" s="1"/>
  <c r="B1619" i="1" a="1"/>
  <c r="B1619" i="1" s="1"/>
  <c r="B1620" i="1" a="1"/>
  <c r="B1620" i="1" s="1"/>
  <c r="B1621" i="1" a="1"/>
  <c r="B1621" i="1" s="1"/>
  <c r="B1622" i="1" a="1"/>
  <c r="B1622" i="1" s="1"/>
  <c r="B1623" i="1" a="1"/>
  <c r="B1623" i="1" s="1"/>
  <c r="B1624" i="1" a="1"/>
  <c r="B1624" i="1" s="1"/>
  <c r="B1625" i="1" a="1"/>
  <c r="B1625" i="1" s="1"/>
  <c r="B1626" i="1" a="1"/>
  <c r="B1626" i="1" s="1"/>
  <c r="B1627" i="1" a="1"/>
  <c r="B1627" i="1" s="1"/>
  <c r="B1628" i="1" a="1"/>
  <c r="B1628" i="1" s="1"/>
  <c r="B1629" i="1" a="1"/>
  <c r="B1629" i="1" s="1"/>
  <c r="B1630" i="1" a="1"/>
  <c r="B1630" i="1" s="1"/>
  <c r="B1631" i="1" a="1"/>
  <c r="B1631" i="1" s="1"/>
  <c r="B1632" i="1" a="1"/>
  <c r="B1632" i="1" s="1"/>
  <c r="B1633" i="1" a="1"/>
  <c r="B1633" i="1" s="1"/>
  <c r="B1634" i="1" a="1"/>
  <c r="B1634" i="1" s="1"/>
  <c r="B1635" i="1" a="1"/>
  <c r="B1635" i="1" s="1"/>
  <c r="B1636" i="1" a="1"/>
  <c r="B1636" i="1" s="1"/>
  <c r="B1637" i="1" a="1"/>
  <c r="B1637" i="1" s="1"/>
  <c r="B1638" i="1" a="1"/>
  <c r="B1638" i="1" s="1"/>
  <c r="B1639" i="1" a="1"/>
  <c r="B1639" i="1" s="1"/>
  <c r="B1640" i="1" a="1"/>
  <c r="B1640" i="1" s="1"/>
  <c r="B1641" i="1" a="1"/>
  <c r="B1641" i="1" s="1"/>
  <c r="B1642" i="1" a="1"/>
  <c r="B1642" i="1" s="1"/>
  <c r="B1643" i="1" a="1"/>
  <c r="B1643" i="1" s="1"/>
  <c r="B1644" i="1" a="1"/>
  <c r="B1644" i="1" s="1"/>
  <c r="B1645" i="1" a="1"/>
  <c r="B1645" i="1" s="1"/>
  <c r="B1646" i="1" a="1"/>
  <c r="B1646" i="1" s="1"/>
  <c r="B1647" i="1" a="1"/>
  <c r="B1647" i="1" s="1"/>
  <c r="B1648" i="1" a="1"/>
  <c r="B1648" i="1" s="1"/>
  <c r="B1649" i="1" a="1"/>
  <c r="B1649" i="1" s="1"/>
  <c r="B1650" i="1" a="1"/>
  <c r="B1650" i="1" s="1"/>
  <c r="B1651" i="1" a="1"/>
  <c r="B1651" i="1" s="1"/>
  <c r="B1652" i="1" a="1"/>
  <c r="B1652" i="1" s="1"/>
  <c r="B1653" i="1" a="1"/>
  <c r="B1653" i="1" s="1"/>
  <c r="B1654" i="1" a="1"/>
  <c r="B1654" i="1" s="1"/>
  <c r="B1655" i="1" a="1"/>
  <c r="B1655" i="1" s="1"/>
  <c r="B1656" i="1" a="1"/>
  <c r="B1656" i="1" s="1"/>
  <c r="B1657" i="1" a="1"/>
  <c r="B1657" i="1" s="1"/>
  <c r="B1658" i="1" a="1"/>
  <c r="B1658" i="1" s="1"/>
  <c r="B1659" i="1" a="1"/>
  <c r="B1659" i="1" s="1"/>
  <c r="B1660" i="1" a="1"/>
  <c r="B1660" i="1" s="1"/>
  <c r="B1661" i="1" a="1"/>
  <c r="B1661" i="1" s="1"/>
  <c r="B1662" i="1" a="1"/>
  <c r="B1662" i="1" s="1"/>
  <c r="B1663" i="1" a="1"/>
  <c r="B1663" i="1" s="1"/>
  <c r="B1664" i="1" a="1"/>
  <c r="B1664" i="1" s="1"/>
  <c r="B1665" i="1" a="1"/>
  <c r="B1665" i="1" s="1"/>
  <c r="B1666" i="1" a="1"/>
  <c r="B1666" i="1" s="1"/>
  <c r="B1667" i="1" a="1"/>
  <c r="B1667" i="1" s="1"/>
  <c r="B1668" i="1" a="1"/>
  <c r="B1668" i="1" s="1"/>
  <c r="B1669" i="1" a="1"/>
  <c r="B1669" i="1" s="1"/>
  <c r="B1670" i="1" a="1"/>
  <c r="B1670" i="1" s="1"/>
  <c r="B1671" i="1" a="1"/>
  <c r="B1671" i="1" s="1"/>
  <c r="B1672" i="1" a="1"/>
  <c r="B1672" i="1" s="1"/>
  <c r="B1673" i="1" a="1"/>
  <c r="B1673" i="1" s="1"/>
  <c r="B1674" i="1" a="1"/>
  <c r="B1674" i="1" s="1"/>
  <c r="B1675" i="1" a="1"/>
  <c r="B1675" i="1" s="1"/>
  <c r="B1676" i="1" a="1"/>
  <c r="B1676" i="1" s="1"/>
  <c r="B1677" i="1" a="1"/>
  <c r="B1677" i="1" s="1"/>
  <c r="B1678" i="1" a="1"/>
  <c r="B1678" i="1" s="1"/>
  <c r="B1679" i="1" a="1"/>
  <c r="B1679" i="1" s="1"/>
  <c r="B1680" i="1" a="1"/>
  <c r="B1680" i="1" s="1"/>
  <c r="B1681" i="1" a="1"/>
  <c r="B1681" i="1" s="1"/>
  <c r="B1682" i="1" a="1"/>
  <c r="B1682" i="1" s="1"/>
  <c r="B1683" i="1" a="1"/>
  <c r="B1683" i="1" s="1"/>
  <c r="B1684" i="1" a="1"/>
  <c r="B1684" i="1" s="1"/>
  <c r="B1685" i="1" a="1"/>
  <c r="B1685" i="1" s="1"/>
  <c r="B1686" i="1" a="1"/>
  <c r="B1686" i="1" s="1"/>
  <c r="B1687" i="1" a="1"/>
  <c r="B1687" i="1" s="1"/>
  <c r="B1688" i="1" a="1"/>
  <c r="B1688" i="1" s="1"/>
  <c r="B1689" i="1" a="1"/>
  <c r="B1689" i="1" s="1"/>
  <c r="B1690" i="1" a="1"/>
  <c r="B1690" i="1" s="1"/>
  <c r="B1691" i="1" a="1"/>
  <c r="B1691" i="1" s="1"/>
  <c r="B1692" i="1" a="1"/>
  <c r="B1692" i="1" s="1"/>
  <c r="B1693" i="1" a="1"/>
  <c r="B1693" i="1" s="1"/>
  <c r="B1694" i="1" a="1"/>
  <c r="B1694" i="1" s="1"/>
  <c r="B1695" i="1" a="1"/>
  <c r="B1695" i="1" s="1"/>
  <c r="B1696" i="1" a="1"/>
  <c r="B1696" i="1" s="1"/>
  <c r="B1697" i="1" a="1"/>
  <c r="B1697" i="1" s="1"/>
  <c r="B1698" i="1" a="1"/>
  <c r="B1698" i="1" s="1"/>
  <c r="B1699" i="1" a="1"/>
  <c r="B1699" i="1" s="1"/>
  <c r="B1700" i="1" a="1"/>
  <c r="B1700" i="1" s="1"/>
  <c r="B1701" i="1" a="1"/>
  <c r="B1701" i="1" s="1"/>
  <c r="B1702" i="1" a="1"/>
  <c r="B1702" i="1" s="1"/>
  <c r="B1703" i="1" a="1"/>
  <c r="B1703" i="1" s="1"/>
  <c r="B1704" i="1" a="1"/>
  <c r="B1704" i="1" s="1"/>
  <c r="B1705" i="1" a="1"/>
  <c r="B1705" i="1" s="1"/>
  <c r="B1706" i="1" a="1"/>
  <c r="B1706" i="1" s="1"/>
  <c r="B1707" i="1" a="1"/>
  <c r="B1707" i="1" s="1"/>
  <c r="B1708" i="1" a="1"/>
  <c r="B1708" i="1" s="1"/>
  <c r="B1709" i="1" a="1"/>
  <c r="B1709" i="1" s="1"/>
  <c r="B1710" i="1" a="1"/>
  <c r="B1710" i="1" s="1"/>
  <c r="B1711" i="1" a="1"/>
  <c r="B1711" i="1" s="1"/>
  <c r="B1712" i="1" a="1"/>
  <c r="B1712" i="1" s="1"/>
  <c r="B1713" i="1" a="1"/>
  <c r="B1713" i="1" s="1"/>
  <c r="B1714" i="1" a="1"/>
  <c r="B1714" i="1" s="1"/>
  <c r="B1715" i="1" a="1"/>
  <c r="B1715" i="1" s="1"/>
  <c r="B1716" i="1" a="1"/>
  <c r="B1716" i="1" s="1"/>
  <c r="B1717" i="1" a="1"/>
  <c r="B1717" i="1" s="1"/>
  <c r="B1718" i="1" a="1"/>
  <c r="B1718" i="1" s="1"/>
  <c r="B1719" i="1" a="1"/>
  <c r="B1719" i="1" s="1"/>
  <c r="B1720" i="1" a="1"/>
  <c r="B1720" i="1" s="1"/>
  <c r="B1721" i="1" a="1"/>
  <c r="B1721" i="1" s="1"/>
  <c r="B1722" i="1" a="1"/>
  <c r="B1722" i="1" s="1"/>
  <c r="B1723" i="1" a="1"/>
  <c r="B1723" i="1" s="1"/>
  <c r="B1724" i="1" a="1"/>
  <c r="B1724" i="1" s="1"/>
  <c r="B1725" i="1" a="1"/>
  <c r="B1725" i="1" s="1"/>
  <c r="B1726" i="1" a="1"/>
  <c r="B1726" i="1" s="1"/>
  <c r="B1727" i="1" a="1"/>
  <c r="B1727" i="1" s="1"/>
  <c r="B1728" i="1" a="1"/>
  <c r="B1728" i="1" s="1"/>
  <c r="B1729" i="1" a="1"/>
  <c r="B1729" i="1" s="1"/>
  <c r="B1730" i="1" a="1"/>
  <c r="B1730" i="1" s="1"/>
  <c r="B1731" i="1" a="1"/>
  <c r="B1731" i="1" s="1"/>
  <c r="B1732" i="1" a="1"/>
  <c r="B1732" i="1" s="1"/>
  <c r="B1733" i="1" a="1"/>
  <c r="B1733" i="1" s="1"/>
  <c r="B1734" i="1" a="1"/>
  <c r="B1734" i="1" s="1"/>
  <c r="B1735" i="1" a="1"/>
  <c r="B1735" i="1" s="1"/>
  <c r="B1736" i="1" a="1"/>
  <c r="B1736" i="1" s="1"/>
  <c r="B1737" i="1" a="1"/>
  <c r="B1737" i="1" s="1"/>
  <c r="B1738" i="1" a="1"/>
  <c r="B1738" i="1" s="1"/>
  <c r="B1739" i="1" a="1"/>
  <c r="B1739" i="1" s="1"/>
  <c r="B1740" i="1" a="1"/>
  <c r="B1740" i="1" s="1"/>
  <c r="B1741" i="1" a="1"/>
  <c r="B1741" i="1" s="1"/>
  <c r="B1742" i="1" a="1"/>
  <c r="B1742" i="1" s="1"/>
  <c r="B1743" i="1" a="1"/>
  <c r="B1743" i="1" s="1"/>
  <c r="B1744" i="1" a="1"/>
  <c r="B1744" i="1" s="1"/>
  <c r="B1745" i="1" a="1"/>
  <c r="B1745" i="1" s="1"/>
  <c r="B1746" i="1" a="1"/>
  <c r="B1746" i="1" s="1"/>
  <c r="B1747" i="1" a="1"/>
  <c r="B1747" i="1" s="1"/>
  <c r="B1748" i="1" a="1"/>
  <c r="B1748" i="1" s="1"/>
  <c r="B1749" i="1" a="1"/>
  <c r="B1749" i="1" s="1"/>
  <c r="B1750" i="1" a="1"/>
  <c r="B1750" i="1" s="1"/>
  <c r="B1751" i="1" a="1"/>
  <c r="B1751" i="1" s="1"/>
  <c r="B1752" i="1" a="1"/>
  <c r="B1752" i="1" s="1"/>
  <c r="B1753" i="1" a="1"/>
  <c r="B1753" i="1" s="1"/>
  <c r="B1754" i="1" a="1"/>
  <c r="B1754" i="1" s="1"/>
  <c r="B1755" i="1" a="1"/>
  <c r="B1755" i="1" s="1"/>
  <c r="B1756" i="1" a="1"/>
  <c r="B1756" i="1" s="1"/>
  <c r="B1757" i="1" a="1"/>
  <c r="B1757" i="1" s="1"/>
  <c r="B1758" i="1" a="1"/>
  <c r="B1758" i="1" s="1"/>
  <c r="B1759" i="1" a="1"/>
  <c r="B1759" i="1" s="1"/>
  <c r="B1760" i="1" a="1"/>
  <c r="B1760" i="1" s="1"/>
  <c r="B1761" i="1" a="1"/>
  <c r="B1761" i="1" s="1"/>
  <c r="B1762" i="1" a="1"/>
  <c r="B1762" i="1" s="1"/>
  <c r="B1763" i="1" a="1"/>
  <c r="B1763" i="1" s="1"/>
  <c r="B1764" i="1" a="1"/>
  <c r="B1764" i="1" s="1"/>
  <c r="B1765" i="1" a="1"/>
  <c r="B1765" i="1" s="1"/>
  <c r="B1766" i="1" a="1"/>
  <c r="B1766" i="1" s="1"/>
  <c r="B1767" i="1" a="1"/>
  <c r="B1767" i="1" s="1"/>
  <c r="B1768" i="1" a="1"/>
  <c r="B1768" i="1" s="1"/>
  <c r="B1769" i="1" a="1"/>
  <c r="B1769" i="1" s="1"/>
  <c r="B1770" i="1" a="1"/>
  <c r="B1770" i="1" s="1"/>
  <c r="B1771" i="1" a="1"/>
  <c r="B1771" i="1" s="1"/>
  <c r="B1772" i="1" a="1"/>
  <c r="B1772" i="1" s="1"/>
  <c r="B1773" i="1" a="1"/>
  <c r="B1773" i="1" s="1"/>
  <c r="B1774" i="1" a="1"/>
  <c r="B1774" i="1" s="1"/>
  <c r="B1775" i="1" a="1"/>
  <c r="B1775" i="1" s="1"/>
  <c r="B1776" i="1" a="1"/>
  <c r="B1776" i="1" s="1"/>
  <c r="B1777" i="1" a="1"/>
  <c r="B1777" i="1" s="1"/>
  <c r="B1778" i="1" a="1"/>
  <c r="B1778" i="1" s="1"/>
  <c r="B1779" i="1" a="1"/>
  <c r="B1779" i="1" s="1"/>
  <c r="B1780" i="1" a="1"/>
  <c r="B1780" i="1" s="1"/>
  <c r="B1781" i="1" a="1"/>
  <c r="B1781" i="1" s="1"/>
  <c r="B1782" i="1" a="1"/>
  <c r="B1782" i="1" s="1"/>
  <c r="B1783" i="1" a="1"/>
  <c r="B1783" i="1" s="1"/>
  <c r="B1784" i="1" a="1"/>
  <c r="B1784" i="1" s="1"/>
  <c r="B1785" i="1" a="1"/>
  <c r="B1785" i="1" s="1"/>
  <c r="B1786" i="1" a="1"/>
  <c r="B1786" i="1" s="1"/>
  <c r="B1787" i="1" a="1"/>
  <c r="B1787" i="1" s="1"/>
  <c r="B1788" i="1" a="1"/>
  <c r="B1788" i="1" s="1"/>
  <c r="B1789" i="1" a="1"/>
  <c r="B1789" i="1" s="1"/>
  <c r="B1790" i="1" a="1"/>
  <c r="B1790" i="1" s="1"/>
  <c r="B1791" i="1" a="1"/>
  <c r="B1791" i="1" s="1"/>
  <c r="B1792" i="1" a="1"/>
  <c r="B1792" i="1" s="1"/>
  <c r="B1793" i="1" a="1"/>
  <c r="B1793" i="1" s="1"/>
  <c r="B1794" i="1" a="1"/>
  <c r="B1794" i="1" s="1"/>
  <c r="B1795" i="1" a="1"/>
  <c r="B1795" i="1" s="1"/>
  <c r="B1796" i="1" a="1"/>
  <c r="B1796" i="1" s="1"/>
  <c r="B1797" i="1" a="1"/>
  <c r="B1797" i="1" s="1"/>
  <c r="B1798" i="1" a="1"/>
  <c r="B1798" i="1" s="1"/>
  <c r="B1799" i="1" a="1"/>
  <c r="B1799" i="1" s="1"/>
  <c r="B1800" i="1" a="1"/>
  <c r="B1800" i="1" s="1"/>
  <c r="B1801" i="1" a="1"/>
  <c r="B1801" i="1" s="1"/>
  <c r="B1802" i="1" a="1"/>
  <c r="B1802" i="1" s="1"/>
  <c r="B1803" i="1" a="1"/>
  <c r="B1803" i="1" s="1"/>
  <c r="B1804" i="1" a="1"/>
  <c r="B1804" i="1" s="1"/>
  <c r="B1805" i="1" a="1"/>
  <c r="B1805" i="1" s="1"/>
  <c r="B1806" i="1" a="1"/>
  <c r="B1806" i="1" s="1"/>
  <c r="B1807" i="1" a="1"/>
  <c r="B1807" i="1" s="1"/>
  <c r="B1808" i="1" a="1"/>
  <c r="B1808" i="1" s="1"/>
  <c r="B1809" i="1" a="1"/>
  <c r="B1809" i="1" s="1"/>
  <c r="B1810" i="1" a="1"/>
  <c r="B1810" i="1" s="1"/>
  <c r="B1811" i="1" a="1"/>
  <c r="B1811" i="1" s="1"/>
  <c r="B1812" i="1" a="1"/>
  <c r="B1812" i="1" s="1"/>
  <c r="B1813" i="1" a="1"/>
  <c r="B1813" i="1" s="1"/>
  <c r="B1814" i="1" a="1"/>
  <c r="B1814" i="1" s="1"/>
  <c r="B1815" i="1" a="1"/>
  <c r="B1815" i="1" s="1"/>
  <c r="B1816" i="1" a="1"/>
  <c r="B1816" i="1" s="1"/>
  <c r="B1817" i="1" a="1"/>
  <c r="B1817" i="1" s="1"/>
  <c r="B1818" i="1" a="1"/>
  <c r="B1818" i="1" s="1"/>
  <c r="B1819" i="1" a="1"/>
  <c r="B1819" i="1" s="1"/>
  <c r="B1820" i="1" a="1"/>
  <c r="B1820" i="1" s="1"/>
  <c r="B1821" i="1" a="1"/>
  <c r="B1821" i="1" s="1"/>
  <c r="B1822" i="1" a="1"/>
  <c r="B1822" i="1" s="1"/>
  <c r="B1823" i="1" a="1"/>
  <c r="B1823" i="1" s="1"/>
  <c r="B1824" i="1" a="1"/>
  <c r="B1824" i="1" s="1"/>
  <c r="B1825" i="1" a="1"/>
  <c r="B1825" i="1" s="1"/>
  <c r="B1826" i="1" a="1"/>
  <c r="B1826" i="1" s="1"/>
  <c r="B1827" i="1" a="1"/>
  <c r="B1827" i="1" s="1"/>
  <c r="B1828" i="1" a="1"/>
  <c r="B1828" i="1" s="1"/>
  <c r="B1829" i="1" a="1"/>
  <c r="B1829" i="1" s="1"/>
  <c r="B1830" i="1" a="1"/>
  <c r="B1830" i="1" s="1"/>
  <c r="B1831" i="1" a="1"/>
  <c r="B1831" i="1" s="1"/>
  <c r="B1832" i="1" a="1"/>
  <c r="B1832" i="1" s="1"/>
  <c r="B1833" i="1" a="1"/>
  <c r="B1833" i="1" s="1"/>
  <c r="B1834" i="1" a="1"/>
  <c r="B1834" i="1" s="1"/>
  <c r="B1835" i="1" a="1"/>
  <c r="B1835" i="1" s="1"/>
  <c r="B1836" i="1" a="1"/>
  <c r="B1836" i="1" s="1"/>
  <c r="B1837" i="1" a="1"/>
  <c r="B1837" i="1" s="1"/>
  <c r="B1838" i="1" a="1"/>
  <c r="B1838" i="1" s="1"/>
  <c r="B1839" i="1" a="1"/>
  <c r="B1839" i="1" s="1"/>
  <c r="B1840" i="1" a="1"/>
  <c r="B1840" i="1" s="1"/>
  <c r="B1841" i="1" a="1"/>
  <c r="B1841" i="1" s="1"/>
  <c r="B1842" i="1" a="1"/>
  <c r="B1842" i="1" s="1"/>
  <c r="B1843" i="1" a="1"/>
  <c r="B1843" i="1" s="1"/>
  <c r="B1844" i="1" a="1"/>
  <c r="B1844" i="1" s="1"/>
  <c r="B1845" i="1" a="1"/>
  <c r="B1845" i="1" s="1"/>
  <c r="B1846" i="1" a="1"/>
  <c r="B1846" i="1" s="1"/>
  <c r="B1847" i="1" a="1"/>
  <c r="B1847" i="1" s="1"/>
  <c r="B1848" i="1" a="1"/>
  <c r="B1848" i="1" s="1"/>
  <c r="B1849" i="1" a="1"/>
  <c r="B1849" i="1" s="1"/>
  <c r="B1850" i="1" a="1"/>
  <c r="B1850" i="1" s="1"/>
  <c r="B1851" i="1" a="1"/>
  <c r="B1851" i="1" s="1"/>
  <c r="B1852" i="1" a="1"/>
  <c r="B1852" i="1" s="1"/>
  <c r="B1853" i="1" a="1"/>
  <c r="B1853" i="1" s="1"/>
  <c r="B1854" i="1" a="1"/>
  <c r="B1854" i="1" s="1"/>
  <c r="B1855" i="1" a="1"/>
  <c r="B1855" i="1" s="1"/>
  <c r="B1856" i="1" a="1"/>
  <c r="B1856" i="1" s="1"/>
  <c r="B1857" i="1" a="1"/>
  <c r="B1857" i="1" s="1"/>
  <c r="B1858" i="1" a="1"/>
  <c r="B1858" i="1" s="1"/>
  <c r="B1859" i="1" a="1"/>
  <c r="B1859" i="1" s="1"/>
  <c r="B1860" i="1" a="1"/>
  <c r="B1860" i="1" s="1"/>
  <c r="B1861" i="1" a="1"/>
  <c r="B1861" i="1" s="1"/>
  <c r="B1862" i="1" a="1"/>
  <c r="B1862" i="1" s="1"/>
  <c r="B1863" i="1" a="1"/>
  <c r="B1863" i="1" s="1"/>
  <c r="B1864" i="1" a="1"/>
  <c r="B1864" i="1" s="1"/>
  <c r="B1865" i="1" a="1"/>
  <c r="B1865" i="1" s="1"/>
  <c r="B1866" i="1" a="1"/>
  <c r="B1866" i="1" s="1"/>
  <c r="B1867" i="1" a="1"/>
  <c r="B1867" i="1" s="1"/>
  <c r="B1868" i="1" a="1"/>
  <c r="B1868" i="1" s="1"/>
  <c r="B1869" i="1" a="1"/>
  <c r="B1869" i="1" s="1"/>
  <c r="B1870" i="1" a="1"/>
  <c r="B1870" i="1" s="1"/>
  <c r="B1871" i="1" a="1"/>
  <c r="B1871" i="1" s="1"/>
  <c r="B1872" i="1" a="1"/>
  <c r="B1872" i="1" s="1"/>
  <c r="B1873" i="1" a="1"/>
  <c r="B1873" i="1" s="1"/>
  <c r="B1874" i="1" a="1"/>
  <c r="B1874" i="1" s="1"/>
  <c r="B1875" i="1" a="1"/>
  <c r="B1875" i="1" s="1"/>
  <c r="B1876" i="1" a="1"/>
  <c r="B1876" i="1" s="1"/>
  <c r="B1877" i="1" a="1"/>
  <c r="B1877" i="1" s="1"/>
  <c r="B1878" i="1" a="1"/>
  <c r="B1878" i="1" s="1"/>
  <c r="B1879" i="1" a="1"/>
  <c r="B1879" i="1" s="1"/>
  <c r="B1880" i="1" a="1"/>
  <c r="B1880" i="1" s="1"/>
  <c r="B1881" i="1" a="1"/>
  <c r="B1881" i="1" s="1"/>
  <c r="B1882" i="1" a="1"/>
  <c r="B1882" i="1" s="1"/>
  <c r="B1883" i="1" a="1"/>
  <c r="B1883" i="1" s="1"/>
  <c r="B1884" i="1" a="1"/>
  <c r="B1884" i="1" s="1"/>
  <c r="B1885" i="1" a="1"/>
  <c r="B1885" i="1" s="1"/>
  <c r="B1886" i="1" a="1"/>
  <c r="B1886" i="1" s="1"/>
  <c r="B1887" i="1" a="1"/>
  <c r="B1887" i="1" s="1"/>
  <c r="B1888" i="1" a="1"/>
  <c r="B1888" i="1" s="1"/>
  <c r="B1889" i="1" a="1"/>
  <c r="B1889" i="1" s="1"/>
  <c r="B1890" i="1" a="1"/>
  <c r="B1890" i="1" s="1"/>
  <c r="B1891" i="1" a="1"/>
  <c r="B1891" i="1" s="1"/>
  <c r="B1892" i="1" a="1"/>
  <c r="B1892" i="1" s="1"/>
  <c r="B1893" i="1" a="1"/>
  <c r="B1893" i="1" s="1"/>
  <c r="B1894" i="1" a="1"/>
  <c r="B1894" i="1" s="1"/>
  <c r="B1895" i="1" a="1"/>
  <c r="B1895" i="1" s="1"/>
  <c r="B1896" i="1" a="1"/>
  <c r="B1896" i="1" s="1"/>
  <c r="B1897" i="1" a="1"/>
  <c r="B1897" i="1" s="1"/>
  <c r="B1898" i="1" a="1"/>
  <c r="B1898" i="1" s="1"/>
  <c r="B1899" i="1" a="1"/>
  <c r="B1899" i="1" s="1"/>
  <c r="B1900" i="1" a="1"/>
  <c r="B1900" i="1" s="1"/>
  <c r="B1901" i="1" a="1"/>
  <c r="B1901" i="1" s="1"/>
  <c r="B1902" i="1" a="1"/>
  <c r="B1902" i="1" s="1"/>
  <c r="B1903" i="1" a="1"/>
  <c r="B1903" i="1" s="1"/>
  <c r="B1904" i="1" a="1"/>
  <c r="B1904" i="1" s="1"/>
  <c r="B1905" i="1" a="1"/>
  <c r="B1905" i="1" s="1"/>
  <c r="B1906" i="1" a="1"/>
  <c r="B1906" i="1" s="1"/>
  <c r="B1907" i="1" a="1"/>
  <c r="B1907" i="1" s="1"/>
  <c r="B1908" i="1" a="1"/>
  <c r="B1908" i="1" s="1"/>
  <c r="B1909" i="1" a="1"/>
  <c r="B1909" i="1" s="1"/>
  <c r="B1910" i="1" a="1"/>
  <c r="B1910" i="1" s="1"/>
  <c r="B1911" i="1" a="1"/>
  <c r="B1911" i="1" s="1"/>
  <c r="B1912" i="1" a="1"/>
  <c r="B1912" i="1" s="1"/>
  <c r="B1913" i="1" a="1"/>
  <c r="B1913" i="1" s="1"/>
  <c r="B1914" i="1" a="1"/>
  <c r="B1914" i="1" s="1"/>
  <c r="B1915" i="1" a="1"/>
  <c r="B1915" i="1" s="1"/>
  <c r="B1916" i="1" a="1"/>
  <c r="B1916" i="1" s="1"/>
  <c r="B1917" i="1" a="1"/>
  <c r="B1917" i="1" s="1"/>
  <c r="B1918" i="1" a="1"/>
  <c r="B1918" i="1" s="1"/>
  <c r="B1919" i="1" a="1"/>
  <c r="B1919" i="1" s="1"/>
  <c r="B1920" i="1" a="1"/>
  <c r="B1920" i="1" s="1"/>
  <c r="B1921" i="1" a="1"/>
  <c r="B1921" i="1" s="1"/>
  <c r="B1922" i="1" a="1"/>
  <c r="B1922" i="1" s="1"/>
  <c r="B1923" i="1" a="1"/>
  <c r="B1923" i="1" s="1"/>
  <c r="B1924" i="1" a="1"/>
  <c r="B1924" i="1" s="1"/>
  <c r="B1925" i="1" a="1"/>
  <c r="B1925" i="1" s="1"/>
  <c r="B1926" i="1" a="1"/>
  <c r="B1926" i="1" s="1"/>
  <c r="B1927" i="1" a="1"/>
  <c r="B1927" i="1" s="1"/>
  <c r="B1928" i="1" a="1"/>
  <c r="B1928" i="1" s="1"/>
  <c r="B1929" i="1" a="1"/>
  <c r="B1929" i="1" s="1"/>
  <c r="B1930" i="1" a="1"/>
  <c r="B1930" i="1" s="1"/>
  <c r="B1931" i="1" a="1"/>
  <c r="B1931" i="1" s="1"/>
  <c r="B1932" i="1" a="1"/>
  <c r="B1932" i="1" s="1"/>
  <c r="B1933" i="1" a="1"/>
  <c r="B1933" i="1" s="1"/>
  <c r="B1934" i="1" a="1"/>
  <c r="B1934" i="1" s="1"/>
  <c r="B1935" i="1" a="1"/>
  <c r="B1935" i="1" s="1"/>
  <c r="B1936" i="1" a="1"/>
  <c r="B1936" i="1" s="1"/>
  <c r="B1937" i="1" a="1"/>
  <c r="B1937" i="1" s="1"/>
  <c r="B1938" i="1" a="1"/>
  <c r="B1938" i="1" s="1"/>
  <c r="B1939" i="1" a="1"/>
  <c r="B1939" i="1" s="1"/>
  <c r="B1940" i="1" a="1"/>
  <c r="B1940" i="1" s="1"/>
  <c r="B1941" i="1" a="1"/>
  <c r="B1941" i="1" s="1"/>
  <c r="B1942" i="1" a="1"/>
  <c r="B1942" i="1" s="1"/>
  <c r="B1943" i="1" a="1"/>
  <c r="B1943" i="1" s="1"/>
  <c r="B1944" i="1" a="1"/>
  <c r="B1944" i="1" s="1"/>
  <c r="B1945" i="1" a="1"/>
  <c r="B1945" i="1" s="1"/>
  <c r="B1946" i="1" a="1"/>
  <c r="B1946" i="1" s="1"/>
  <c r="B1947" i="1" a="1"/>
  <c r="B1947" i="1" s="1"/>
  <c r="B1948" i="1" a="1"/>
  <c r="B1948" i="1" s="1"/>
  <c r="B1949" i="1" a="1"/>
  <c r="B1949" i="1" s="1"/>
  <c r="B1950" i="1" a="1"/>
  <c r="B1950" i="1" s="1"/>
  <c r="B1951" i="1" a="1"/>
  <c r="B1951" i="1" s="1"/>
  <c r="B1952" i="1" a="1"/>
  <c r="B1952" i="1" s="1"/>
  <c r="B1953" i="1" a="1"/>
  <c r="B1953" i="1" s="1"/>
  <c r="B1954" i="1" a="1"/>
  <c r="B1954" i="1" s="1"/>
  <c r="B1955" i="1" a="1"/>
  <c r="B1955" i="1" s="1"/>
  <c r="B1956" i="1" a="1"/>
  <c r="B1956" i="1" s="1"/>
  <c r="B1957" i="1" a="1"/>
  <c r="B1957" i="1" s="1"/>
  <c r="B1958" i="1" a="1"/>
  <c r="B1958" i="1" s="1"/>
  <c r="B1959" i="1" a="1"/>
  <c r="B1959" i="1" s="1"/>
  <c r="B1960" i="1" a="1"/>
  <c r="B1960" i="1" s="1"/>
  <c r="B1961" i="1" a="1"/>
  <c r="B1961" i="1" s="1"/>
  <c r="B1962" i="1" a="1"/>
  <c r="B1962" i="1" s="1"/>
  <c r="B1963" i="1" a="1"/>
  <c r="B1963" i="1" s="1"/>
  <c r="B1964" i="1" a="1"/>
  <c r="B1964" i="1" s="1"/>
  <c r="B1965" i="1" a="1"/>
  <c r="B1965" i="1" s="1"/>
  <c r="B1966" i="1" a="1"/>
  <c r="B1966" i="1" s="1"/>
  <c r="B1967" i="1" a="1"/>
  <c r="B1967" i="1" s="1"/>
  <c r="B1968" i="1" a="1"/>
  <c r="B1968" i="1" s="1"/>
  <c r="B1969" i="1" a="1"/>
  <c r="B1969" i="1" s="1"/>
  <c r="B1970" i="1" a="1"/>
  <c r="B1970" i="1" s="1"/>
  <c r="B1971" i="1" a="1"/>
  <c r="B1971" i="1" s="1"/>
  <c r="B1972" i="1" a="1"/>
  <c r="B1972" i="1" s="1"/>
  <c r="B1973" i="1" a="1"/>
  <c r="B1973" i="1" s="1"/>
  <c r="B1974" i="1" a="1"/>
  <c r="B1974" i="1" s="1"/>
  <c r="B1975" i="1" a="1"/>
  <c r="B1975" i="1" s="1"/>
  <c r="B1976" i="1" a="1"/>
  <c r="B1976" i="1" s="1"/>
  <c r="B1977" i="1" a="1"/>
  <c r="B1977" i="1" s="1"/>
  <c r="B1978" i="1" a="1"/>
  <c r="B1978" i="1" s="1"/>
  <c r="B1979" i="1" a="1"/>
  <c r="B1979" i="1" s="1"/>
  <c r="B1980" i="1" a="1"/>
  <c r="B1980" i="1" s="1"/>
  <c r="B1981" i="1" a="1"/>
  <c r="B1981" i="1" s="1"/>
  <c r="B1982" i="1" a="1"/>
  <c r="B1982" i="1" s="1"/>
  <c r="B1983" i="1" a="1"/>
  <c r="B1983" i="1" s="1"/>
  <c r="B1984" i="1" a="1"/>
  <c r="B1984" i="1" s="1"/>
  <c r="B1985" i="1" a="1"/>
  <c r="B1985" i="1" s="1"/>
  <c r="B1986" i="1" a="1"/>
  <c r="B1986" i="1" s="1"/>
  <c r="B1987" i="1" a="1"/>
  <c r="B1987" i="1" s="1"/>
  <c r="B1988" i="1" a="1"/>
  <c r="B1988" i="1" s="1"/>
  <c r="B1989" i="1" a="1"/>
  <c r="B1989" i="1" s="1"/>
  <c r="B1990" i="1" a="1"/>
  <c r="B1990" i="1" s="1"/>
  <c r="B1991" i="1" a="1"/>
  <c r="B1991" i="1" s="1"/>
  <c r="B1992" i="1" a="1"/>
  <c r="B1992" i="1" s="1"/>
  <c r="B1993" i="1" a="1"/>
  <c r="B1993" i="1" s="1"/>
  <c r="B1994" i="1" a="1"/>
  <c r="B1994" i="1" s="1"/>
  <c r="B1995" i="1" a="1"/>
  <c r="B1995" i="1" s="1"/>
  <c r="B1996" i="1" a="1"/>
  <c r="B1996" i="1" s="1"/>
  <c r="B1997" i="1" a="1"/>
  <c r="B1997" i="1" s="1"/>
  <c r="B1998" i="1" a="1"/>
  <c r="B1998" i="1" s="1"/>
  <c r="B1999" i="1" a="1"/>
  <c r="B1999" i="1" s="1"/>
  <c r="B2000" i="1" a="1"/>
  <c r="B2000" i="1" s="1"/>
  <c r="B2001" i="1" a="1"/>
  <c r="B2001" i="1" s="1"/>
  <c r="B2002" i="1" a="1"/>
  <c r="B2002" i="1" s="1"/>
  <c r="B2003" i="1" a="1"/>
  <c r="B2003" i="1" s="1"/>
  <c r="B2004" i="1" a="1"/>
  <c r="B2004" i="1" s="1"/>
  <c r="B2005" i="1" a="1"/>
  <c r="B2005" i="1" s="1"/>
  <c r="B2006" i="1" a="1"/>
  <c r="B2006" i="1" s="1"/>
  <c r="B2007" i="1" a="1"/>
  <c r="B2007" i="1" s="1"/>
  <c r="B2008" i="1" a="1"/>
  <c r="B2008" i="1" s="1"/>
  <c r="B2009" i="1" a="1"/>
  <c r="B2009" i="1" s="1"/>
  <c r="B2010" i="1" a="1"/>
  <c r="B2010" i="1" s="1"/>
  <c r="B2011" i="1" a="1"/>
  <c r="B2011" i="1" s="1"/>
  <c r="B2012" i="1" a="1"/>
  <c r="B2012" i="1" s="1"/>
  <c r="B2013" i="1" a="1"/>
  <c r="B2013" i="1" s="1"/>
  <c r="B2014" i="1" a="1"/>
  <c r="B2014" i="1" s="1"/>
  <c r="B2015" i="1" a="1"/>
  <c r="B2015" i="1" s="1"/>
  <c r="B2016" i="1" a="1"/>
  <c r="B2016" i="1" s="1"/>
  <c r="B2017" i="1" a="1"/>
  <c r="B2017" i="1" s="1"/>
  <c r="B2018" i="1" a="1"/>
  <c r="B2018" i="1" s="1"/>
  <c r="B2019" i="1" a="1"/>
  <c r="B2019" i="1" s="1"/>
  <c r="B2020" i="1" a="1"/>
  <c r="B2020" i="1" s="1"/>
  <c r="B2021" i="1" a="1"/>
  <c r="B2021" i="1" s="1"/>
  <c r="B2022" i="1" a="1"/>
  <c r="B2022" i="1" s="1"/>
  <c r="B2023" i="1" a="1"/>
  <c r="B2023" i="1" s="1"/>
  <c r="B2024" i="1" a="1"/>
  <c r="B2024" i="1" s="1"/>
  <c r="B2025" i="1" a="1"/>
  <c r="B2025" i="1" s="1"/>
  <c r="B2026" i="1" a="1"/>
  <c r="B2026" i="1" s="1"/>
  <c r="B2027" i="1" a="1"/>
  <c r="B2027" i="1" s="1"/>
  <c r="B2028" i="1" a="1"/>
  <c r="B2028" i="1" s="1"/>
  <c r="B2029" i="1" a="1"/>
  <c r="B2029" i="1" s="1"/>
  <c r="B2030" i="1" a="1"/>
  <c r="B2030" i="1" s="1"/>
  <c r="B2031" i="1" a="1"/>
  <c r="B2031" i="1" s="1"/>
  <c r="B2032" i="1" a="1"/>
  <c r="B2032" i="1" s="1"/>
  <c r="B2033" i="1" a="1"/>
  <c r="B2033" i="1" s="1"/>
  <c r="B2034" i="1" a="1"/>
  <c r="B2034" i="1" s="1"/>
  <c r="B2035" i="1" a="1"/>
  <c r="B2035" i="1" s="1"/>
  <c r="B2036" i="1" a="1"/>
  <c r="B2036" i="1" s="1"/>
  <c r="B2037" i="1" a="1"/>
  <c r="B2037" i="1" s="1"/>
  <c r="B2038" i="1" a="1"/>
  <c r="B2038" i="1" s="1"/>
  <c r="B2039" i="1" a="1"/>
  <c r="B2039" i="1" s="1"/>
  <c r="B2040" i="1" a="1"/>
  <c r="B2040" i="1" s="1"/>
  <c r="B2041" i="1" a="1"/>
  <c r="B2041" i="1" s="1"/>
  <c r="B2042" i="1" a="1"/>
  <c r="B2042" i="1" s="1"/>
  <c r="B2043" i="1" a="1"/>
  <c r="B2043" i="1" s="1"/>
  <c r="B2044" i="1" a="1"/>
  <c r="B2044" i="1" s="1"/>
  <c r="B2045" i="1" a="1"/>
  <c r="B2045" i="1" s="1"/>
  <c r="B2046" i="1" a="1"/>
  <c r="B2046" i="1" s="1"/>
  <c r="B2047" i="1" a="1"/>
  <c r="B2047" i="1" s="1"/>
  <c r="B2048" i="1" a="1"/>
  <c r="B2048" i="1" s="1"/>
  <c r="B2049" i="1" a="1"/>
  <c r="B2049" i="1" s="1"/>
  <c r="B2050" i="1" a="1"/>
  <c r="B2050" i="1" s="1"/>
  <c r="B2051" i="1" a="1"/>
  <c r="B2051" i="1" s="1"/>
  <c r="B2052" i="1" a="1"/>
  <c r="B2052" i="1" s="1"/>
  <c r="B2053" i="1" a="1"/>
  <c r="B2053" i="1" s="1"/>
  <c r="B2054" i="1" a="1"/>
  <c r="B2054" i="1" s="1"/>
  <c r="B2055" i="1" a="1"/>
  <c r="B2055" i="1" s="1"/>
  <c r="B2056" i="1" a="1"/>
  <c r="B2056" i="1" s="1"/>
  <c r="B2057" i="1" a="1"/>
  <c r="B2057" i="1" s="1"/>
  <c r="B2058" i="1" a="1"/>
  <c r="B2058" i="1" s="1"/>
  <c r="B2059" i="1" a="1"/>
  <c r="B2059" i="1" s="1"/>
  <c r="B2060" i="1" a="1"/>
  <c r="B2060" i="1" s="1"/>
  <c r="B2061" i="1" a="1"/>
  <c r="B2061" i="1" s="1"/>
  <c r="B2062" i="1" a="1"/>
  <c r="B2062" i="1" s="1"/>
  <c r="B2063" i="1" a="1"/>
  <c r="B2063" i="1" s="1"/>
  <c r="B2064" i="1" a="1"/>
  <c r="B2064" i="1" s="1"/>
  <c r="B2065" i="1" a="1"/>
  <c r="B2065" i="1" s="1"/>
  <c r="B2066" i="1" a="1"/>
  <c r="B2066" i="1" s="1"/>
  <c r="B2067" i="1" a="1"/>
  <c r="B2067" i="1" s="1"/>
  <c r="B2068" i="1" a="1"/>
  <c r="B2068" i="1" s="1"/>
  <c r="B2069" i="1" a="1"/>
  <c r="B2069" i="1" s="1"/>
  <c r="B2070" i="1" a="1"/>
  <c r="B2070" i="1" s="1"/>
  <c r="B2071" i="1" a="1"/>
  <c r="B2071" i="1" s="1"/>
  <c r="B2072" i="1" a="1"/>
  <c r="B2072" i="1" s="1"/>
  <c r="B2073" i="1" a="1"/>
  <c r="B2073" i="1" s="1"/>
  <c r="B2074" i="1" a="1"/>
  <c r="B2074" i="1" s="1"/>
  <c r="B2075" i="1" a="1"/>
  <c r="B2075" i="1" s="1"/>
  <c r="B2076" i="1" a="1"/>
  <c r="B2076" i="1" s="1"/>
  <c r="B2077" i="1" a="1"/>
  <c r="B2077" i="1" s="1"/>
  <c r="B2078" i="1" a="1"/>
  <c r="B2078" i="1" s="1"/>
  <c r="B2079" i="1" a="1"/>
  <c r="B2079" i="1" s="1"/>
  <c r="B2080" i="1" a="1"/>
  <c r="B2080" i="1" s="1"/>
  <c r="B2081" i="1" a="1"/>
  <c r="B2081" i="1" s="1"/>
  <c r="B2082" i="1" a="1"/>
  <c r="B2082" i="1" s="1"/>
  <c r="B2083" i="1" a="1"/>
  <c r="B2083" i="1" s="1"/>
  <c r="B2084" i="1" a="1"/>
  <c r="B2084" i="1" s="1"/>
  <c r="B2085" i="1" a="1"/>
  <c r="B2085" i="1" s="1"/>
  <c r="B2086" i="1" a="1"/>
  <c r="B2086" i="1" s="1"/>
  <c r="B2087" i="1" a="1"/>
  <c r="B2087" i="1" s="1"/>
  <c r="B2088" i="1" a="1"/>
  <c r="B2088" i="1" s="1"/>
  <c r="B2089" i="1" a="1"/>
  <c r="B2089" i="1" s="1"/>
  <c r="B2090" i="1" a="1"/>
  <c r="B2090" i="1" s="1"/>
  <c r="B2091" i="1" a="1"/>
  <c r="B2091" i="1" s="1"/>
  <c r="B2092" i="1" a="1"/>
  <c r="B2092" i="1" s="1"/>
  <c r="B2093" i="1" a="1"/>
  <c r="B2093" i="1" s="1"/>
  <c r="B2094" i="1" a="1"/>
  <c r="B2094" i="1" s="1"/>
  <c r="B2095" i="1" a="1"/>
  <c r="B2095" i="1" s="1"/>
  <c r="B2096" i="1" a="1"/>
  <c r="B2096" i="1" s="1"/>
  <c r="B2097" i="1" a="1"/>
  <c r="B2097" i="1" s="1"/>
  <c r="B2098" i="1" a="1"/>
  <c r="B2098" i="1" s="1"/>
  <c r="B2099" i="1" a="1"/>
  <c r="B2099" i="1" s="1"/>
  <c r="B2100" i="1" a="1"/>
  <c r="B2100" i="1" s="1"/>
  <c r="B2101" i="1" a="1"/>
  <c r="B2101" i="1" s="1"/>
  <c r="B2102" i="1" a="1"/>
  <c r="B2102" i="1" s="1"/>
  <c r="B2103" i="1" a="1"/>
  <c r="B2103" i="1" s="1"/>
  <c r="B2104" i="1" a="1"/>
  <c r="B2104" i="1" s="1"/>
  <c r="B2105" i="1" a="1"/>
  <c r="B2105" i="1" s="1"/>
  <c r="B2106" i="1" a="1"/>
  <c r="B2106" i="1" s="1"/>
  <c r="B2107" i="1" a="1"/>
  <c r="B2107" i="1" s="1"/>
  <c r="B2108" i="1" a="1"/>
  <c r="B2108" i="1" s="1"/>
  <c r="B2109" i="1" a="1"/>
  <c r="B2109" i="1" s="1"/>
  <c r="B2110" i="1" a="1"/>
  <c r="B2110" i="1" s="1"/>
  <c r="B2111" i="1" a="1"/>
  <c r="B2111" i="1" s="1"/>
  <c r="B2112" i="1" a="1"/>
  <c r="B2112" i="1" s="1"/>
  <c r="B2113" i="1" a="1"/>
  <c r="B2113" i="1" s="1"/>
  <c r="B2114" i="1" a="1"/>
  <c r="B2114" i="1" s="1"/>
  <c r="B2115" i="1" a="1"/>
  <c r="B2115" i="1" s="1"/>
  <c r="B2116" i="1" a="1"/>
  <c r="B2116" i="1" s="1"/>
  <c r="B2117" i="1" a="1"/>
  <c r="B2117" i="1" s="1"/>
  <c r="B2118" i="1" a="1"/>
  <c r="B2118" i="1" s="1"/>
  <c r="B2119" i="1" a="1"/>
  <c r="B2119" i="1" s="1"/>
  <c r="B2120" i="1" a="1"/>
  <c r="B2120" i="1" s="1"/>
  <c r="B2121" i="1" a="1"/>
  <c r="B2121" i="1" s="1"/>
  <c r="B2122" i="1" a="1"/>
  <c r="B2122" i="1" s="1"/>
  <c r="B2123" i="1" a="1"/>
  <c r="B2123" i="1" s="1"/>
  <c r="B2124" i="1" a="1"/>
  <c r="B2124" i="1" s="1"/>
  <c r="B2125" i="1" a="1"/>
  <c r="B2125" i="1" s="1"/>
  <c r="B2126" i="1" a="1"/>
  <c r="B2126" i="1" s="1"/>
  <c r="B2127" i="1" a="1"/>
  <c r="B2127" i="1" s="1"/>
  <c r="B2128" i="1" a="1"/>
  <c r="B2128" i="1" s="1"/>
  <c r="B2129" i="1" a="1"/>
  <c r="B2129" i="1" s="1"/>
  <c r="B2130" i="1" a="1"/>
  <c r="B2130" i="1" s="1"/>
  <c r="B2131" i="1" a="1"/>
  <c r="B2131" i="1" s="1"/>
  <c r="B2132" i="1" a="1"/>
  <c r="B2132" i="1" s="1"/>
  <c r="B2133" i="1" a="1"/>
  <c r="B2133" i="1" s="1"/>
  <c r="B2134" i="1" a="1"/>
  <c r="B2134" i="1" s="1"/>
  <c r="B2135" i="1" a="1"/>
  <c r="B2135" i="1" s="1"/>
  <c r="B2136" i="1" a="1"/>
  <c r="B2136" i="1" s="1"/>
  <c r="B2137" i="1" a="1"/>
  <c r="B2137" i="1" s="1"/>
  <c r="B2138" i="1" a="1"/>
  <c r="B2138" i="1" s="1"/>
  <c r="B2139" i="1" a="1"/>
  <c r="B2139" i="1" s="1"/>
  <c r="B2140" i="1" a="1"/>
  <c r="B2140" i="1" s="1"/>
  <c r="B2141" i="1" a="1"/>
  <c r="B2141" i="1" s="1"/>
  <c r="B2142" i="1" a="1"/>
  <c r="B2142" i="1" s="1"/>
  <c r="B2143" i="1" a="1"/>
  <c r="B2143" i="1" s="1"/>
  <c r="B2144" i="1" a="1"/>
  <c r="B2144" i="1" s="1"/>
  <c r="B2145" i="1" a="1"/>
  <c r="B2145" i="1" s="1"/>
  <c r="B2146" i="1" a="1"/>
  <c r="B2146" i="1" s="1"/>
  <c r="B2147" i="1" a="1"/>
  <c r="B2147" i="1" s="1"/>
  <c r="B2148" i="1" a="1"/>
  <c r="B2148" i="1" s="1"/>
  <c r="B2149" i="1" a="1"/>
  <c r="B2149" i="1" s="1"/>
  <c r="B2150" i="1" a="1"/>
  <c r="B2150" i="1" s="1"/>
  <c r="B2151" i="1" a="1"/>
  <c r="B2151" i="1" s="1"/>
  <c r="B2152" i="1" a="1"/>
  <c r="B2152" i="1" s="1"/>
  <c r="B2153" i="1" a="1"/>
  <c r="B2153" i="1" s="1"/>
  <c r="B2154" i="1" a="1"/>
  <c r="B2154" i="1" s="1"/>
  <c r="B2155" i="1" a="1"/>
  <c r="B2155" i="1" s="1"/>
  <c r="B2156" i="1" a="1"/>
  <c r="B2156" i="1" s="1"/>
  <c r="B2157" i="1" a="1"/>
  <c r="B2157" i="1" s="1"/>
  <c r="B2158" i="1" a="1"/>
  <c r="B2158" i="1" s="1"/>
  <c r="B2159" i="1" a="1"/>
  <c r="B2159" i="1" s="1"/>
  <c r="B2160" i="1" a="1"/>
  <c r="B2160" i="1" s="1"/>
  <c r="B2161" i="1" a="1"/>
  <c r="B2161" i="1" s="1"/>
  <c r="B2162" i="1" a="1"/>
  <c r="B2162" i="1" s="1"/>
  <c r="B2163" i="1" a="1"/>
  <c r="B2163" i="1" s="1"/>
  <c r="B2164" i="1" a="1"/>
  <c r="B2164" i="1" s="1"/>
  <c r="B2165" i="1" a="1"/>
  <c r="B2165" i="1" s="1"/>
  <c r="B2166" i="1" a="1"/>
  <c r="B2166" i="1" s="1"/>
  <c r="B2167" i="1" a="1"/>
  <c r="B2167" i="1" s="1"/>
  <c r="B2168" i="1" a="1"/>
  <c r="B2168" i="1" s="1"/>
  <c r="B2169" i="1" a="1"/>
  <c r="B2169" i="1" s="1"/>
  <c r="B2170" i="1" a="1"/>
  <c r="B2170" i="1" s="1"/>
  <c r="B2171" i="1" a="1"/>
  <c r="B2171" i="1" s="1"/>
  <c r="B2172" i="1" a="1"/>
  <c r="B2172" i="1" s="1"/>
  <c r="B2173" i="1" a="1"/>
  <c r="B2173" i="1" s="1"/>
  <c r="B2174" i="1" a="1"/>
  <c r="B2174" i="1" s="1"/>
  <c r="B2175" i="1" a="1"/>
  <c r="B2175" i="1" s="1"/>
  <c r="B2176" i="1" a="1"/>
  <c r="B2176" i="1" s="1"/>
  <c r="B2177" i="1" a="1"/>
  <c r="B2177" i="1" s="1"/>
  <c r="B2178" i="1" a="1"/>
  <c r="B2178" i="1" s="1"/>
  <c r="B2179" i="1" a="1"/>
  <c r="B2179" i="1" s="1"/>
  <c r="B2180" i="1" a="1"/>
  <c r="B2180" i="1" s="1"/>
  <c r="B2181" i="1" a="1"/>
  <c r="B2181" i="1" s="1"/>
  <c r="B2182" i="1" a="1"/>
  <c r="B2182" i="1" s="1"/>
  <c r="B2183" i="1" a="1"/>
  <c r="B2183" i="1" s="1"/>
  <c r="B2184" i="1" a="1"/>
  <c r="B2184" i="1" s="1"/>
  <c r="B2185" i="1" a="1"/>
  <c r="B2185" i="1" s="1"/>
  <c r="B2186" i="1" a="1"/>
  <c r="B2186" i="1" s="1"/>
  <c r="B2187" i="1" a="1"/>
  <c r="B2187" i="1" s="1"/>
  <c r="B2188" i="1" a="1"/>
  <c r="B2188" i="1" s="1"/>
  <c r="B2189" i="1" a="1"/>
  <c r="B2189" i="1" s="1"/>
  <c r="B2190" i="1" a="1"/>
  <c r="B2190" i="1" s="1"/>
  <c r="B2191" i="1" a="1"/>
  <c r="B2191" i="1" s="1"/>
  <c r="B2192" i="1" a="1"/>
  <c r="B2192" i="1" s="1"/>
  <c r="B2193" i="1" a="1"/>
  <c r="B2193" i="1" s="1"/>
  <c r="B2194" i="1" a="1"/>
  <c r="B2194" i="1" s="1"/>
  <c r="B2195" i="1" a="1"/>
  <c r="B2195" i="1" s="1"/>
  <c r="B2196" i="1" a="1"/>
  <c r="B2196" i="1" s="1"/>
  <c r="B2197" i="1" a="1"/>
  <c r="B2197" i="1" s="1"/>
  <c r="B2198" i="1" a="1"/>
  <c r="B2198" i="1" s="1"/>
  <c r="B2199" i="1" a="1"/>
  <c r="B2199" i="1" s="1"/>
  <c r="B2200" i="1" a="1"/>
  <c r="B2200" i="1" s="1"/>
  <c r="B2201" i="1" a="1"/>
  <c r="B2201" i="1" s="1"/>
  <c r="B2202" i="1" a="1"/>
  <c r="B2202" i="1" s="1"/>
  <c r="B2203" i="1" a="1"/>
  <c r="B2203" i="1" s="1"/>
  <c r="B2204" i="1" a="1"/>
  <c r="B2204" i="1" s="1"/>
  <c r="B2205" i="1" a="1"/>
  <c r="B2205" i="1" s="1"/>
  <c r="B2206" i="1" a="1"/>
  <c r="B2206" i="1" s="1"/>
  <c r="B2207" i="1" a="1"/>
  <c r="B2207" i="1" s="1"/>
  <c r="B2208" i="1" a="1"/>
  <c r="B2208" i="1" s="1"/>
  <c r="B2209" i="1" a="1"/>
  <c r="B2209" i="1" s="1"/>
  <c r="B2210" i="1" a="1"/>
  <c r="B2210" i="1" s="1"/>
  <c r="B2211" i="1" a="1"/>
  <c r="B2211" i="1" s="1"/>
  <c r="B2212" i="1" a="1"/>
  <c r="B2212" i="1" s="1"/>
  <c r="B2213" i="1" a="1"/>
  <c r="B2213" i="1" s="1"/>
  <c r="B2214" i="1" a="1"/>
  <c r="B2214" i="1" s="1"/>
  <c r="B2215" i="1" a="1"/>
  <c r="B2215" i="1" s="1"/>
  <c r="B2216" i="1" a="1"/>
  <c r="B2216" i="1" s="1"/>
  <c r="B2217" i="1" a="1"/>
  <c r="B2217" i="1" s="1"/>
  <c r="B2218" i="1" a="1"/>
  <c r="B2218" i="1" s="1"/>
  <c r="B2219" i="1" a="1"/>
  <c r="B2219" i="1" s="1"/>
  <c r="B2220" i="1" a="1"/>
  <c r="B2220" i="1" s="1"/>
  <c r="B2221" i="1" a="1"/>
  <c r="B2221" i="1" s="1"/>
  <c r="B2222" i="1" a="1"/>
  <c r="B2222" i="1" s="1"/>
  <c r="B2223" i="1" a="1"/>
  <c r="B2223" i="1" s="1"/>
  <c r="B2224" i="1" a="1"/>
  <c r="B2224" i="1" s="1"/>
  <c r="B2225" i="1" a="1"/>
  <c r="B2225" i="1" s="1"/>
  <c r="B2226" i="1" a="1"/>
  <c r="B2226" i="1" s="1"/>
  <c r="B2227" i="1" a="1"/>
  <c r="B2227" i="1" s="1"/>
  <c r="B2228" i="1" a="1"/>
  <c r="B2228" i="1" s="1"/>
  <c r="B2229" i="1" a="1"/>
  <c r="B2229" i="1" s="1"/>
  <c r="B2230" i="1" a="1"/>
  <c r="B2230" i="1" s="1"/>
  <c r="B2231" i="1" a="1"/>
  <c r="B2231" i="1" s="1"/>
  <c r="B2232" i="1" a="1"/>
  <c r="B2232" i="1" s="1"/>
  <c r="B2233" i="1" a="1"/>
  <c r="B2233" i="1" s="1"/>
  <c r="B2234" i="1" a="1"/>
  <c r="B2234" i="1" s="1"/>
  <c r="B2235" i="1" a="1"/>
  <c r="B2235" i="1" s="1"/>
  <c r="B2236" i="1" a="1"/>
  <c r="B2236" i="1" s="1"/>
  <c r="B2237" i="1" a="1"/>
  <c r="B2237" i="1" s="1"/>
  <c r="B2238" i="1" a="1"/>
  <c r="B2238" i="1" s="1"/>
  <c r="B2239" i="1" a="1"/>
  <c r="B2239" i="1" s="1"/>
  <c r="B2240" i="1" a="1"/>
  <c r="B2240" i="1" s="1"/>
  <c r="B2241" i="1" a="1"/>
  <c r="B2241" i="1" s="1"/>
  <c r="B2242" i="1" a="1"/>
  <c r="B2242" i="1" s="1"/>
  <c r="B2243" i="1" a="1"/>
  <c r="B2243" i="1" s="1"/>
  <c r="B2244" i="1" a="1"/>
  <c r="B2244" i="1" s="1"/>
  <c r="B2245" i="1" a="1"/>
  <c r="B2245" i="1" s="1"/>
  <c r="B2246" i="1" a="1"/>
  <c r="B2246" i="1" s="1"/>
  <c r="B2247" i="1" a="1"/>
  <c r="B2247" i="1" s="1"/>
  <c r="B2248" i="1" a="1"/>
  <c r="B2248" i="1" s="1"/>
  <c r="B2249" i="1" a="1"/>
  <c r="B2249" i="1" s="1"/>
  <c r="B2250" i="1" a="1"/>
  <c r="B2250" i="1" s="1"/>
  <c r="B2251" i="1" a="1"/>
  <c r="B2251" i="1" s="1"/>
  <c r="B2252" i="1" a="1"/>
  <c r="B2252" i="1" s="1"/>
  <c r="B2253" i="1" a="1"/>
  <c r="B2253" i="1" s="1"/>
  <c r="B2254" i="1" a="1"/>
  <c r="B2254" i="1" s="1"/>
  <c r="B2255" i="1" a="1"/>
  <c r="B2255" i="1" s="1"/>
  <c r="B2256" i="1" a="1"/>
  <c r="B2256" i="1" s="1"/>
  <c r="B2257" i="1" a="1"/>
  <c r="B2257" i="1" s="1"/>
  <c r="B2258" i="1" a="1"/>
  <c r="B2258" i="1" s="1"/>
  <c r="B2259" i="1" a="1"/>
  <c r="B2259" i="1" s="1"/>
  <c r="B2260" i="1" a="1"/>
  <c r="B2260" i="1" s="1"/>
  <c r="B2261" i="1" a="1"/>
  <c r="B2261" i="1" s="1"/>
  <c r="B2262" i="1" a="1"/>
  <c r="B2262" i="1" s="1"/>
  <c r="B2263" i="1" a="1"/>
  <c r="B2263" i="1" s="1"/>
  <c r="B2264" i="1" a="1"/>
  <c r="B2264" i="1" s="1"/>
  <c r="B2265" i="1" a="1"/>
  <c r="B2265" i="1" s="1"/>
  <c r="B2266" i="1" a="1"/>
  <c r="B2266" i="1" s="1"/>
  <c r="B2267" i="1" a="1"/>
  <c r="B2267" i="1" s="1"/>
  <c r="B2268" i="1" a="1"/>
  <c r="B2268" i="1" s="1"/>
  <c r="B2269" i="1" a="1"/>
  <c r="B2269" i="1" s="1"/>
  <c r="B2270" i="1" a="1"/>
  <c r="B2270" i="1" s="1"/>
  <c r="B2271" i="1" a="1"/>
  <c r="B2271" i="1" s="1"/>
  <c r="B2272" i="1" a="1"/>
  <c r="B2272" i="1" s="1"/>
  <c r="B2273" i="1" a="1"/>
  <c r="B2273" i="1" s="1"/>
  <c r="B2274" i="1" a="1"/>
  <c r="B2274" i="1" s="1"/>
  <c r="B2275" i="1" a="1"/>
  <c r="B2275" i="1" s="1"/>
  <c r="B2276" i="1" a="1"/>
  <c r="B2276" i="1" s="1"/>
  <c r="B2277" i="1" a="1"/>
  <c r="B2277" i="1" s="1"/>
  <c r="B2278" i="1" a="1"/>
  <c r="B2278" i="1" s="1"/>
  <c r="B2279" i="1" a="1"/>
  <c r="B2279" i="1" s="1"/>
  <c r="B2280" i="1" a="1"/>
  <c r="B2280" i="1" s="1"/>
  <c r="B2281" i="1" a="1"/>
  <c r="B2281" i="1" s="1"/>
  <c r="B2282" i="1" a="1"/>
  <c r="B2282" i="1" s="1"/>
  <c r="B2283" i="1" a="1"/>
  <c r="B2283" i="1" s="1"/>
  <c r="B2284" i="1" a="1"/>
  <c r="B2284" i="1" s="1"/>
  <c r="B2285" i="1" a="1"/>
  <c r="B2285" i="1" s="1"/>
  <c r="B2286" i="1" a="1"/>
  <c r="B2286" i="1" s="1"/>
  <c r="B2287" i="1" a="1"/>
  <c r="B2287" i="1" s="1"/>
  <c r="B2288" i="1" a="1"/>
  <c r="B2288" i="1" s="1"/>
  <c r="B2289" i="1" a="1"/>
  <c r="B2289" i="1" s="1"/>
  <c r="B2290" i="1" a="1"/>
  <c r="B2290" i="1" s="1"/>
  <c r="B2291" i="1" a="1"/>
  <c r="B2291" i="1" s="1"/>
  <c r="B2292" i="1" a="1"/>
  <c r="B2292" i="1" s="1"/>
  <c r="B2293" i="1" a="1"/>
  <c r="B2293" i="1" s="1"/>
  <c r="B2294" i="1" a="1"/>
  <c r="B2294" i="1" s="1"/>
  <c r="B2295" i="1" a="1"/>
  <c r="B2295" i="1" s="1"/>
  <c r="B2296" i="1" a="1"/>
  <c r="B2296" i="1" s="1"/>
  <c r="B2297" i="1" a="1"/>
  <c r="B2297" i="1" s="1"/>
  <c r="B2298" i="1" a="1"/>
  <c r="B2298" i="1" s="1"/>
  <c r="B2299" i="1" a="1"/>
  <c r="B2299" i="1" s="1"/>
  <c r="B2300" i="1" a="1"/>
  <c r="B2300" i="1" s="1"/>
  <c r="B2301" i="1" a="1"/>
  <c r="B2301" i="1" s="1"/>
  <c r="B2302" i="1" a="1"/>
  <c r="B2302" i="1" s="1"/>
  <c r="B2303" i="1" a="1"/>
  <c r="B2303" i="1" s="1"/>
  <c r="B2304" i="1" a="1"/>
  <c r="B2304" i="1" s="1"/>
  <c r="B2305" i="1" a="1"/>
  <c r="B2305" i="1" s="1"/>
  <c r="B2306" i="1" a="1"/>
  <c r="B2306" i="1" s="1"/>
  <c r="B2307" i="1" a="1"/>
  <c r="B2307" i="1" s="1"/>
  <c r="B2308" i="1" a="1"/>
  <c r="B2308" i="1" s="1"/>
  <c r="B2309" i="1" a="1"/>
  <c r="B2309" i="1" s="1"/>
  <c r="B2310" i="1" a="1"/>
  <c r="B2310" i="1" s="1"/>
  <c r="B2311" i="1" a="1"/>
  <c r="B2311" i="1" s="1"/>
  <c r="B2312" i="1" a="1"/>
  <c r="B2312" i="1" s="1"/>
  <c r="B2313" i="1" a="1"/>
  <c r="B2313" i="1" s="1"/>
  <c r="B2314" i="1" a="1"/>
  <c r="B2314" i="1" s="1"/>
  <c r="B2315" i="1" a="1"/>
  <c r="B2315" i="1" s="1"/>
  <c r="B2316" i="1" a="1"/>
  <c r="B2316" i="1" s="1"/>
  <c r="B2317" i="1" a="1"/>
  <c r="B2317" i="1" s="1"/>
  <c r="B2318" i="1" a="1"/>
  <c r="B2318" i="1" s="1"/>
  <c r="B2319" i="1" a="1"/>
  <c r="B2319" i="1" s="1"/>
  <c r="B2320" i="1" a="1"/>
  <c r="B2320" i="1" s="1"/>
  <c r="B2321" i="1" a="1"/>
  <c r="B2321" i="1" s="1"/>
  <c r="B2322" i="1" a="1"/>
  <c r="B2322" i="1" s="1"/>
  <c r="B2323" i="1" a="1"/>
  <c r="B2323" i="1" s="1"/>
  <c r="B2324" i="1" a="1"/>
  <c r="B2324" i="1" s="1"/>
  <c r="B2325" i="1" a="1"/>
  <c r="B2325" i="1" s="1"/>
  <c r="B2326" i="1" a="1"/>
  <c r="B2326" i="1" s="1"/>
  <c r="B2327" i="1" a="1"/>
  <c r="B2327" i="1" s="1"/>
  <c r="B2328" i="1" a="1"/>
  <c r="B2328" i="1" s="1"/>
  <c r="B2329" i="1" a="1"/>
  <c r="B2329" i="1" s="1"/>
  <c r="B2330" i="1" a="1"/>
  <c r="B2330" i="1" s="1"/>
  <c r="B2331" i="1" a="1"/>
  <c r="B2331" i="1" s="1"/>
  <c r="B2332" i="1" a="1"/>
  <c r="B2332" i="1" s="1"/>
  <c r="B2333" i="1" a="1"/>
  <c r="B2333" i="1" s="1"/>
  <c r="B2334" i="1" a="1"/>
  <c r="B2334" i="1" s="1"/>
  <c r="B2335" i="1" a="1"/>
  <c r="B2335" i="1" s="1"/>
  <c r="B2336" i="1" a="1"/>
  <c r="B2336" i="1" s="1"/>
  <c r="B2337" i="1" a="1"/>
  <c r="B2337" i="1" s="1"/>
  <c r="B2338" i="1" a="1"/>
  <c r="B2338" i="1" s="1"/>
  <c r="B2339" i="1" a="1"/>
  <c r="B2339" i="1" s="1"/>
  <c r="B2340" i="1" a="1"/>
  <c r="B2340" i="1" s="1"/>
  <c r="B2341" i="1" a="1"/>
  <c r="B2341" i="1" s="1"/>
  <c r="B2342" i="1" a="1"/>
  <c r="B2342" i="1" s="1"/>
  <c r="B2343" i="1" a="1"/>
  <c r="B2343" i="1" s="1"/>
  <c r="B2344" i="1" a="1"/>
  <c r="B2344" i="1" s="1"/>
  <c r="B2345" i="1" a="1"/>
  <c r="B2345" i="1" s="1"/>
  <c r="B2346" i="1" a="1"/>
  <c r="B2346" i="1" s="1"/>
  <c r="B2347" i="1" a="1"/>
  <c r="B2347" i="1" s="1"/>
  <c r="B2348" i="1" a="1"/>
  <c r="B2348" i="1" s="1"/>
  <c r="B2349" i="1" a="1"/>
  <c r="B2349" i="1" s="1"/>
  <c r="B2350" i="1" a="1"/>
  <c r="B2350" i="1" s="1"/>
  <c r="B2351" i="1" a="1"/>
  <c r="B2351" i="1" s="1"/>
  <c r="B2352" i="1" a="1"/>
  <c r="B2352" i="1" s="1"/>
  <c r="B2353" i="1" a="1"/>
  <c r="B2353" i="1" s="1"/>
  <c r="B2354" i="1" a="1"/>
  <c r="B2354" i="1" s="1"/>
  <c r="B2355" i="1" a="1"/>
  <c r="B2355" i="1" s="1"/>
  <c r="B2356" i="1" a="1"/>
  <c r="B2356" i="1" s="1"/>
  <c r="B2357" i="1" a="1"/>
  <c r="B2357" i="1" s="1"/>
  <c r="B2358" i="1" a="1"/>
  <c r="B2358" i="1" s="1"/>
  <c r="B2359" i="1" a="1"/>
  <c r="B2359" i="1" s="1"/>
  <c r="B2360" i="1" a="1"/>
  <c r="B2360" i="1" s="1"/>
  <c r="B2361" i="1" a="1"/>
  <c r="B2361" i="1" s="1"/>
  <c r="B2362" i="1" a="1"/>
  <c r="B2362" i="1" s="1"/>
  <c r="B2363" i="1" a="1"/>
  <c r="B2363" i="1" s="1"/>
  <c r="B2364" i="1" a="1"/>
  <c r="B2364" i="1" s="1"/>
  <c r="B2365" i="1" a="1"/>
  <c r="B2365" i="1" s="1"/>
  <c r="B2366" i="1" a="1"/>
  <c r="B2366" i="1" s="1"/>
  <c r="B2367" i="1" a="1"/>
  <c r="B2367" i="1" s="1"/>
  <c r="B2368" i="1" a="1"/>
  <c r="B2368" i="1" s="1"/>
  <c r="B2369" i="1" a="1"/>
  <c r="B2369" i="1" s="1"/>
  <c r="B2370" i="1" a="1"/>
  <c r="B2370" i="1" s="1"/>
  <c r="B2371" i="1" a="1"/>
  <c r="B2371" i="1" s="1"/>
  <c r="B2372" i="1" a="1"/>
  <c r="B2372" i="1" s="1"/>
  <c r="B2373" i="1" a="1"/>
  <c r="B2373" i="1" s="1"/>
  <c r="B2374" i="1" a="1"/>
  <c r="B2374" i="1" s="1"/>
  <c r="B2375" i="1" a="1"/>
  <c r="B2375" i="1" s="1"/>
  <c r="B2376" i="1" a="1"/>
  <c r="B2376" i="1" s="1"/>
  <c r="B2377" i="1" a="1"/>
  <c r="B2377" i="1" s="1"/>
  <c r="B2378" i="1" a="1"/>
  <c r="B2378" i="1" s="1"/>
  <c r="B2379" i="1" a="1"/>
  <c r="B2379" i="1" s="1"/>
  <c r="B2380" i="1" a="1"/>
  <c r="B2380" i="1" s="1"/>
  <c r="B2381" i="1" a="1"/>
  <c r="B2381" i="1" s="1"/>
  <c r="B2382" i="1" a="1"/>
  <c r="B2382" i="1" s="1"/>
  <c r="B2383" i="1" a="1"/>
  <c r="B2383" i="1" s="1"/>
  <c r="B2384" i="1" a="1"/>
  <c r="B2384" i="1" s="1"/>
  <c r="B2385" i="1" a="1"/>
  <c r="B2385" i="1" s="1"/>
  <c r="B2386" i="1" a="1"/>
  <c r="B2386" i="1" s="1"/>
  <c r="B2387" i="1" a="1"/>
  <c r="B2387" i="1" s="1"/>
  <c r="B2388" i="1" a="1"/>
  <c r="B2388" i="1" s="1"/>
  <c r="B2389" i="1" a="1"/>
  <c r="B2389" i="1" s="1"/>
  <c r="B2390" i="1" a="1"/>
  <c r="B2390" i="1" s="1"/>
  <c r="B2391" i="1" a="1"/>
  <c r="B2391" i="1" s="1"/>
  <c r="B2392" i="1" a="1"/>
  <c r="B2392" i="1" s="1"/>
  <c r="B2393" i="1" a="1"/>
  <c r="B2393" i="1" s="1"/>
  <c r="B2394" i="1" a="1"/>
  <c r="B2394" i="1" s="1"/>
  <c r="B2395" i="1" a="1"/>
  <c r="B2395" i="1" s="1"/>
  <c r="B2396" i="1" a="1"/>
  <c r="B2396" i="1" s="1"/>
  <c r="B2397" i="1" a="1"/>
  <c r="B2397" i="1" s="1"/>
  <c r="B2398" i="1" a="1"/>
  <c r="B2398" i="1" s="1"/>
  <c r="B2399" i="1" a="1"/>
  <c r="B2399" i="1" s="1"/>
  <c r="B2400" i="1" a="1"/>
  <c r="B2400" i="1" s="1"/>
  <c r="B2401" i="1" a="1"/>
  <c r="B2401" i="1" s="1"/>
  <c r="B2402" i="1" a="1"/>
  <c r="B2402" i="1" s="1"/>
  <c r="B2403" i="1" a="1"/>
  <c r="B2403" i="1" s="1"/>
  <c r="B2404" i="1" a="1"/>
  <c r="B2404" i="1" s="1"/>
  <c r="B2405" i="1" a="1"/>
  <c r="B2405" i="1" s="1"/>
  <c r="B2406" i="1" a="1"/>
  <c r="B2406" i="1" s="1"/>
  <c r="B2407" i="1" a="1"/>
  <c r="B2407" i="1" s="1"/>
  <c r="B2408" i="1" a="1"/>
  <c r="B2408" i="1" s="1"/>
  <c r="B2409" i="1" a="1"/>
  <c r="B2409" i="1" s="1"/>
  <c r="B2410" i="1" a="1"/>
  <c r="B2410" i="1" s="1"/>
  <c r="B2411" i="1" a="1"/>
  <c r="B2411" i="1" s="1"/>
  <c r="B2412" i="1" a="1"/>
  <c r="B2412" i="1" s="1"/>
  <c r="B2413" i="1" a="1"/>
  <c r="B2413" i="1" s="1"/>
  <c r="B2414" i="1" a="1"/>
  <c r="B2414" i="1" s="1"/>
  <c r="B2415" i="1" a="1"/>
  <c r="B2415" i="1" s="1"/>
  <c r="B2416" i="1" a="1"/>
  <c r="B2416" i="1" s="1"/>
  <c r="B2417" i="1" a="1"/>
  <c r="B2417" i="1" s="1"/>
  <c r="B2418" i="1" a="1"/>
  <c r="B2418" i="1" s="1"/>
  <c r="B2419" i="1" a="1"/>
  <c r="B2419" i="1" s="1"/>
  <c r="B2420" i="1" a="1"/>
  <c r="B2420" i="1" s="1"/>
  <c r="B2421" i="1" a="1"/>
  <c r="B2421" i="1" s="1"/>
  <c r="B2422" i="1" a="1"/>
  <c r="B2422" i="1" s="1"/>
  <c r="B2423" i="1" a="1"/>
  <c r="B2423" i="1" s="1"/>
  <c r="B2424" i="1" a="1"/>
  <c r="B2424" i="1" s="1"/>
  <c r="B2425" i="1" a="1"/>
  <c r="B2425" i="1" s="1"/>
  <c r="B2426" i="1" a="1"/>
  <c r="B2426" i="1" s="1"/>
  <c r="B2427" i="1" a="1"/>
  <c r="B2427" i="1" s="1"/>
  <c r="B2428" i="1" a="1"/>
  <c r="B2428" i="1" s="1"/>
  <c r="B2429" i="1" a="1"/>
  <c r="B2429" i="1" s="1"/>
  <c r="B2430" i="1" a="1"/>
  <c r="B2430" i="1" s="1"/>
  <c r="B2431" i="1" a="1"/>
  <c r="B2431" i="1" s="1"/>
  <c r="B2432" i="1" a="1"/>
  <c r="B2432" i="1" s="1"/>
  <c r="B2433" i="1" a="1"/>
  <c r="B2433" i="1" s="1"/>
  <c r="B2434" i="1" a="1"/>
  <c r="B2434" i="1" s="1"/>
  <c r="B2435" i="1" a="1"/>
  <c r="B2435" i="1" s="1"/>
  <c r="B2436" i="1" a="1"/>
  <c r="B2436" i="1" s="1"/>
  <c r="B2437" i="1" a="1"/>
  <c r="B2437" i="1" s="1"/>
  <c r="B2438" i="1" a="1"/>
  <c r="B2438" i="1" s="1"/>
  <c r="B2439" i="1" a="1"/>
  <c r="B2439" i="1" s="1"/>
  <c r="B2440" i="1" a="1"/>
  <c r="B2440" i="1" s="1"/>
  <c r="B2441" i="1" a="1"/>
  <c r="B2441" i="1" s="1"/>
  <c r="B2442" i="1" a="1"/>
  <c r="B2442" i="1" s="1"/>
  <c r="B2443" i="1" a="1"/>
  <c r="B2443" i="1" s="1"/>
  <c r="B2444" i="1" a="1"/>
  <c r="B2444" i="1" s="1"/>
  <c r="B2445" i="1" a="1"/>
  <c r="B2445" i="1" s="1"/>
  <c r="B2446" i="1" a="1"/>
  <c r="B2446" i="1" s="1"/>
  <c r="B2447" i="1" a="1"/>
  <c r="B2447" i="1" s="1"/>
  <c r="B2448" i="1" a="1"/>
  <c r="B2448" i="1" s="1"/>
  <c r="B2449" i="1" a="1"/>
  <c r="B2449" i="1" s="1"/>
  <c r="B2450" i="1" a="1"/>
  <c r="B2450" i="1" s="1"/>
  <c r="B2451" i="1" a="1"/>
  <c r="B2451" i="1" s="1"/>
  <c r="B2452" i="1" a="1"/>
  <c r="B2452" i="1" s="1"/>
  <c r="B2453" i="1" a="1"/>
  <c r="B2453" i="1" s="1"/>
  <c r="B2454" i="1" a="1"/>
  <c r="B2454" i="1" s="1"/>
  <c r="B2455" i="1" a="1"/>
  <c r="B2455" i="1" s="1"/>
  <c r="B2456" i="1" a="1"/>
  <c r="B2456" i="1" s="1"/>
  <c r="B2457" i="1" a="1"/>
  <c r="B2457" i="1" s="1"/>
  <c r="B2458" i="1" a="1"/>
  <c r="B2458" i="1" s="1"/>
  <c r="B2459" i="1" a="1"/>
  <c r="B2459" i="1" s="1"/>
  <c r="B2460" i="1" a="1"/>
  <c r="B2460" i="1" s="1"/>
  <c r="B2461" i="1" a="1"/>
  <c r="B2461" i="1" s="1"/>
  <c r="B2462" i="1" a="1"/>
  <c r="B2462" i="1" s="1"/>
  <c r="B2463" i="1" a="1"/>
  <c r="B2463" i="1" s="1"/>
  <c r="B2464" i="1" a="1"/>
  <c r="B2464" i="1" s="1"/>
  <c r="B2465" i="1" a="1"/>
  <c r="B2465" i="1" s="1"/>
  <c r="B2466" i="1" a="1"/>
  <c r="B2466" i="1" s="1"/>
  <c r="B2467" i="1" a="1"/>
  <c r="B2467" i="1" s="1"/>
  <c r="B2468" i="1" a="1"/>
  <c r="B2468" i="1" s="1"/>
  <c r="B2469" i="1" a="1"/>
  <c r="B2469" i="1" s="1"/>
  <c r="B2470" i="1" a="1"/>
  <c r="B2470" i="1" s="1"/>
  <c r="B2471" i="1" a="1"/>
  <c r="B2471" i="1" s="1"/>
  <c r="B2472" i="1" a="1"/>
  <c r="B2472" i="1" s="1"/>
  <c r="B2473" i="1" a="1"/>
  <c r="B2473" i="1" s="1"/>
  <c r="B2474" i="1" a="1"/>
  <c r="B2474" i="1" s="1"/>
  <c r="B2475" i="1" a="1"/>
  <c r="B2475" i="1" s="1"/>
  <c r="B2476" i="1" a="1"/>
  <c r="B2476" i="1" s="1"/>
  <c r="B2477" i="1" a="1"/>
  <c r="B2477" i="1" s="1"/>
  <c r="B2478" i="1" a="1"/>
  <c r="B2478" i="1" s="1"/>
  <c r="B2479" i="1" a="1"/>
  <c r="B2479" i="1" s="1"/>
  <c r="B2480" i="1" a="1"/>
  <c r="B2480" i="1" s="1"/>
  <c r="B2481" i="1" a="1"/>
  <c r="B2481" i="1" s="1"/>
  <c r="B2482" i="1" a="1"/>
  <c r="B2482" i="1" s="1"/>
  <c r="B2483" i="1" a="1"/>
  <c r="B2483" i="1" s="1"/>
  <c r="B2484" i="1" a="1"/>
  <c r="B2484" i="1" s="1"/>
  <c r="B2485" i="1" a="1"/>
  <c r="B2485" i="1" s="1"/>
  <c r="B2486" i="1" a="1"/>
  <c r="B2486" i="1" s="1"/>
  <c r="B2487" i="1" a="1"/>
  <c r="B2487" i="1" s="1"/>
  <c r="B2488" i="1" a="1"/>
  <c r="B2488" i="1" s="1"/>
  <c r="B2489" i="1" a="1"/>
  <c r="B2489" i="1" s="1"/>
  <c r="B2490" i="1" a="1"/>
  <c r="B2490" i="1" s="1"/>
  <c r="B2491" i="1" a="1"/>
  <c r="B2491" i="1" s="1"/>
  <c r="B2492" i="1" a="1"/>
  <c r="B2492" i="1" s="1"/>
  <c r="B2493" i="1" a="1"/>
  <c r="B2493" i="1" s="1"/>
  <c r="B2494" i="1" a="1"/>
  <c r="B2494" i="1" s="1"/>
  <c r="B2495" i="1" a="1"/>
  <c r="B2495" i="1" s="1"/>
  <c r="B2496" i="1" a="1"/>
  <c r="B2496" i="1" s="1"/>
  <c r="B2497" i="1" a="1"/>
  <c r="B2497" i="1" s="1"/>
  <c r="B2498" i="1" a="1"/>
  <c r="B2498" i="1" s="1"/>
  <c r="B2499" i="1" a="1"/>
  <c r="B2499" i="1" s="1"/>
  <c r="B2500" i="1" a="1"/>
  <c r="B2500" i="1" s="1"/>
  <c r="B2501" i="1" a="1"/>
  <c r="B2501" i="1" s="1"/>
  <c r="B2502" i="1" a="1"/>
  <c r="B2502" i="1" s="1"/>
  <c r="B2503" i="1" a="1"/>
  <c r="B2503" i="1" s="1"/>
  <c r="B2504" i="1" a="1"/>
  <c r="B2504" i="1" s="1"/>
  <c r="B2505" i="1" a="1"/>
  <c r="B2505" i="1" s="1"/>
  <c r="B2506" i="1" a="1"/>
  <c r="B2506" i="1" s="1"/>
  <c r="B2507" i="1" a="1"/>
  <c r="B2507" i="1" s="1"/>
  <c r="B2508" i="1" a="1"/>
  <c r="B2508" i="1" s="1"/>
  <c r="B2509" i="1" a="1"/>
  <c r="B2509" i="1" s="1"/>
  <c r="B2510" i="1" a="1"/>
  <c r="B2510" i="1" s="1"/>
  <c r="B2511" i="1" a="1"/>
  <c r="B2511" i="1" s="1"/>
  <c r="B2512" i="1" a="1"/>
  <c r="B2512" i="1" s="1"/>
  <c r="B2513" i="1" a="1"/>
  <c r="B2513" i="1" s="1"/>
  <c r="B2514" i="1" a="1"/>
  <c r="B2514" i="1" s="1"/>
  <c r="B2515" i="1" a="1"/>
  <c r="B2515" i="1" s="1"/>
  <c r="B2516" i="1" a="1"/>
  <c r="B2516" i="1" s="1"/>
  <c r="B2517" i="1" a="1"/>
  <c r="B2517" i="1" s="1"/>
  <c r="B2518" i="1" a="1"/>
  <c r="B2518" i="1" s="1"/>
  <c r="B2519" i="1" a="1"/>
  <c r="B2519" i="1" s="1"/>
  <c r="B2520" i="1" a="1"/>
  <c r="B2520" i="1" s="1"/>
  <c r="B2521" i="1" a="1"/>
  <c r="B2521" i="1" s="1"/>
  <c r="B2522" i="1" a="1"/>
  <c r="B2522" i="1" s="1"/>
  <c r="B2523" i="1" a="1"/>
  <c r="B2523" i="1" s="1"/>
  <c r="B2524" i="1" a="1"/>
  <c r="B2524" i="1" s="1"/>
  <c r="B2525" i="1" a="1"/>
  <c r="B2525" i="1" s="1"/>
  <c r="B2526" i="1" a="1"/>
  <c r="B2526" i="1" s="1"/>
  <c r="B2527" i="1" a="1"/>
  <c r="B2527" i="1" s="1"/>
  <c r="B2528" i="1" a="1"/>
  <c r="B2528" i="1" s="1"/>
  <c r="B2529" i="1" a="1"/>
  <c r="B2529" i="1" s="1"/>
  <c r="B2530" i="1" a="1"/>
  <c r="B2530" i="1" s="1"/>
  <c r="B2531" i="1" a="1"/>
  <c r="B2531" i="1" s="1"/>
  <c r="B2532" i="1" a="1"/>
  <c r="B2532" i="1" s="1"/>
  <c r="B2533" i="1" a="1"/>
  <c r="B2533" i="1" s="1"/>
  <c r="B2534" i="1" a="1"/>
  <c r="B2534" i="1" s="1"/>
  <c r="B2535" i="1" a="1"/>
  <c r="B2535" i="1" s="1"/>
  <c r="B2536" i="1" a="1"/>
  <c r="B2536" i="1" s="1"/>
  <c r="B2537" i="1" a="1"/>
  <c r="B2537" i="1" s="1"/>
  <c r="B2538" i="1" a="1"/>
  <c r="B2538" i="1" s="1"/>
  <c r="B2539" i="1" a="1"/>
  <c r="B2539" i="1" s="1"/>
  <c r="B2540" i="1" a="1"/>
  <c r="B2540" i="1" s="1"/>
  <c r="B2541" i="1" a="1"/>
  <c r="B2541" i="1" s="1"/>
  <c r="B2542" i="1" a="1"/>
  <c r="B2542" i="1" s="1"/>
  <c r="B2543" i="1" a="1"/>
  <c r="B2543" i="1" s="1"/>
  <c r="B2544" i="1" a="1"/>
  <c r="B2544" i="1" s="1"/>
  <c r="B2545" i="1" a="1"/>
  <c r="B2545" i="1" s="1"/>
  <c r="B2546" i="1" a="1"/>
  <c r="B2546" i="1" s="1"/>
  <c r="B2547" i="1" a="1"/>
  <c r="B2547" i="1" s="1"/>
  <c r="B2548" i="1" a="1"/>
  <c r="B2548" i="1" s="1"/>
  <c r="B2549" i="1" a="1"/>
  <c r="B2549" i="1" s="1"/>
  <c r="B2550" i="1" a="1"/>
  <c r="B2550" i="1" s="1"/>
  <c r="B2551" i="1" a="1"/>
  <c r="B2551" i="1" s="1"/>
  <c r="B2552" i="1" a="1"/>
  <c r="B2552" i="1" s="1"/>
  <c r="B2553" i="1" a="1"/>
  <c r="B2553" i="1" s="1"/>
  <c r="B2554" i="1" a="1"/>
  <c r="B2554" i="1" s="1"/>
  <c r="B2555" i="1" a="1"/>
  <c r="B2555" i="1" s="1"/>
  <c r="B2556" i="1" a="1"/>
  <c r="B2556" i="1" s="1"/>
  <c r="B2557" i="1" a="1"/>
  <c r="B2557" i="1" s="1"/>
  <c r="B2558" i="1" a="1"/>
  <c r="B2558" i="1" s="1"/>
  <c r="B2559" i="1" a="1"/>
  <c r="B2559" i="1" s="1"/>
  <c r="B2560" i="1" a="1"/>
  <c r="B2560" i="1" s="1"/>
  <c r="B2561" i="1" a="1"/>
  <c r="B2561" i="1" s="1"/>
  <c r="B2562" i="1" a="1"/>
  <c r="B2562" i="1" s="1"/>
  <c r="B2563" i="1" a="1"/>
  <c r="B2563" i="1" s="1"/>
  <c r="B2564" i="1" a="1"/>
  <c r="B2564" i="1" s="1"/>
  <c r="B2565" i="1" a="1"/>
  <c r="B2565" i="1" s="1"/>
  <c r="B2566" i="1" a="1"/>
  <c r="B2566" i="1" s="1"/>
  <c r="B2567" i="1" a="1"/>
  <c r="B2567" i="1" s="1"/>
  <c r="B2568" i="1" a="1"/>
  <c r="B2568" i="1" s="1"/>
  <c r="B2569" i="1" a="1"/>
  <c r="B2569" i="1" s="1"/>
  <c r="B2570" i="1" a="1"/>
  <c r="B2570" i="1" s="1"/>
  <c r="B2571" i="1" a="1"/>
  <c r="B2571" i="1" s="1"/>
  <c r="B2572" i="1" a="1"/>
  <c r="B2572" i="1" s="1"/>
  <c r="B2573" i="1" a="1"/>
  <c r="B2573" i="1" s="1"/>
  <c r="B2574" i="1" a="1"/>
  <c r="B2574" i="1" s="1"/>
  <c r="B2575" i="1" a="1"/>
  <c r="B2575" i="1" s="1"/>
  <c r="B2576" i="1" a="1"/>
  <c r="B2576" i="1" s="1"/>
  <c r="B2577" i="1" a="1"/>
  <c r="B2577" i="1" s="1"/>
  <c r="B2578" i="1" a="1"/>
  <c r="B2578" i="1" s="1"/>
  <c r="B2579" i="1" a="1"/>
  <c r="B2579" i="1" s="1"/>
  <c r="B2580" i="1" a="1"/>
  <c r="B2580" i="1" s="1"/>
  <c r="B2581" i="1" a="1"/>
  <c r="B2581" i="1" s="1"/>
  <c r="B2582" i="1" a="1"/>
  <c r="B2582" i="1" s="1"/>
  <c r="B2583" i="1" a="1"/>
  <c r="B2583" i="1" s="1"/>
  <c r="B2584" i="1" a="1"/>
  <c r="B2584" i="1" s="1"/>
  <c r="B2585" i="1" a="1"/>
  <c r="B2585" i="1" s="1"/>
  <c r="B2586" i="1" a="1"/>
  <c r="B2586" i="1" s="1"/>
  <c r="B2587" i="1" a="1"/>
  <c r="B2587" i="1" s="1"/>
  <c r="B2588" i="1" a="1"/>
  <c r="B2588" i="1" s="1"/>
  <c r="B2589" i="1" a="1"/>
  <c r="B2589" i="1" s="1"/>
  <c r="B2590" i="1" a="1"/>
  <c r="B2590" i="1" s="1"/>
  <c r="B2591" i="1" a="1"/>
  <c r="B2591" i="1" s="1"/>
  <c r="B2592" i="1" a="1"/>
  <c r="B2592" i="1" s="1"/>
  <c r="B2593" i="1" a="1"/>
  <c r="B2593" i="1" s="1"/>
  <c r="B2594" i="1" a="1"/>
  <c r="B2594" i="1" s="1"/>
  <c r="B2595" i="1" a="1"/>
  <c r="B2595" i="1" s="1"/>
  <c r="B2596" i="1" a="1"/>
  <c r="B2596" i="1" s="1"/>
  <c r="B2597" i="1" a="1"/>
  <c r="B2597" i="1" s="1"/>
  <c r="B2598" i="1" a="1"/>
  <c r="B2598" i="1" s="1"/>
  <c r="B2599" i="1" a="1"/>
  <c r="B2599" i="1" s="1"/>
  <c r="B2600" i="1" a="1"/>
  <c r="B2600" i="1" s="1"/>
  <c r="B2601" i="1" a="1"/>
  <c r="B2601" i="1" s="1"/>
  <c r="B2602" i="1" a="1"/>
  <c r="B2602" i="1" s="1"/>
  <c r="B2603" i="1" a="1"/>
  <c r="B2603" i="1" s="1"/>
  <c r="B2604" i="1" a="1"/>
  <c r="B2604" i="1" s="1"/>
  <c r="B2605" i="1" a="1"/>
  <c r="B2605" i="1" s="1"/>
  <c r="B2606" i="1" a="1"/>
  <c r="B2606" i="1" s="1"/>
  <c r="B2607" i="1" a="1"/>
  <c r="B2607" i="1" s="1"/>
  <c r="B2608" i="1" a="1"/>
  <c r="B2608" i="1" s="1"/>
  <c r="B2609" i="1" a="1"/>
  <c r="B2609" i="1" s="1"/>
  <c r="B2610" i="1" a="1"/>
  <c r="B2610" i="1" s="1"/>
  <c r="B2611" i="1" a="1"/>
  <c r="B2611" i="1" s="1"/>
  <c r="B2612" i="1" a="1"/>
  <c r="B2612" i="1" s="1"/>
  <c r="B2613" i="1" a="1"/>
  <c r="B2613" i="1" s="1"/>
  <c r="B2614" i="1" a="1"/>
  <c r="B2614" i="1" s="1"/>
  <c r="B2615" i="1" a="1"/>
  <c r="B2615" i="1" s="1"/>
  <c r="B2616" i="1" a="1"/>
  <c r="B2616" i="1" s="1"/>
  <c r="B2617" i="1" a="1"/>
  <c r="B2617" i="1" s="1"/>
  <c r="B2618" i="1" a="1"/>
  <c r="B2618" i="1" s="1"/>
  <c r="B2619" i="1" a="1"/>
  <c r="B2619" i="1" s="1"/>
  <c r="B2620" i="1" a="1"/>
  <c r="B2620" i="1" s="1"/>
  <c r="B2621" i="1" a="1"/>
  <c r="B2621" i="1" s="1"/>
  <c r="B2622" i="1" a="1"/>
  <c r="B2622" i="1" s="1"/>
  <c r="B2623" i="1" a="1"/>
  <c r="B2623" i="1" s="1"/>
  <c r="B2624" i="1" a="1"/>
  <c r="B2624" i="1" s="1"/>
  <c r="B2625" i="1" a="1"/>
  <c r="B2625" i="1" s="1"/>
  <c r="B2626" i="1" a="1"/>
  <c r="B2626" i="1" s="1"/>
  <c r="B2627" i="1" a="1"/>
  <c r="B2627" i="1" s="1"/>
  <c r="B2628" i="1" a="1"/>
  <c r="B2628" i="1" s="1"/>
  <c r="B2629" i="1" a="1"/>
  <c r="B2629" i="1" s="1"/>
  <c r="B2630" i="1" a="1"/>
  <c r="B2630" i="1" s="1"/>
  <c r="B2631" i="1" a="1"/>
  <c r="B2631" i="1" s="1"/>
  <c r="B2632" i="1" a="1"/>
  <c r="B2632" i="1" s="1"/>
  <c r="B2633" i="1" a="1"/>
  <c r="B2633" i="1" s="1"/>
  <c r="B2634" i="1" a="1"/>
  <c r="B2634" i="1" s="1"/>
  <c r="B2635" i="1" a="1"/>
  <c r="B2635" i="1" s="1"/>
  <c r="B2636" i="1" a="1"/>
  <c r="B2636" i="1" s="1"/>
  <c r="B2637" i="1" a="1"/>
  <c r="B2637" i="1" s="1"/>
  <c r="B2638" i="1" a="1"/>
  <c r="B2638" i="1" s="1"/>
  <c r="B2639" i="1" a="1"/>
  <c r="B2639" i="1" s="1"/>
  <c r="B2640" i="1" a="1"/>
  <c r="B2640" i="1" s="1"/>
  <c r="B2641" i="1" a="1"/>
  <c r="B2641" i="1" s="1"/>
  <c r="B2642" i="1" a="1"/>
  <c r="B2642" i="1" s="1"/>
  <c r="B2643" i="1" a="1"/>
  <c r="B2643" i="1" s="1"/>
  <c r="B2644" i="1" a="1"/>
  <c r="B2644" i="1" s="1"/>
  <c r="B2645" i="1" a="1"/>
  <c r="B2645" i="1" s="1"/>
  <c r="B2646" i="1" a="1"/>
  <c r="B2646" i="1" s="1"/>
  <c r="B2647" i="1" a="1"/>
  <c r="B2647" i="1" s="1"/>
  <c r="B2648" i="1" a="1"/>
  <c r="B2648" i="1" s="1"/>
  <c r="B2649" i="1" a="1"/>
  <c r="B2649" i="1" s="1"/>
  <c r="B2650" i="1" a="1"/>
  <c r="B2650" i="1" s="1"/>
  <c r="B2651" i="1" a="1"/>
  <c r="B2651" i="1" s="1"/>
  <c r="B2652" i="1" a="1"/>
  <c r="B2652" i="1" s="1"/>
  <c r="B2653" i="1" a="1"/>
  <c r="B2653" i="1" s="1"/>
  <c r="B2654" i="1" a="1"/>
  <c r="B2654" i="1" s="1"/>
  <c r="B2655" i="1" a="1"/>
  <c r="B2655" i="1" s="1"/>
  <c r="B2656" i="1" a="1"/>
  <c r="B2656" i="1" s="1"/>
  <c r="B2657" i="1" a="1"/>
  <c r="B2657" i="1" s="1"/>
  <c r="B2658" i="1" a="1"/>
  <c r="B2658" i="1" s="1"/>
  <c r="B2659" i="1" a="1"/>
  <c r="B2659" i="1" s="1"/>
  <c r="B2660" i="1" a="1"/>
  <c r="B2660" i="1" s="1"/>
  <c r="B2661" i="1" a="1"/>
  <c r="B2661" i="1" s="1"/>
  <c r="B2662" i="1" a="1"/>
  <c r="B2662" i="1" s="1"/>
  <c r="B2663" i="1" a="1"/>
  <c r="B2663" i="1" s="1"/>
  <c r="B2664" i="1" a="1"/>
  <c r="B2664" i="1" s="1"/>
  <c r="B2665" i="1" a="1"/>
  <c r="B2665" i="1" s="1"/>
  <c r="B2666" i="1" a="1"/>
  <c r="B2666" i="1" s="1"/>
  <c r="B2667" i="1" a="1"/>
  <c r="B2667" i="1" s="1"/>
  <c r="B2668" i="1" a="1"/>
  <c r="B2668" i="1" s="1"/>
  <c r="B2669" i="1" a="1"/>
  <c r="B2669" i="1" s="1"/>
  <c r="B2670" i="1" a="1"/>
  <c r="B2670" i="1" s="1"/>
  <c r="B2671" i="1" a="1"/>
  <c r="B2671" i="1" s="1"/>
  <c r="B2672" i="1" a="1"/>
  <c r="B2672" i="1" s="1"/>
  <c r="B2673" i="1" a="1"/>
  <c r="B2673" i="1" s="1"/>
  <c r="B2674" i="1" a="1"/>
  <c r="B2674" i="1" s="1"/>
  <c r="B2675" i="1" a="1"/>
  <c r="B2675" i="1" s="1"/>
  <c r="B2676" i="1" a="1"/>
  <c r="B2676" i="1" s="1"/>
  <c r="B2677" i="1" a="1"/>
  <c r="B2677" i="1" s="1"/>
  <c r="B2678" i="1" a="1"/>
  <c r="B2678" i="1" s="1"/>
  <c r="B2679" i="1" a="1"/>
  <c r="B2679" i="1" s="1"/>
  <c r="B2680" i="1" a="1"/>
  <c r="B2680" i="1" s="1"/>
  <c r="B2681" i="1" a="1"/>
  <c r="B2681" i="1" s="1"/>
  <c r="B2682" i="1" a="1"/>
  <c r="B2682" i="1" s="1"/>
  <c r="B2683" i="1" a="1"/>
  <c r="B2683" i="1" s="1"/>
  <c r="B2684" i="1" a="1"/>
  <c r="B2684" i="1" s="1"/>
  <c r="B2685" i="1" a="1"/>
  <c r="B2685" i="1" s="1"/>
  <c r="B2686" i="1" a="1"/>
  <c r="B2686" i="1" s="1"/>
  <c r="B2687" i="1" a="1"/>
  <c r="B2687" i="1" s="1"/>
  <c r="B2688" i="1" a="1"/>
  <c r="B2688" i="1" s="1"/>
  <c r="B2689" i="1" a="1"/>
  <c r="B2689" i="1" s="1"/>
  <c r="B2690" i="1" a="1"/>
  <c r="B2690" i="1" s="1"/>
  <c r="B2691" i="1" a="1"/>
  <c r="B2691" i="1" s="1"/>
  <c r="B2692" i="1" a="1"/>
  <c r="B2692" i="1" s="1"/>
  <c r="B2693" i="1" a="1"/>
  <c r="B2693" i="1" s="1"/>
  <c r="B2694" i="1" a="1"/>
  <c r="B2694" i="1" s="1"/>
  <c r="B2695" i="1" a="1"/>
  <c r="B2695" i="1" s="1"/>
  <c r="B2696" i="1" a="1"/>
  <c r="B2696" i="1" s="1"/>
  <c r="B2697" i="1" a="1"/>
  <c r="B2697" i="1" s="1"/>
  <c r="B2698" i="1" a="1"/>
  <c r="B2698" i="1" s="1"/>
  <c r="B2699" i="1" a="1"/>
  <c r="B2699" i="1" s="1"/>
  <c r="B2700" i="1" a="1"/>
  <c r="B2700" i="1" s="1"/>
  <c r="B2701" i="1" a="1"/>
  <c r="B2701" i="1" s="1"/>
  <c r="B2702" i="1" a="1"/>
  <c r="B2702" i="1" s="1"/>
  <c r="B2703" i="1" a="1"/>
  <c r="B2703" i="1" s="1"/>
  <c r="B2704" i="1" a="1"/>
  <c r="B2704" i="1" s="1"/>
  <c r="B2705" i="1" a="1"/>
  <c r="B2705" i="1" s="1"/>
  <c r="B2706" i="1" a="1"/>
  <c r="B2706" i="1" s="1"/>
  <c r="B2707" i="1" a="1"/>
  <c r="B2707" i="1" s="1"/>
  <c r="B2708" i="1" a="1"/>
  <c r="B2708" i="1" s="1"/>
  <c r="B2709" i="1" a="1"/>
  <c r="B2709" i="1" s="1"/>
  <c r="B2710" i="1" a="1"/>
  <c r="B2710" i="1" s="1"/>
  <c r="B2711" i="1" a="1"/>
  <c r="B2711" i="1" s="1"/>
  <c r="B2712" i="1" a="1"/>
  <c r="B2712" i="1" s="1"/>
  <c r="B2713" i="1" a="1"/>
  <c r="B2713" i="1" s="1"/>
  <c r="B2714" i="1" a="1"/>
  <c r="B2714" i="1" s="1"/>
  <c r="B2715" i="1" a="1"/>
  <c r="B2715" i="1" s="1"/>
  <c r="B2716" i="1" a="1"/>
  <c r="B2716" i="1" s="1"/>
  <c r="B2717" i="1" a="1"/>
  <c r="B2717" i="1" s="1"/>
  <c r="B2718" i="1" a="1"/>
  <c r="B2718" i="1" s="1"/>
  <c r="B2719" i="1" a="1"/>
  <c r="B2719" i="1" s="1"/>
  <c r="B2720" i="1" a="1"/>
  <c r="B2720" i="1" s="1"/>
  <c r="B2721" i="1" a="1"/>
  <c r="B2721" i="1" s="1"/>
  <c r="B2722" i="1" a="1"/>
  <c r="B2722" i="1" s="1"/>
  <c r="B2723" i="1" a="1"/>
  <c r="B2723" i="1" s="1"/>
  <c r="B2724" i="1" a="1"/>
  <c r="B2724" i="1" s="1"/>
  <c r="B2725" i="1" a="1"/>
  <c r="B2725" i="1" s="1"/>
  <c r="B2726" i="1" a="1"/>
  <c r="B2726" i="1" s="1"/>
  <c r="B2727" i="1" a="1"/>
  <c r="B2727" i="1" s="1"/>
  <c r="B2728" i="1" a="1"/>
  <c r="B2728" i="1" s="1"/>
  <c r="B2729" i="1" a="1"/>
  <c r="B2729" i="1" s="1"/>
  <c r="B2730" i="1" a="1"/>
  <c r="B2730" i="1" s="1"/>
  <c r="B2731" i="1" a="1"/>
  <c r="B2731" i="1" s="1"/>
  <c r="B2732" i="1" a="1"/>
  <c r="B2732" i="1" s="1"/>
  <c r="B2733" i="1" a="1"/>
  <c r="B2733" i="1" s="1"/>
  <c r="B2734" i="1" a="1"/>
  <c r="B2734" i="1" s="1"/>
  <c r="B2735" i="1" a="1"/>
  <c r="B2735" i="1" s="1"/>
  <c r="B2736" i="1" a="1"/>
  <c r="B2736" i="1" s="1"/>
  <c r="B2737" i="1" a="1"/>
  <c r="B2737" i="1" s="1"/>
  <c r="B2738" i="1" a="1"/>
  <c r="B2738" i="1" s="1"/>
  <c r="B2739" i="1" a="1"/>
  <c r="B2739" i="1" s="1"/>
  <c r="B2740" i="1" a="1"/>
  <c r="B2740" i="1" s="1"/>
  <c r="B2741" i="1" a="1"/>
  <c r="B2741" i="1" s="1"/>
  <c r="B2742" i="1" a="1"/>
  <c r="B2742" i="1" s="1"/>
  <c r="B2743" i="1" a="1"/>
  <c r="B2743" i="1" s="1"/>
  <c r="B2744" i="1" a="1"/>
  <c r="B2744" i="1" s="1"/>
  <c r="B2745" i="1" a="1"/>
  <c r="B2745" i="1" s="1"/>
  <c r="B2746" i="1" a="1"/>
  <c r="B2746" i="1" s="1"/>
  <c r="B2747" i="1" a="1"/>
  <c r="B2747" i="1" s="1"/>
  <c r="B2748" i="1" a="1"/>
  <c r="B2748" i="1" s="1"/>
  <c r="B2749" i="1" a="1"/>
  <c r="B2749" i="1" s="1"/>
  <c r="B2750" i="1" a="1"/>
  <c r="B2750" i="1" s="1"/>
  <c r="B2751" i="1" a="1"/>
  <c r="B2751" i="1" s="1"/>
  <c r="B2752" i="1" a="1"/>
  <c r="B2752" i="1" s="1"/>
  <c r="B2753" i="1" a="1"/>
  <c r="B2753" i="1" s="1"/>
  <c r="B2754" i="1" a="1"/>
  <c r="B2754" i="1" s="1"/>
  <c r="B2755" i="1" a="1"/>
  <c r="B2755" i="1" s="1"/>
  <c r="B2756" i="1" a="1"/>
  <c r="B2756" i="1" s="1"/>
  <c r="B2757" i="1" a="1"/>
  <c r="B2757" i="1" s="1"/>
  <c r="B2758" i="1" a="1"/>
  <c r="B2758" i="1" s="1"/>
  <c r="B2759" i="1" a="1"/>
  <c r="B2759" i="1" s="1"/>
  <c r="B2760" i="1" a="1"/>
  <c r="B2760" i="1" s="1"/>
  <c r="B2761" i="1" a="1"/>
  <c r="B2761" i="1" s="1"/>
  <c r="B2762" i="1" a="1"/>
  <c r="B2762" i="1" s="1"/>
  <c r="B2763" i="1" a="1"/>
  <c r="B2763" i="1" s="1"/>
  <c r="B2764" i="1" a="1"/>
  <c r="B2764" i="1" s="1"/>
  <c r="B2765" i="1" a="1"/>
  <c r="B2765" i="1" s="1"/>
  <c r="B2766" i="1" a="1"/>
  <c r="B2766" i="1" s="1"/>
  <c r="B2767" i="1" a="1"/>
  <c r="B2767" i="1" s="1"/>
  <c r="B2768" i="1" a="1"/>
  <c r="B2768" i="1" s="1"/>
  <c r="B2769" i="1" a="1"/>
  <c r="B2769" i="1" s="1"/>
  <c r="B2770" i="1" a="1"/>
  <c r="B2770" i="1" s="1"/>
  <c r="B2771" i="1" a="1"/>
  <c r="B2771" i="1" s="1"/>
  <c r="B2772" i="1" a="1"/>
  <c r="B2772" i="1" s="1"/>
  <c r="B2773" i="1" a="1"/>
  <c r="B2773" i="1" s="1"/>
  <c r="B2774" i="1" a="1"/>
  <c r="B2774" i="1" s="1"/>
  <c r="B2775" i="1" a="1"/>
  <c r="B2775" i="1" s="1"/>
  <c r="B2776" i="1" a="1"/>
  <c r="B2776" i="1" s="1"/>
  <c r="B2777" i="1" a="1"/>
  <c r="B2777" i="1" s="1"/>
  <c r="B2778" i="1" a="1"/>
  <c r="B2778" i="1" s="1"/>
  <c r="B2779" i="1" a="1"/>
  <c r="B2779" i="1" s="1"/>
  <c r="B2780" i="1" a="1"/>
  <c r="B2780" i="1" s="1"/>
  <c r="B2781" i="1" a="1"/>
  <c r="B2781" i="1" s="1"/>
  <c r="B2782" i="1" a="1"/>
  <c r="B2782" i="1" s="1"/>
  <c r="B2783" i="1" a="1"/>
  <c r="B2783" i="1" s="1"/>
  <c r="B2784" i="1" a="1"/>
  <c r="B2784" i="1" s="1"/>
  <c r="B2785" i="1" a="1"/>
  <c r="B2785" i="1" s="1"/>
  <c r="B2786" i="1" a="1"/>
  <c r="B2786" i="1" s="1"/>
  <c r="B2787" i="1" a="1"/>
  <c r="B2787" i="1" s="1"/>
  <c r="B2788" i="1" a="1"/>
  <c r="B2788" i="1" s="1"/>
  <c r="B2789" i="1" a="1"/>
  <c r="B2789" i="1" s="1"/>
  <c r="B2790" i="1" a="1"/>
  <c r="B2790" i="1" s="1"/>
  <c r="B2791" i="1" a="1"/>
  <c r="B2791" i="1" s="1"/>
  <c r="B2792" i="1" a="1"/>
  <c r="B2792" i="1" s="1"/>
  <c r="B2793" i="1" a="1"/>
  <c r="B2793" i="1" s="1"/>
  <c r="B2794" i="1" a="1"/>
  <c r="B2794" i="1" s="1"/>
  <c r="B2795" i="1" a="1"/>
  <c r="B2795" i="1" s="1"/>
  <c r="B2796" i="1" a="1"/>
  <c r="B2796" i="1" s="1"/>
  <c r="B2797" i="1" a="1"/>
  <c r="B2797" i="1" s="1"/>
  <c r="B2798" i="1" a="1"/>
  <c r="B2798" i="1" s="1"/>
  <c r="B2799" i="1" a="1"/>
  <c r="B2799" i="1" s="1"/>
  <c r="B2800" i="1" a="1"/>
  <c r="B2800" i="1" s="1"/>
  <c r="B2801" i="1" a="1"/>
  <c r="B2801" i="1" s="1"/>
  <c r="B2802" i="1" a="1"/>
  <c r="B2802" i="1" s="1"/>
  <c r="B2803" i="1" a="1"/>
  <c r="B2803" i="1" s="1"/>
  <c r="B2804" i="1" a="1"/>
  <c r="B2804" i="1" s="1"/>
  <c r="B2805" i="1" a="1"/>
  <c r="B2805" i="1" s="1"/>
  <c r="B2806" i="1" a="1"/>
  <c r="B2806" i="1" s="1"/>
  <c r="B2807" i="1" a="1"/>
  <c r="B2807" i="1" s="1"/>
  <c r="B2808" i="1" a="1"/>
  <c r="B2808" i="1" s="1"/>
  <c r="B2809" i="1" a="1"/>
  <c r="B2809" i="1" s="1"/>
  <c r="B2810" i="1" a="1"/>
  <c r="B2810" i="1" s="1"/>
  <c r="B2811" i="1" a="1"/>
  <c r="B2811" i="1" s="1"/>
  <c r="B2812" i="1" a="1"/>
  <c r="B2812" i="1" s="1"/>
  <c r="B2813" i="1" a="1"/>
  <c r="B2813" i="1" s="1"/>
  <c r="B2814" i="1" a="1"/>
  <c r="B2814" i="1" s="1"/>
  <c r="B2815" i="1" a="1"/>
  <c r="B2815" i="1" s="1"/>
  <c r="B2816" i="1" a="1"/>
  <c r="B2816" i="1" s="1"/>
  <c r="B2817" i="1" a="1"/>
  <c r="B2817" i="1" s="1"/>
  <c r="B2818" i="1" a="1"/>
  <c r="B2818" i="1" s="1"/>
  <c r="B2819" i="1" a="1"/>
  <c r="B2819" i="1" s="1"/>
  <c r="B2820" i="1" a="1"/>
  <c r="B2820" i="1" s="1"/>
  <c r="B2821" i="1" a="1"/>
  <c r="B2821" i="1" s="1"/>
  <c r="B2822" i="1" a="1"/>
  <c r="B2822" i="1" s="1"/>
  <c r="B2823" i="1" a="1"/>
  <c r="B2823" i="1" s="1"/>
  <c r="B2824" i="1" a="1"/>
  <c r="B2824" i="1" s="1"/>
  <c r="B2825" i="1" a="1"/>
  <c r="B2825" i="1" s="1"/>
  <c r="B2826" i="1" a="1"/>
  <c r="B2826" i="1" s="1"/>
  <c r="B2827" i="1" a="1"/>
  <c r="B2827" i="1" s="1"/>
  <c r="B2828" i="1" a="1"/>
  <c r="B2828" i="1" s="1"/>
  <c r="B2829" i="1" a="1"/>
  <c r="B2829" i="1" s="1"/>
  <c r="B2830" i="1" a="1"/>
  <c r="B2830" i="1" s="1"/>
  <c r="B2831" i="1" a="1"/>
  <c r="B2831" i="1" s="1"/>
  <c r="B2832" i="1" a="1"/>
  <c r="B2832" i="1" s="1"/>
  <c r="B2833" i="1" a="1"/>
  <c r="B2833" i="1" s="1"/>
  <c r="B2834" i="1" a="1"/>
  <c r="B2834" i="1" s="1"/>
  <c r="B2835" i="1" a="1"/>
  <c r="B2835" i="1" s="1"/>
  <c r="B2836" i="1" a="1"/>
  <c r="B2836" i="1" s="1"/>
  <c r="B2837" i="1" a="1"/>
  <c r="B2837" i="1" s="1"/>
  <c r="B2838" i="1" a="1"/>
  <c r="B2838" i="1" s="1"/>
  <c r="B2839" i="1" a="1"/>
  <c r="B2839" i="1" s="1"/>
  <c r="B2840" i="1" a="1"/>
  <c r="B2840" i="1" s="1"/>
  <c r="B2841" i="1" a="1"/>
  <c r="B2841" i="1" s="1"/>
  <c r="B2842" i="1" a="1"/>
  <c r="B2842" i="1" s="1"/>
  <c r="B2843" i="1" a="1"/>
  <c r="B2843" i="1" s="1"/>
  <c r="B2844" i="1" a="1"/>
  <c r="B2844" i="1" s="1"/>
  <c r="B2845" i="1" a="1"/>
  <c r="B2845" i="1" s="1"/>
  <c r="B2846" i="1" a="1"/>
  <c r="B2846" i="1" s="1"/>
  <c r="B2847" i="1" a="1"/>
  <c r="B2847" i="1" s="1"/>
  <c r="B2848" i="1" a="1"/>
  <c r="B2848" i="1" s="1"/>
  <c r="B2849" i="1" a="1"/>
  <c r="B2849" i="1" s="1"/>
  <c r="B2850" i="1" a="1"/>
  <c r="B2850" i="1" s="1"/>
  <c r="B2851" i="1" a="1"/>
  <c r="B2851" i="1" s="1"/>
  <c r="B2852" i="1" a="1"/>
  <c r="B2852" i="1" s="1"/>
  <c r="B2853" i="1" a="1"/>
  <c r="B2853" i="1" s="1"/>
  <c r="B2854" i="1" a="1"/>
  <c r="B2854" i="1" s="1"/>
  <c r="B2855" i="1" a="1"/>
  <c r="B2855" i="1" s="1"/>
  <c r="B2856" i="1" a="1"/>
  <c r="B2856" i="1" s="1"/>
  <c r="B2857" i="1" a="1"/>
  <c r="B2857" i="1" s="1"/>
  <c r="B2858" i="1" a="1"/>
  <c r="B2858" i="1" s="1"/>
  <c r="B2859" i="1" a="1"/>
  <c r="B2859" i="1" s="1"/>
  <c r="B2860" i="1" a="1"/>
  <c r="B2860" i="1" s="1"/>
  <c r="B2861" i="1" a="1"/>
  <c r="B2861" i="1" s="1"/>
  <c r="B2862" i="1" a="1"/>
  <c r="B2862" i="1" s="1"/>
  <c r="B2863" i="1" a="1"/>
  <c r="B2863" i="1" s="1"/>
  <c r="B2864" i="1" a="1"/>
  <c r="B2864" i="1" s="1"/>
  <c r="B2865" i="1" a="1"/>
  <c r="B2865" i="1" s="1"/>
  <c r="B2866" i="1" a="1"/>
  <c r="B2866" i="1" s="1"/>
  <c r="B2867" i="1" a="1"/>
  <c r="B2867" i="1" s="1"/>
  <c r="B2868" i="1" a="1"/>
  <c r="B2868" i="1" s="1"/>
  <c r="B2869" i="1" a="1"/>
  <c r="B2869" i="1" s="1"/>
  <c r="B2870" i="1" a="1"/>
  <c r="B2870" i="1" s="1"/>
  <c r="B2871" i="1" a="1"/>
  <c r="B2871" i="1" s="1"/>
  <c r="B2872" i="1" a="1"/>
  <c r="B2872" i="1" s="1"/>
  <c r="B2873" i="1" a="1"/>
  <c r="B2873" i="1" s="1"/>
  <c r="B2874" i="1" a="1"/>
  <c r="B2874" i="1" s="1"/>
  <c r="B2875" i="1" a="1"/>
  <c r="B2875" i="1" s="1"/>
  <c r="B2876" i="1" a="1"/>
  <c r="B2876" i="1" s="1"/>
  <c r="B2877" i="1" a="1"/>
  <c r="B2877" i="1" s="1"/>
  <c r="B2878" i="1" a="1"/>
  <c r="B2878" i="1" s="1"/>
  <c r="B2879" i="1" a="1"/>
  <c r="B2879" i="1" s="1"/>
  <c r="B2880" i="1" a="1"/>
  <c r="B2880" i="1" s="1"/>
  <c r="B2881" i="1" a="1"/>
  <c r="B2881" i="1" s="1"/>
  <c r="B2882" i="1" a="1"/>
  <c r="B2882" i="1" s="1"/>
  <c r="B2883" i="1" a="1"/>
  <c r="B2883" i="1" s="1"/>
  <c r="B2884" i="1" a="1"/>
  <c r="B2884" i="1" s="1"/>
  <c r="B2885" i="1" a="1"/>
  <c r="B2885" i="1" s="1"/>
  <c r="B2886" i="1" a="1"/>
  <c r="B2886" i="1" s="1"/>
  <c r="B2887" i="1" a="1"/>
  <c r="B2887" i="1" s="1"/>
  <c r="B2888" i="1" a="1"/>
  <c r="B2888" i="1" s="1"/>
  <c r="B2889" i="1" a="1"/>
  <c r="B2889" i="1" s="1"/>
  <c r="B2890" i="1" a="1"/>
  <c r="B2890" i="1" s="1"/>
  <c r="B2891" i="1" a="1"/>
  <c r="B2891" i="1" s="1"/>
  <c r="B2892" i="1" a="1"/>
  <c r="B2892" i="1" s="1"/>
  <c r="B2893" i="1" a="1"/>
  <c r="B2893" i="1" s="1"/>
  <c r="B2894" i="1" a="1"/>
  <c r="B2894" i="1" s="1"/>
  <c r="B2895" i="1" a="1"/>
  <c r="B2895" i="1" s="1"/>
  <c r="B2896" i="1" a="1"/>
  <c r="B2896" i="1" s="1"/>
  <c r="B2897" i="1" a="1"/>
  <c r="B2897" i="1" s="1"/>
  <c r="B2898" i="1" a="1"/>
  <c r="B2898" i="1" s="1"/>
  <c r="B2899" i="1" a="1"/>
  <c r="B2899" i="1" s="1"/>
  <c r="B2900" i="1" a="1"/>
  <c r="B2900" i="1" s="1"/>
  <c r="B2901" i="1" a="1"/>
  <c r="B2901" i="1" s="1"/>
  <c r="B2902" i="1" a="1"/>
  <c r="B2902" i="1" s="1"/>
  <c r="B2903" i="1" a="1"/>
  <c r="B2903" i="1" s="1"/>
  <c r="B2904" i="1" a="1"/>
  <c r="B2904" i="1" s="1"/>
  <c r="B2905" i="1" a="1"/>
  <c r="B2905" i="1" s="1"/>
  <c r="B2906" i="1" a="1"/>
  <c r="B2906" i="1" s="1"/>
  <c r="B2907" i="1" a="1"/>
  <c r="B2907" i="1" s="1"/>
  <c r="B2908" i="1" a="1"/>
  <c r="B2908" i="1" s="1"/>
  <c r="B2909" i="1" a="1"/>
  <c r="B2909" i="1" s="1"/>
  <c r="B2910" i="1" a="1"/>
  <c r="B2910" i="1" s="1"/>
  <c r="B2911" i="1" a="1"/>
  <c r="B2911" i="1" s="1"/>
  <c r="B2912" i="1" a="1"/>
  <c r="B2912" i="1" s="1"/>
  <c r="B2913" i="1" a="1"/>
  <c r="B2913" i="1" s="1"/>
  <c r="B2914" i="1" a="1"/>
  <c r="B2914" i="1" s="1"/>
  <c r="B2915" i="1" a="1"/>
  <c r="B2915" i="1" s="1"/>
  <c r="B2916" i="1" a="1"/>
  <c r="B2916" i="1" s="1"/>
  <c r="B2917" i="1" a="1"/>
  <c r="B2917" i="1" s="1"/>
  <c r="B2918" i="1" a="1"/>
  <c r="B2918" i="1" s="1"/>
  <c r="B2919" i="1" a="1"/>
  <c r="B2919" i="1" s="1"/>
  <c r="B2920" i="1" a="1"/>
  <c r="B2920" i="1" s="1"/>
  <c r="B2921" i="1" a="1"/>
  <c r="B2921" i="1" s="1"/>
  <c r="B2922" i="1" a="1"/>
  <c r="B2922" i="1" s="1"/>
  <c r="B2923" i="1" a="1"/>
  <c r="B2923" i="1" s="1"/>
  <c r="B2924" i="1" a="1"/>
  <c r="B2924" i="1" s="1"/>
  <c r="B2925" i="1" a="1"/>
  <c r="B2925" i="1" s="1"/>
  <c r="B2926" i="1" a="1"/>
  <c r="B2926" i="1" s="1"/>
  <c r="B2927" i="1" a="1"/>
  <c r="B2927" i="1" s="1"/>
  <c r="B2928" i="1" a="1"/>
  <c r="B2928" i="1" s="1"/>
  <c r="B2929" i="1" a="1"/>
  <c r="B2929" i="1" s="1"/>
  <c r="B2930" i="1" a="1"/>
  <c r="B2930" i="1" s="1"/>
  <c r="B2931" i="1" a="1"/>
  <c r="B2931" i="1" s="1"/>
  <c r="B2932" i="1" a="1"/>
  <c r="B2932" i="1" s="1"/>
  <c r="B2933" i="1" a="1"/>
  <c r="B2933" i="1" s="1"/>
  <c r="B2934" i="1" a="1"/>
  <c r="B2934" i="1" s="1"/>
  <c r="B2935" i="1" a="1"/>
  <c r="B2935" i="1" s="1"/>
  <c r="B2936" i="1" a="1"/>
  <c r="B2936" i="1" s="1"/>
  <c r="B2937" i="1" a="1"/>
  <c r="B2937" i="1" s="1"/>
  <c r="B2938" i="1" a="1"/>
  <c r="B2938" i="1" s="1"/>
  <c r="B2939" i="1" a="1"/>
  <c r="B2939" i="1" s="1"/>
  <c r="B2940" i="1" a="1"/>
  <c r="B2940" i="1" s="1"/>
  <c r="B2941" i="1" a="1"/>
  <c r="B2941" i="1" s="1"/>
  <c r="B2942" i="1" a="1"/>
  <c r="B2942" i="1" s="1"/>
  <c r="B2943" i="1" a="1"/>
  <c r="B2943" i="1" s="1"/>
  <c r="B2944" i="1" a="1"/>
  <c r="B2944" i="1" s="1"/>
  <c r="B2945" i="1" a="1"/>
  <c r="B2945" i="1" s="1"/>
  <c r="B2946" i="1" a="1"/>
  <c r="B2946" i="1" s="1"/>
  <c r="B2947" i="1" a="1"/>
  <c r="B2947" i="1" s="1"/>
  <c r="B2948" i="1" a="1"/>
  <c r="B2948" i="1" s="1"/>
  <c r="B2949" i="1" a="1"/>
  <c r="B2949" i="1" s="1"/>
  <c r="B2950" i="1" a="1"/>
  <c r="B2950" i="1" s="1"/>
  <c r="B2951" i="1" a="1"/>
  <c r="B2951" i="1" s="1"/>
  <c r="B2952" i="1" a="1"/>
  <c r="B2952" i="1" s="1"/>
  <c r="B2953" i="1" a="1"/>
  <c r="B2953" i="1" s="1"/>
  <c r="B2954" i="1" a="1"/>
  <c r="B2954" i="1" s="1"/>
  <c r="B2955" i="1" a="1"/>
  <c r="B2955" i="1" s="1"/>
  <c r="B2956" i="1" a="1"/>
  <c r="B2956" i="1" s="1"/>
  <c r="B2957" i="1" a="1"/>
  <c r="B2957" i="1" s="1"/>
  <c r="B2958" i="1" a="1"/>
  <c r="B2958" i="1" s="1"/>
  <c r="B2959" i="1" a="1"/>
  <c r="B2959" i="1" s="1"/>
  <c r="B2960" i="1" a="1"/>
  <c r="B2960" i="1" s="1"/>
  <c r="B2961" i="1" a="1"/>
  <c r="B2961" i="1" s="1"/>
  <c r="B2962" i="1" a="1"/>
  <c r="B2962" i="1" s="1"/>
  <c r="B2963" i="1" a="1"/>
  <c r="B2963" i="1" s="1"/>
  <c r="B2964" i="1" a="1"/>
  <c r="B2964" i="1" s="1"/>
  <c r="B2965" i="1" a="1"/>
  <c r="B2965" i="1" s="1"/>
  <c r="B2966" i="1" a="1"/>
  <c r="B2966" i="1" s="1"/>
  <c r="B2967" i="1" a="1"/>
  <c r="B2967" i="1" s="1"/>
  <c r="B2968" i="1" a="1"/>
  <c r="B2968" i="1" s="1"/>
  <c r="B2969" i="1" a="1"/>
  <c r="B2969" i="1" s="1"/>
  <c r="B2970" i="1" a="1"/>
  <c r="B2970" i="1" s="1"/>
  <c r="B2971" i="1" a="1"/>
  <c r="B2971" i="1" s="1"/>
  <c r="B2972" i="1" a="1"/>
  <c r="B2972" i="1" s="1"/>
  <c r="B2973" i="1" a="1"/>
  <c r="B2973" i="1" s="1"/>
  <c r="B2974" i="1" a="1"/>
  <c r="B2974" i="1" s="1"/>
  <c r="B2975" i="1" a="1"/>
  <c r="B2975" i="1" s="1"/>
  <c r="B2976" i="1" a="1"/>
  <c r="B2976" i="1" s="1"/>
  <c r="B2977" i="1" a="1"/>
  <c r="B2977" i="1" s="1"/>
  <c r="B2978" i="1" a="1"/>
  <c r="B2978" i="1" s="1"/>
  <c r="B2979" i="1" a="1"/>
  <c r="B2979" i="1" s="1"/>
  <c r="B2980" i="1" a="1"/>
  <c r="B2980" i="1" s="1"/>
  <c r="B2981" i="1" a="1"/>
  <c r="B2981" i="1" s="1"/>
  <c r="B2982" i="1" a="1"/>
  <c r="B2982" i="1" s="1"/>
  <c r="B2983" i="1" a="1"/>
  <c r="B2983" i="1" s="1"/>
  <c r="B2984" i="1" a="1"/>
  <c r="B2984" i="1" s="1"/>
  <c r="B2985" i="1" a="1"/>
  <c r="B2985" i="1" s="1"/>
  <c r="B2986" i="1" a="1"/>
  <c r="B2986" i="1" s="1"/>
  <c r="B2987" i="1" a="1"/>
  <c r="B2987" i="1" s="1"/>
  <c r="B2988" i="1" a="1"/>
  <c r="B2988" i="1" s="1"/>
  <c r="B2989" i="1" a="1"/>
  <c r="B2989" i="1" s="1"/>
  <c r="B2990" i="1" a="1"/>
  <c r="B2990" i="1" s="1"/>
  <c r="B2991" i="1" a="1"/>
  <c r="B2991" i="1" s="1"/>
  <c r="B2992" i="1" a="1"/>
  <c r="B2992" i="1" s="1"/>
  <c r="B2993" i="1" a="1"/>
  <c r="B2993" i="1" s="1"/>
  <c r="B2994" i="1" a="1"/>
  <c r="B2994" i="1" s="1"/>
  <c r="B2995" i="1" a="1"/>
  <c r="B2995" i="1" s="1"/>
  <c r="B2996" i="1" a="1"/>
  <c r="B2996" i="1" s="1"/>
  <c r="B2997" i="1" a="1"/>
  <c r="B2997" i="1" s="1"/>
  <c r="B2998" i="1" a="1"/>
  <c r="B2998" i="1" s="1"/>
  <c r="B2999" i="1" a="1"/>
  <c r="B2999" i="1" s="1"/>
  <c r="B3000" i="1" a="1"/>
  <c r="B3000" i="1" s="1"/>
  <c r="B3001" i="1" a="1"/>
  <c r="B3001" i="1" s="1"/>
  <c r="B3002" i="1" a="1"/>
  <c r="B3002" i="1" s="1"/>
  <c r="B3003" i="1" a="1"/>
  <c r="B3003" i="1" s="1"/>
  <c r="B3004" i="1" a="1"/>
  <c r="B3004" i="1" s="1"/>
  <c r="B3005" i="1" a="1"/>
  <c r="B3005" i="1" s="1"/>
  <c r="B3006" i="1" a="1"/>
  <c r="B3006" i="1" s="1"/>
  <c r="B3007" i="1" a="1"/>
  <c r="B3007" i="1" s="1"/>
  <c r="B3008" i="1" a="1"/>
  <c r="B3008" i="1" s="1"/>
  <c r="B3009" i="1" a="1"/>
  <c r="B3009" i="1" s="1"/>
  <c r="B3010" i="1" a="1"/>
  <c r="B3010" i="1" s="1"/>
  <c r="B3011" i="1" a="1"/>
  <c r="B3011" i="1" s="1"/>
  <c r="B3012" i="1" a="1"/>
  <c r="B3012" i="1" s="1"/>
  <c r="B3013" i="1" a="1"/>
  <c r="B3013" i="1" s="1"/>
  <c r="B3014" i="1" a="1"/>
  <c r="B3014" i="1" s="1"/>
  <c r="B3015" i="1" a="1"/>
  <c r="B3015" i="1" s="1"/>
  <c r="B3016" i="1" a="1"/>
  <c r="B3016" i="1" s="1"/>
  <c r="B3017" i="1" a="1"/>
  <c r="B3017" i="1" s="1"/>
  <c r="B3018" i="1" a="1"/>
  <c r="B3018" i="1" s="1"/>
  <c r="B3019" i="1" a="1"/>
  <c r="B3019" i="1" s="1"/>
  <c r="B3020" i="1" a="1"/>
  <c r="B3020" i="1" s="1"/>
  <c r="B3021" i="1" a="1"/>
  <c r="B3021" i="1" s="1"/>
  <c r="B3022" i="1" a="1"/>
  <c r="B3022" i="1" s="1"/>
  <c r="B3023" i="1" a="1"/>
  <c r="B3023" i="1" s="1"/>
  <c r="B3024" i="1" a="1"/>
  <c r="B3024" i="1" s="1"/>
  <c r="B3025" i="1" a="1"/>
  <c r="B3025" i="1" s="1"/>
  <c r="B3026" i="1" a="1"/>
  <c r="B3026" i="1" s="1"/>
  <c r="B3027" i="1" a="1"/>
  <c r="B3027" i="1" s="1"/>
  <c r="B3028" i="1" a="1"/>
  <c r="B3028" i="1" s="1"/>
  <c r="B3029" i="1" a="1"/>
  <c r="B3029" i="1" s="1"/>
  <c r="B3030" i="1" a="1"/>
  <c r="B3030" i="1" s="1"/>
  <c r="B3031" i="1" a="1"/>
  <c r="B3031" i="1" s="1"/>
  <c r="B3032" i="1" a="1"/>
  <c r="B3032" i="1" s="1"/>
  <c r="B3033" i="1" a="1"/>
  <c r="B3033" i="1" s="1"/>
  <c r="B3034" i="1" a="1"/>
  <c r="B3034" i="1" s="1"/>
  <c r="B3035" i="1" a="1"/>
  <c r="B3035" i="1" s="1"/>
  <c r="B3036" i="1" a="1"/>
  <c r="B3036" i="1" s="1"/>
  <c r="B3037" i="1" a="1"/>
  <c r="B3037" i="1" s="1"/>
  <c r="B3038" i="1" a="1"/>
  <c r="B3038" i="1" s="1"/>
  <c r="B3039" i="1" a="1"/>
  <c r="B3039" i="1" s="1"/>
  <c r="B3040" i="1" a="1"/>
  <c r="B3040" i="1" s="1"/>
  <c r="B3041" i="1" a="1"/>
  <c r="B3041" i="1" s="1"/>
  <c r="B3042" i="1" a="1"/>
  <c r="B3042" i="1" s="1"/>
  <c r="B3043" i="1" a="1"/>
  <c r="B3043" i="1" s="1"/>
  <c r="B3044" i="1" a="1"/>
  <c r="B3044" i="1" s="1"/>
  <c r="B3045" i="1" a="1"/>
  <c r="B3045" i="1" s="1"/>
  <c r="B3046" i="1" a="1"/>
  <c r="B3046" i="1" s="1"/>
  <c r="B3047" i="1" a="1"/>
  <c r="B3047" i="1" s="1"/>
  <c r="B3048" i="1" a="1"/>
  <c r="B3048" i="1" s="1"/>
  <c r="B3049" i="1" a="1"/>
  <c r="B3049" i="1" s="1"/>
  <c r="B3050" i="1" a="1"/>
  <c r="B3050" i="1" s="1"/>
  <c r="B3051" i="1" a="1"/>
  <c r="B3051" i="1" s="1"/>
  <c r="B3052" i="1" a="1"/>
  <c r="B3052" i="1" s="1"/>
  <c r="B3053" i="1" a="1"/>
  <c r="B3053" i="1" s="1"/>
  <c r="B3054" i="1" a="1"/>
  <c r="B3054" i="1" s="1"/>
  <c r="B3055" i="1" a="1"/>
  <c r="B3055" i="1" s="1"/>
  <c r="B3056" i="1" a="1"/>
  <c r="B3056" i="1" s="1"/>
  <c r="B3057" i="1" a="1"/>
  <c r="B3057" i="1" s="1"/>
  <c r="B3058" i="1" a="1"/>
  <c r="B3058" i="1" s="1"/>
  <c r="B3059" i="1" a="1"/>
  <c r="B3059" i="1" s="1"/>
  <c r="B3060" i="1" a="1"/>
  <c r="B3060" i="1" s="1"/>
  <c r="B3061" i="1" a="1"/>
  <c r="B3061" i="1" s="1"/>
  <c r="B3062" i="1" a="1"/>
  <c r="B3062" i="1" s="1"/>
  <c r="B3063" i="1" a="1"/>
  <c r="B3063" i="1" s="1"/>
  <c r="B3064" i="1" a="1"/>
  <c r="B3064" i="1" s="1"/>
  <c r="B3065" i="1" a="1"/>
  <c r="B3065" i="1" s="1"/>
  <c r="B3066" i="1" a="1"/>
  <c r="B3066" i="1" s="1"/>
  <c r="B3067" i="1" a="1"/>
  <c r="B3067" i="1" s="1"/>
  <c r="B3068" i="1" a="1"/>
  <c r="B3068" i="1" s="1"/>
  <c r="B3069" i="1" a="1"/>
  <c r="B3069" i="1" s="1"/>
  <c r="B3070" i="1" a="1"/>
  <c r="B3070" i="1" s="1"/>
  <c r="B3071" i="1" a="1"/>
  <c r="B3071" i="1" s="1"/>
  <c r="B3072" i="1" a="1"/>
  <c r="B3072" i="1" s="1"/>
  <c r="B3073" i="1" a="1"/>
  <c r="B3073" i="1" s="1"/>
  <c r="B3074" i="1" a="1"/>
  <c r="B3074" i="1" s="1"/>
  <c r="B3075" i="1" a="1"/>
  <c r="B3075" i="1" s="1"/>
  <c r="B3076" i="1" a="1"/>
  <c r="B3076" i="1" s="1"/>
  <c r="B3077" i="1" a="1"/>
  <c r="B3077" i="1" s="1"/>
  <c r="B3078" i="1" a="1"/>
  <c r="B3078" i="1" s="1"/>
  <c r="B3079" i="1" a="1"/>
  <c r="B3079" i="1" s="1"/>
  <c r="B3080" i="1" a="1"/>
  <c r="B3080" i="1" s="1"/>
  <c r="B3081" i="1" a="1"/>
  <c r="B3081" i="1" s="1"/>
  <c r="B3082" i="1" a="1"/>
  <c r="B3082" i="1" s="1"/>
  <c r="B3083" i="1" a="1"/>
  <c r="B3083" i="1" s="1"/>
  <c r="B3084" i="1" a="1"/>
  <c r="B3084" i="1" s="1"/>
  <c r="B3085" i="1" a="1"/>
  <c r="B3085" i="1" s="1"/>
  <c r="B3086" i="1" a="1"/>
  <c r="B3086" i="1" s="1"/>
  <c r="B3087" i="1" a="1"/>
  <c r="B3087" i="1" s="1"/>
  <c r="B3088" i="1" a="1"/>
  <c r="B3088" i="1" s="1"/>
  <c r="B3089" i="1" a="1"/>
  <c r="B3089" i="1" s="1"/>
  <c r="B3090" i="1" a="1"/>
  <c r="B3090" i="1" s="1"/>
  <c r="B3091" i="1" a="1"/>
  <c r="B3091" i="1" s="1"/>
  <c r="B3092" i="1" a="1"/>
  <c r="B3092" i="1" s="1"/>
  <c r="B3093" i="1" a="1"/>
  <c r="B3093" i="1" s="1"/>
  <c r="B3094" i="1" a="1"/>
  <c r="B3094" i="1" s="1"/>
  <c r="B3095" i="1" a="1"/>
  <c r="B3095" i="1" s="1"/>
  <c r="B3096" i="1" a="1"/>
  <c r="B3096" i="1" s="1"/>
  <c r="B3097" i="1" a="1"/>
  <c r="B3097" i="1" s="1"/>
  <c r="B3098" i="1" a="1"/>
  <c r="B3098" i="1" s="1"/>
  <c r="B3099" i="1" a="1"/>
  <c r="B3099" i="1" s="1"/>
  <c r="B3100" i="1" a="1"/>
  <c r="B3100" i="1" s="1"/>
  <c r="B3101" i="1" a="1"/>
  <c r="B3101" i="1" s="1"/>
  <c r="B3102" i="1" a="1"/>
  <c r="B3102" i="1" s="1"/>
  <c r="B3103" i="1" a="1"/>
  <c r="B3103" i="1" s="1"/>
  <c r="B3104" i="1" a="1"/>
  <c r="B3104" i="1" s="1"/>
  <c r="B3105" i="1" a="1"/>
  <c r="B3105" i="1" s="1"/>
  <c r="B3106" i="1" a="1"/>
  <c r="B3106" i="1" s="1"/>
  <c r="B3107" i="1" a="1"/>
  <c r="B3107" i="1" s="1"/>
  <c r="B3108" i="1" a="1"/>
  <c r="B3108" i="1" s="1"/>
  <c r="B3109" i="1" a="1"/>
  <c r="B3109" i="1" s="1"/>
  <c r="B3110" i="1" a="1"/>
  <c r="B3110" i="1" s="1"/>
  <c r="B3111" i="1" a="1"/>
  <c r="B3111" i="1" s="1"/>
  <c r="B3112" i="1" a="1"/>
  <c r="B3112" i="1" s="1"/>
  <c r="B3113" i="1" a="1"/>
  <c r="B3113" i="1" s="1"/>
  <c r="B3114" i="1" a="1"/>
  <c r="B3114" i="1" s="1"/>
  <c r="B3115" i="1" a="1"/>
  <c r="B3115" i="1" s="1"/>
  <c r="B3116" i="1" a="1"/>
  <c r="B3116" i="1" s="1"/>
  <c r="B3117" i="1" a="1"/>
  <c r="B3117" i="1" s="1"/>
  <c r="B3118" i="1" a="1"/>
  <c r="B3118" i="1" s="1"/>
  <c r="B3119" i="1" a="1"/>
  <c r="B3119" i="1" s="1"/>
  <c r="B3120" i="1" a="1"/>
  <c r="B3120" i="1" s="1"/>
  <c r="B3121" i="1" a="1"/>
  <c r="B3121" i="1" s="1"/>
  <c r="B3122" i="1" a="1"/>
  <c r="B3122" i="1" s="1"/>
  <c r="B3123" i="1" a="1"/>
  <c r="B3123" i="1" s="1"/>
  <c r="B3124" i="1" a="1"/>
  <c r="B3124" i="1" s="1"/>
  <c r="B3125" i="1" a="1"/>
  <c r="B3125" i="1" s="1"/>
  <c r="B3126" i="1" a="1"/>
  <c r="B3126" i="1" s="1"/>
  <c r="B3127" i="1" a="1"/>
  <c r="B3127" i="1" s="1"/>
  <c r="B3128" i="1" a="1"/>
  <c r="B3128" i="1" s="1"/>
  <c r="B3129" i="1" a="1"/>
  <c r="B3129" i="1" s="1"/>
  <c r="B3130" i="1" a="1"/>
  <c r="B3130" i="1" s="1"/>
  <c r="B3131" i="1" a="1"/>
  <c r="B3131" i="1" s="1"/>
  <c r="B3132" i="1" a="1"/>
  <c r="B3132" i="1" s="1"/>
  <c r="B3133" i="1" a="1"/>
  <c r="B3133" i="1" s="1"/>
  <c r="B3134" i="1" a="1"/>
  <c r="B3134" i="1" s="1"/>
  <c r="B3135" i="1" a="1"/>
  <c r="B3135" i="1" s="1"/>
  <c r="B3136" i="1" a="1"/>
  <c r="B3136" i="1" s="1"/>
  <c r="B3137" i="1" a="1"/>
  <c r="B3137" i="1" s="1"/>
  <c r="B3138" i="1" a="1"/>
  <c r="B3138" i="1" s="1"/>
  <c r="B3139" i="1" a="1"/>
  <c r="B3139" i="1" s="1"/>
  <c r="B3140" i="1" a="1"/>
  <c r="B3140" i="1" s="1"/>
  <c r="B3141" i="1" a="1"/>
  <c r="B3141" i="1" s="1"/>
  <c r="B3142" i="1" a="1"/>
  <c r="B3142" i="1" s="1"/>
  <c r="B3143" i="1" a="1"/>
  <c r="B3143" i="1" s="1"/>
  <c r="B3144" i="1" a="1"/>
  <c r="B3144" i="1" s="1"/>
  <c r="B3145" i="1" a="1"/>
  <c r="B3145" i="1" s="1"/>
  <c r="B3146" i="1" a="1"/>
  <c r="B3146" i="1" s="1"/>
  <c r="B3147" i="1" a="1"/>
  <c r="B3147" i="1" s="1"/>
  <c r="B3148" i="1" a="1"/>
  <c r="B3148" i="1" s="1"/>
  <c r="B3149" i="1" a="1"/>
  <c r="B3149" i="1" s="1"/>
  <c r="B3150" i="1" a="1"/>
  <c r="B3150" i="1" s="1"/>
  <c r="B3151" i="1" a="1"/>
  <c r="B3151" i="1" s="1"/>
  <c r="B3152" i="1" a="1"/>
  <c r="B3152" i="1" s="1"/>
  <c r="B3153" i="1" a="1"/>
  <c r="B3153" i="1" s="1"/>
  <c r="B3154" i="1" a="1"/>
  <c r="B3154" i="1" s="1"/>
  <c r="B3155" i="1" a="1"/>
  <c r="B3155" i="1" s="1"/>
  <c r="B3156" i="1" a="1"/>
  <c r="B3156" i="1" s="1"/>
  <c r="B3157" i="1" a="1"/>
  <c r="B3157" i="1" s="1"/>
  <c r="B3158" i="1" a="1"/>
  <c r="B3158" i="1" s="1"/>
  <c r="B3159" i="1" a="1"/>
  <c r="B3159" i="1" s="1"/>
  <c r="B3160" i="1" a="1"/>
  <c r="B3160" i="1" s="1"/>
  <c r="B3161" i="1" a="1"/>
  <c r="B3161" i="1" s="1"/>
  <c r="B3162" i="1" a="1"/>
  <c r="B3162" i="1" s="1"/>
  <c r="B3163" i="1" a="1"/>
  <c r="B3163" i="1" s="1"/>
  <c r="B3164" i="1" a="1"/>
  <c r="B3164" i="1" s="1"/>
  <c r="B3165" i="1" a="1"/>
  <c r="B3165" i="1" s="1"/>
  <c r="B3166" i="1" a="1"/>
  <c r="B3166" i="1" s="1"/>
  <c r="B3167" i="1" a="1"/>
  <c r="B3167" i="1" s="1"/>
  <c r="B3168" i="1" a="1"/>
  <c r="B3168" i="1" s="1"/>
  <c r="B3169" i="1" a="1"/>
  <c r="B3169" i="1" s="1"/>
  <c r="B3170" i="1" a="1"/>
  <c r="B3170" i="1" s="1"/>
  <c r="B3171" i="1" a="1"/>
  <c r="B3171" i="1" s="1"/>
  <c r="B3172" i="1" a="1"/>
  <c r="B3172" i="1" s="1"/>
  <c r="B3173" i="1" a="1"/>
  <c r="B3173" i="1" s="1"/>
  <c r="B3174" i="1" a="1"/>
  <c r="B3174" i="1" s="1"/>
  <c r="B3175" i="1" a="1"/>
  <c r="B3175" i="1" s="1"/>
  <c r="B3176" i="1" a="1"/>
  <c r="B3176" i="1" s="1"/>
  <c r="B3177" i="1" a="1"/>
  <c r="B3177" i="1" s="1"/>
  <c r="B3178" i="1" a="1"/>
  <c r="B3178" i="1" s="1"/>
  <c r="B3179" i="1" a="1"/>
  <c r="B3179" i="1" s="1"/>
  <c r="B3180" i="1" a="1"/>
  <c r="B3180" i="1" s="1"/>
  <c r="B3181" i="1" a="1"/>
  <c r="B3181" i="1" s="1"/>
  <c r="B3182" i="1" a="1"/>
  <c r="B3182" i="1" s="1"/>
  <c r="B3183" i="1" a="1"/>
  <c r="B3183" i="1" s="1"/>
  <c r="B3184" i="1" a="1"/>
  <c r="B3184" i="1" s="1"/>
  <c r="B3185" i="1" a="1"/>
  <c r="B3185" i="1" s="1"/>
  <c r="B3186" i="1" a="1"/>
  <c r="B3186" i="1" s="1"/>
  <c r="B3187" i="1" a="1"/>
  <c r="B3187" i="1" s="1"/>
  <c r="B3188" i="1" a="1"/>
  <c r="B3188" i="1" s="1"/>
  <c r="B3189" i="1" a="1"/>
  <c r="B3189" i="1" s="1"/>
  <c r="B3190" i="1" a="1"/>
  <c r="B3190" i="1" s="1"/>
  <c r="B3191" i="1" a="1"/>
  <c r="B3191" i="1" s="1"/>
  <c r="B3192" i="1" a="1"/>
  <c r="B3192" i="1" s="1"/>
  <c r="B3193" i="1" a="1"/>
  <c r="B3193" i="1" s="1"/>
  <c r="B3194" i="1" a="1"/>
  <c r="B3194" i="1" s="1"/>
  <c r="B3195" i="1" a="1"/>
  <c r="B3195" i="1" s="1"/>
  <c r="B3196" i="1" a="1"/>
  <c r="B3196" i="1" s="1"/>
  <c r="B3197" i="1" a="1"/>
  <c r="B3197" i="1" s="1"/>
  <c r="B3198" i="1" a="1"/>
  <c r="B3198" i="1" s="1"/>
  <c r="B3199" i="1" a="1"/>
  <c r="B3199" i="1" s="1"/>
  <c r="B3200" i="1" a="1"/>
  <c r="B3200" i="1" s="1"/>
  <c r="B3201" i="1" a="1"/>
  <c r="B3201" i="1" s="1"/>
  <c r="B3202" i="1" a="1"/>
  <c r="B3202" i="1" s="1"/>
  <c r="B3203" i="1" a="1"/>
  <c r="B3203" i="1" s="1"/>
  <c r="B3204" i="1" a="1"/>
  <c r="B3204" i="1" s="1"/>
  <c r="B3205" i="1" a="1"/>
  <c r="B3205" i="1" s="1"/>
  <c r="B3206" i="1" a="1"/>
  <c r="B3206" i="1" s="1"/>
  <c r="B3207" i="1" a="1"/>
  <c r="B3207" i="1" s="1"/>
  <c r="B3208" i="1" a="1"/>
  <c r="B3208" i="1" s="1"/>
  <c r="B3209" i="1" a="1"/>
  <c r="B3209" i="1" s="1"/>
  <c r="B3210" i="1" a="1"/>
  <c r="B3210" i="1" s="1"/>
  <c r="B3211" i="1" a="1"/>
  <c r="B3211" i="1" s="1"/>
  <c r="B3212" i="1" a="1"/>
  <c r="B3212" i="1" s="1"/>
  <c r="B3213" i="1" a="1"/>
  <c r="B3213" i="1" s="1"/>
  <c r="B3214" i="1" a="1"/>
  <c r="B3214" i="1" s="1"/>
  <c r="B3215" i="1" a="1"/>
  <c r="B3215" i="1" s="1"/>
  <c r="B3216" i="1" a="1"/>
  <c r="B3216" i="1" s="1"/>
  <c r="B3217" i="1" a="1"/>
  <c r="B3217" i="1" s="1"/>
  <c r="B3218" i="1" a="1"/>
  <c r="B3218" i="1" s="1"/>
  <c r="B3219" i="1" a="1"/>
  <c r="B3219" i="1" s="1"/>
  <c r="B3220" i="1" a="1"/>
  <c r="B3220" i="1" s="1"/>
  <c r="B3221" i="1" a="1"/>
  <c r="B3221" i="1" s="1"/>
  <c r="B3222" i="1" a="1"/>
  <c r="B3222" i="1" s="1"/>
  <c r="B3223" i="1" a="1"/>
  <c r="B3223" i="1" s="1"/>
  <c r="B3224" i="1" a="1"/>
  <c r="B3224" i="1" s="1"/>
  <c r="B3225" i="1" a="1"/>
  <c r="B3225" i="1" s="1"/>
  <c r="B3226" i="1" a="1"/>
  <c r="B3226" i="1" s="1"/>
  <c r="B3227" i="1" a="1"/>
  <c r="B3227" i="1" s="1"/>
  <c r="B3228" i="1" a="1"/>
  <c r="B3228" i="1" s="1"/>
  <c r="B3229" i="1" a="1"/>
  <c r="B3229" i="1" s="1"/>
  <c r="B3230" i="1" a="1"/>
  <c r="B3230" i="1" s="1"/>
  <c r="B3231" i="1" a="1"/>
  <c r="B3231" i="1" s="1"/>
  <c r="B3232" i="1" a="1"/>
  <c r="B3232" i="1" s="1"/>
  <c r="B3233" i="1" a="1"/>
  <c r="B3233" i="1" s="1"/>
  <c r="B3234" i="1" a="1"/>
  <c r="B3234" i="1" s="1"/>
  <c r="B3235" i="1" a="1"/>
  <c r="B3235" i="1" s="1"/>
  <c r="B3236" i="1" a="1"/>
  <c r="B3236" i="1" s="1"/>
  <c r="B3237" i="1" a="1"/>
  <c r="B3237" i="1" s="1"/>
  <c r="B3238" i="1" a="1"/>
  <c r="B3238" i="1" s="1"/>
  <c r="B3239" i="1" a="1"/>
  <c r="B3239" i="1" s="1"/>
  <c r="B3240" i="1" a="1"/>
  <c r="B3240" i="1" s="1"/>
  <c r="B3241" i="1" a="1"/>
  <c r="B3241" i="1" s="1"/>
  <c r="B3242" i="1" a="1"/>
  <c r="B3242" i="1" s="1"/>
  <c r="B3243" i="1" a="1"/>
  <c r="B3243" i="1" s="1"/>
  <c r="B3244" i="1" a="1"/>
  <c r="B3244" i="1" s="1"/>
  <c r="B3245" i="1" a="1"/>
  <c r="B3245" i="1" s="1"/>
  <c r="B3246" i="1" a="1"/>
  <c r="B3246" i="1" s="1"/>
  <c r="B3247" i="1" a="1"/>
  <c r="B3247" i="1" s="1"/>
  <c r="B3248" i="1" a="1"/>
  <c r="B3248" i="1" s="1"/>
  <c r="B3249" i="1" a="1"/>
  <c r="B3249" i="1" s="1"/>
  <c r="B3250" i="1" a="1"/>
  <c r="B3250" i="1" s="1"/>
  <c r="B3251" i="1" a="1"/>
  <c r="B3251" i="1" s="1"/>
  <c r="B3252" i="1" a="1"/>
  <c r="B3252" i="1" s="1"/>
  <c r="B3253" i="1" a="1"/>
  <c r="B3253" i="1" s="1"/>
  <c r="B3254" i="1" a="1"/>
  <c r="B3254" i="1" s="1"/>
  <c r="B3255" i="1" a="1"/>
  <c r="B3255" i="1" s="1"/>
  <c r="B3256" i="1" a="1"/>
  <c r="B3256" i="1" s="1"/>
  <c r="B3257" i="1" a="1"/>
  <c r="B3257" i="1" s="1"/>
  <c r="B3258" i="1" a="1"/>
  <c r="B3258" i="1" s="1"/>
  <c r="B3259" i="1" a="1"/>
  <c r="B3259" i="1" s="1"/>
  <c r="B3260" i="1" a="1"/>
  <c r="B3260" i="1" s="1"/>
  <c r="B3261" i="1" a="1"/>
  <c r="B3261" i="1" s="1"/>
  <c r="B3262" i="1" a="1"/>
  <c r="B3262" i="1" s="1"/>
  <c r="B3263" i="1" a="1"/>
  <c r="B3263" i="1" s="1"/>
  <c r="B3264" i="1" a="1"/>
  <c r="B3264" i="1" s="1"/>
  <c r="B3265" i="1" a="1"/>
  <c r="B3265" i="1" s="1"/>
  <c r="B3266" i="1" a="1"/>
  <c r="B3266" i="1" s="1"/>
  <c r="B3267" i="1" a="1"/>
  <c r="B3267" i="1" s="1"/>
  <c r="B3268" i="1" a="1"/>
  <c r="B3268" i="1" s="1"/>
  <c r="B3269" i="1" a="1"/>
  <c r="B3269" i="1" s="1"/>
  <c r="B3270" i="1" a="1"/>
  <c r="B3270" i="1" s="1"/>
  <c r="B3271" i="1" a="1"/>
  <c r="B3271" i="1" s="1"/>
  <c r="B3272" i="1" a="1"/>
  <c r="B3272" i="1" s="1"/>
  <c r="B3273" i="1" a="1"/>
  <c r="B3273" i="1" s="1"/>
  <c r="B3274" i="1" a="1"/>
  <c r="B3274" i="1" s="1"/>
  <c r="B3275" i="1" a="1"/>
  <c r="B3275" i="1" s="1"/>
  <c r="B3276" i="1" a="1"/>
  <c r="B3276" i="1" s="1"/>
  <c r="B3277" i="1" a="1"/>
  <c r="B3277" i="1" s="1"/>
  <c r="B3278" i="1" a="1"/>
  <c r="B3278" i="1" s="1"/>
  <c r="B3279" i="1" a="1"/>
  <c r="B3279" i="1" s="1"/>
  <c r="B3280" i="1" a="1"/>
  <c r="B3280" i="1" s="1"/>
  <c r="B3281" i="1" a="1"/>
  <c r="B3281" i="1" s="1"/>
  <c r="B3282" i="1" a="1"/>
  <c r="B3282" i="1" s="1"/>
  <c r="B3283" i="1" a="1"/>
  <c r="B3283" i="1" s="1"/>
  <c r="B3284" i="1" a="1"/>
  <c r="B3284" i="1" s="1"/>
  <c r="B3285" i="1" a="1"/>
  <c r="B3285" i="1" s="1"/>
  <c r="B3286" i="1" a="1"/>
  <c r="B3286" i="1" s="1"/>
  <c r="B3287" i="1" a="1"/>
  <c r="B3287" i="1" s="1"/>
  <c r="B3288" i="1" a="1"/>
  <c r="B3288" i="1" s="1"/>
  <c r="B3289" i="1" a="1"/>
  <c r="B3289" i="1" s="1"/>
  <c r="B3290" i="1" a="1"/>
  <c r="B3290" i="1" s="1"/>
  <c r="B3291" i="1" a="1"/>
  <c r="B3291" i="1" s="1"/>
  <c r="B3292" i="1" a="1"/>
  <c r="B3292" i="1" s="1"/>
  <c r="B3293" i="1" a="1"/>
  <c r="B3293" i="1" s="1"/>
  <c r="B3294" i="1" a="1"/>
  <c r="B3294" i="1" s="1"/>
  <c r="B3295" i="1" a="1"/>
  <c r="B3295" i="1" s="1"/>
  <c r="B3296" i="1" a="1"/>
  <c r="B3296" i="1" s="1"/>
  <c r="B3297" i="1" a="1"/>
  <c r="B3297" i="1" s="1"/>
  <c r="B3298" i="1" a="1"/>
  <c r="B3298" i="1" s="1"/>
  <c r="B3299" i="1" a="1"/>
  <c r="B3299" i="1" s="1"/>
  <c r="B3300" i="1" a="1"/>
  <c r="B3300" i="1" s="1"/>
  <c r="B3301" i="1" a="1"/>
  <c r="B3301" i="1" s="1"/>
  <c r="B3302" i="1" a="1"/>
  <c r="B3302" i="1" s="1"/>
  <c r="B3303" i="1" a="1"/>
  <c r="B3303" i="1" s="1"/>
  <c r="B3304" i="1" a="1"/>
  <c r="B3304" i="1" s="1"/>
  <c r="B3305" i="1" a="1"/>
  <c r="B3305" i="1" s="1"/>
  <c r="B3306" i="1" a="1"/>
  <c r="B3306" i="1" s="1"/>
  <c r="B3307" i="1" a="1"/>
  <c r="B3307" i="1" s="1"/>
  <c r="B3308" i="1" a="1"/>
  <c r="B3308" i="1" s="1"/>
  <c r="B3309" i="1" a="1"/>
  <c r="B3309" i="1" s="1"/>
  <c r="B3310" i="1" a="1"/>
  <c r="B3310" i="1" s="1"/>
  <c r="B3311" i="1" a="1"/>
  <c r="B3311" i="1" s="1"/>
  <c r="B3312" i="1" a="1"/>
  <c r="B3312" i="1" s="1"/>
  <c r="B3313" i="1" a="1"/>
  <c r="B3313" i="1" s="1"/>
  <c r="B3314" i="1" a="1"/>
  <c r="B3314" i="1" s="1"/>
  <c r="B3315" i="1" a="1"/>
  <c r="B3315" i="1" s="1"/>
  <c r="B3316" i="1" a="1"/>
  <c r="B3316" i="1" s="1"/>
  <c r="B3317" i="1" a="1"/>
  <c r="B3317" i="1" s="1"/>
  <c r="B3318" i="1" a="1"/>
  <c r="B3318" i="1" s="1"/>
  <c r="B3319" i="1" a="1"/>
  <c r="B3319" i="1" s="1"/>
  <c r="B3320" i="1" a="1"/>
  <c r="B3320" i="1" s="1"/>
  <c r="B3321" i="1" a="1"/>
  <c r="B3321" i="1" s="1"/>
  <c r="B3322" i="1" a="1"/>
  <c r="B3322" i="1" s="1"/>
  <c r="B3323" i="1" a="1"/>
  <c r="B3323" i="1" s="1"/>
  <c r="B3324" i="1" a="1"/>
  <c r="B3324" i="1" s="1"/>
  <c r="B3325" i="1" a="1"/>
  <c r="B3325" i="1" s="1"/>
  <c r="B3326" i="1" a="1"/>
  <c r="B3326" i="1" s="1"/>
  <c r="B3327" i="1" a="1"/>
  <c r="B3327" i="1" s="1"/>
  <c r="B3328" i="1" a="1"/>
  <c r="B3328" i="1" s="1"/>
  <c r="B3329" i="1" a="1"/>
  <c r="B3329" i="1" s="1"/>
  <c r="B3330" i="1" a="1"/>
  <c r="B3330" i="1" s="1"/>
  <c r="B3331" i="1" a="1"/>
  <c r="B3331" i="1" s="1"/>
  <c r="B3332" i="1" a="1"/>
  <c r="B3332" i="1" s="1"/>
  <c r="B3333" i="1" a="1"/>
  <c r="B3333" i="1" s="1"/>
  <c r="B3334" i="1" a="1"/>
  <c r="B3334" i="1" s="1"/>
  <c r="B3335" i="1" a="1"/>
  <c r="B3335" i="1" s="1"/>
  <c r="B3336" i="1" a="1"/>
  <c r="B3336" i="1" s="1"/>
  <c r="B3337" i="1" a="1"/>
  <c r="B3337" i="1" s="1"/>
  <c r="B3338" i="1" a="1"/>
  <c r="B3338" i="1" s="1"/>
  <c r="B3339" i="1" a="1"/>
  <c r="B3339" i="1" s="1"/>
  <c r="B3340" i="1" a="1"/>
  <c r="B3340" i="1" s="1"/>
  <c r="B3341" i="1" a="1"/>
  <c r="B3341" i="1" s="1"/>
  <c r="B3342" i="1" a="1"/>
  <c r="B3342" i="1" s="1"/>
  <c r="B3343" i="1" a="1"/>
  <c r="B3343" i="1" s="1"/>
  <c r="B3344" i="1" a="1"/>
  <c r="B3344" i="1" s="1"/>
  <c r="B3345" i="1" a="1"/>
  <c r="B3345" i="1" s="1"/>
  <c r="B3346" i="1" a="1"/>
  <c r="B3346" i="1" s="1"/>
  <c r="B3347" i="1" a="1"/>
  <c r="B3347" i="1" s="1"/>
  <c r="B3348" i="1" a="1"/>
  <c r="B3348" i="1" s="1"/>
  <c r="B3349" i="1" a="1"/>
  <c r="B3349" i="1" s="1"/>
  <c r="B3350" i="1" a="1"/>
  <c r="B3350" i="1" s="1"/>
  <c r="B3351" i="1" a="1"/>
  <c r="B3351" i="1" s="1"/>
  <c r="B3352" i="1" a="1"/>
  <c r="B3352" i="1" s="1"/>
  <c r="B3353" i="1" a="1"/>
  <c r="B3353" i="1" s="1"/>
  <c r="B3354" i="1" a="1"/>
  <c r="B3354" i="1" s="1"/>
  <c r="B3355" i="1" a="1"/>
  <c r="B3355" i="1" s="1"/>
  <c r="B3356" i="1" a="1"/>
  <c r="B3356" i="1" s="1"/>
  <c r="B3357" i="1" a="1"/>
  <c r="B3357" i="1" s="1"/>
  <c r="B3358" i="1" a="1"/>
  <c r="B3358" i="1" s="1"/>
  <c r="B3359" i="1" a="1"/>
  <c r="B3359" i="1" s="1"/>
  <c r="B3360" i="1" a="1"/>
  <c r="B3360" i="1" s="1"/>
  <c r="B3361" i="1" a="1"/>
  <c r="B3361" i="1" s="1"/>
  <c r="B3362" i="1" a="1"/>
  <c r="B3362" i="1" s="1"/>
  <c r="B3363" i="1" a="1"/>
  <c r="B3363" i="1" s="1"/>
  <c r="B3364" i="1" a="1"/>
  <c r="B3364" i="1" s="1"/>
  <c r="B3365" i="1" a="1"/>
  <c r="B3365" i="1" s="1"/>
  <c r="B3366" i="1" a="1"/>
  <c r="B3366" i="1" s="1"/>
  <c r="B3367" i="1" a="1"/>
  <c r="B3367" i="1" s="1"/>
  <c r="B3368" i="1" a="1"/>
  <c r="B3368" i="1" s="1"/>
  <c r="B3369" i="1" a="1"/>
  <c r="B3369" i="1" s="1"/>
  <c r="B3370" i="1" a="1"/>
  <c r="B3370" i="1" s="1"/>
  <c r="B3371" i="1" a="1"/>
  <c r="B3371" i="1" s="1"/>
  <c r="B3372" i="1" a="1"/>
  <c r="B3372" i="1" s="1"/>
  <c r="B3373" i="1" a="1"/>
  <c r="B3373" i="1" s="1"/>
  <c r="B3374" i="1" a="1"/>
  <c r="B3374" i="1" s="1"/>
  <c r="B3375" i="1" a="1"/>
  <c r="B3375" i="1" s="1"/>
  <c r="B3376" i="1" a="1"/>
  <c r="B3376" i="1" s="1"/>
  <c r="B3377" i="1" a="1"/>
  <c r="B3377" i="1" s="1"/>
  <c r="B3378" i="1" a="1"/>
  <c r="B3378" i="1" s="1"/>
  <c r="B3379" i="1" a="1"/>
  <c r="B3379" i="1" s="1"/>
  <c r="B3380" i="1" a="1"/>
  <c r="B3380" i="1" s="1"/>
  <c r="B3381" i="1" a="1"/>
  <c r="B3381" i="1" s="1"/>
  <c r="B3382" i="1" a="1"/>
  <c r="B3382" i="1" s="1"/>
  <c r="B3383" i="1" a="1"/>
  <c r="B3383" i="1" s="1"/>
  <c r="B3384" i="1" a="1"/>
  <c r="B3384" i="1" s="1"/>
  <c r="B3385" i="1" a="1"/>
  <c r="B3385" i="1" s="1"/>
  <c r="B3386" i="1" a="1"/>
  <c r="B3386" i="1" s="1"/>
  <c r="B3387" i="1" a="1"/>
  <c r="B3387" i="1" s="1"/>
  <c r="B3388" i="1" a="1"/>
  <c r="B3388" i="1" s="1"/>
  <c r="B3389" i="1" a="1"/>
  <c r="B3389" i="1" s="1"/>
  <c r="B3390" i="1" a="1"/>
  <c r="B3390" i="1" s="1"/>
  <c r="B3391" i="1" a="1"/>
  <c r="B3391" i="1" s="1"/>
  <c r="B3392" i="1" a="1"/>
  <c r="B3392" i="1" s="1"/>
  <c r="B3393" i="1" a="1"/>
  <c r="B3393" i="1" s="1"/>
  <c r="B3394" i="1" a="1"/>
  <c r="B3394" i="1" s="1"/>
  <c r="B3395" i="1" a="1"/>
  <c r="B3395" i="1" s="1"/>
  <c r="B3396" i="1" a="1"/>
  <c r="B3396" i="1" s="1"/>
  <c r="B3397" i="1" a="1"/>
  <c r="B3397" i="1" s="1"/>
  <c r="B3398" i="1" a="1"/>
  <c r="B3398" i="1" s="1"/>
  <c r="B3399" i="1" a="1"/>
  <c r="B3399" i="1" s="1"/>
  <c r="B3400" i="1" a="1"/>
  <c r="B3400" i="1" s="1"/>
  <c r="B3401" i="1" a="1"/>
  <c r="B3401" i="1" s="1"/>
  <c r="B3402" i="1" a="1"/>
  <c r="B3402" i="1" s="1"/>
  <c r="B3403" i="1" a="1"/>
  <c r="B3403" i="1" s="1"/>
  <c r="B3404" i="1" a="1"/>
  <c r="B3404" i="1" s="1"/>
  <c r="B3405" i="1" a="1"/>
  <c r="B3405" i="1" s="1"/>
  <c r="B3406" i="1" a="1"/>
  <c r="B3406" i="1" s="1"/>
  <c r="B3407" i="1" a="1"/>
  <c r="B3407" i="1" s="1"/>
  <c r="B3408" i="1" a="1"/>
  <c r="B3408" i="1" s="1"/>
  <c r="B3409" i="1" a="1"/>
  <c r="B3409" i="1" s="1"/>
  <c r="B3410" i="1" a="1"/>
  <c r="B3410" i="1" s="1"/>
  <c r="B3411" i="1" a="1"/>
  <c r="B3411" i="1" s="1"/>
  <c r="B3412" i="1" a="1"/>
  <c r="B3412" i="1" s="1"/>
  <c r="B3413" i="1" a="1"/>
  <c r="B3413" i="1" s="1"/>
  <c r="B3414" i="1" a="1"/>
  <c r="B3414" i="1" s="1"/>
  <c r="B3415" i="1" a="1"/>
  <c r="B3415" i="1" s="1"/>
  <c r="B3416" i="1" a="1"/>
  <c r="B3416" i="1" s="1"/>
  <c r="B3417" i="1" a="1"/>
  <c r="B3417" i="1" s="1"/>
  <c r="B3418" i="1" a="1"/>
  <c r="B3418" i="1" s="1"/>
  <c r="B3419" i="1" a="1"/>
  <c r="B3419" i="1" s="1"/>
  <c r="B3420" i="1" a="1"/>
  <c r="B3420" i="1" s="1"/>
  <c r="B3421" i="1" a="1"/>
  <c r="B3421" i="1" s="1"/>
  <c r="B3422" i="1" a="1"/>
  <c r="B3422" i="1" s="1"/>
  <c r="B3423" i="1" a="1"/>
  <c r="B3423" i="1" s="1"/>
  <c r="B3424" i="1" a="1"/>
  <c r="B3424" i="1" s="1"/>
  <c r="B3425" i="1" a="1"/>
  <c r="B3425" i="1" s="1"/>
  <c r="B3426" i="1" a="1"/>
  <c r="B3426" i="1" s="1"/>
  <c r="B3427" i="1" a="1"/>
  <c r="B3427" i="1" s="1"/>
  <c r="B3428" i="1" a="1"/>
  <c r="B3428" i="1" s="1"/>
  <c r="B3429" i="1" a="1"/>
  <c r="B3429" i="1" s="1"/>
  <c r="B3430" i="1" a="1"/>
  <c r="B3430" i="1" s="1"/>
  <c r="B3431" i="1" a="1"/>
  <c r="B3431" i="1" s="1"/>
  <c r="B3432" i="1" a="1"/>
  <c r="B3432" i="1" s="1"/>
  <c r="B3433" i="1" a="1"/>
  <c r="B3433" i="1" s="1"/>
  <c r="B3434" i="1" a="1"/>
  <c r="B3434" i="1" s="1"/>
  <c r="B3435" i="1" a="1"/>
  <c r="B3435" i="1" s="1"/>
  <c r="B3436" i="1" a="1"/>
  <c r="B3436" i="1" s="1"/>
  <c r="B3437" i="1" a="1"/>
  <c r="B3437" i="1" s="1"/>
  <c r="B3438" i="1" a="1"/>
  <c r="B3438" i="1" s="1"/>
  <c r="B3439" i="1" a="1"/>
  <c r="B3439" i="1" s="1"/>
  <c r="B3440" i="1" a="1"/>
  <c r="B3440" i="1" s="1"/>
  <c r="B3441" i="1" a="1"/>
  <c r="B3441" i="1" s="1"/>
  <c r="B3442" i="1" a="1"/>
  <c r="B3442" i="1" s="1"/>
  <c r="B3443" i="1" a="1"/>
  <c r="B3443" i="1" s="1"/>
  <c r="B3444" i="1" a="1"/>
  <c r="B3444" i="1" s="1"/>
  <c r="B3445" i="1" a="1"/>
  <c r="B3445" i="1" s="1"/>
  <c r="B3446" i="1" a="1"/>
  <c r="B3446" i="1" s="1"/>
  <c r="B3447" i="1" a="1"/>
  <c r="B3447" i="1" s="1"/>
  <c r="B3448" i="1" a="1"/>
  <c r="B3448" i="1" s="1"/>
  <c r="B3449" i="1" a="1"/>
  <c r="B3449" i="1" s="1"/>
  <c r="B3450" i="1" a="1"/>
  <c r="B3450" i="1" s="1"/>
  <c r="B3451" i="1" a="1"/>
  <c r="B3451" i="1" s="1"/>
  <c r="B3452" i="1" a="1"/>
  <c r="B3452" i="1" s="1"/>
  <c r="B3453" i="1" a="1"/>
  <c r="B3453" i="1" s="1"/>
  <c r="B3454" i="1" a="1"/>
  <c r="B3454" i="1" s="1"/>
  <c r="B3455" i="1" a="1"/>
  <c r="B3455" i="1" s="1"/>
  <c r="B3456" i="1" a="1"/>
  <c r="B3456" i="1" s="1"/>
  <c r="B3457" i="1" a="1"/>
  <c r="B3457" i="1" s="1"/>
  <c r="B3458" i="1" a="1"/>
  <c r="B3458" i="1" s="1"/>
  <c r="B3459" i="1" a="1"/>
  <c r="B3459" i="1" s="1"/>
  <c r="B3460" i="1" a="1"/>
  <c r="B3460" i="1" s="1"/>
  <c r="B3461" i="1" a="1"/>
  <c r="B3461" i="1" s="1"/>
  <c r="B3462" i="1" a="1"/>
  <c r="B3462" i="1" s="1"/>
  <c r="B3463" i="1" a="1"/>
  <c r="B3463" i="1" s="1"/>
  <c r="B3464" i="1" a="1"/>
  <c r="B3464" i="1" s="1"/>
  <c r="B3465" i="1" a="1"/>
  <c r="B3465" i="1" s="1"/>
  <c r="B3466" i="1" a="1"/>
  <c r="B3466" i="1" s="1"/>
  <c r="B3467" i="1" a="1"/>
  <c r="B3467" i="1" s="1"/>
  <c r="B3468" i="1" a="1"/>
  <c r="B3468" i="1" s="1"/>
  <c r="B3469" i="1" a="1"/>
  <c r="B3469" i="1" s="1"/>
  <c r="B3470" i="1" a="1"/>
  <c r="B3470" i="1" s="1"/>
  <c r="B3471" i="1" a="1"/>
  <c r="B3471" i="1" s="1"/>
  <c r="B3472" i="1" a="1"/>
  <c r="B3472" i="1" s="1"/>
  <c r="B3473" i="1" a="1"/>
  <c r="B3473" i="1" s="1"/>
  <c r="B3474" i="1" a="1"/>
  <c r="B3474" i="1" s="1"/>
  <c r="B3475" i="1" a="1"/>
  <c r="B3475" i="1" s="1"/>
  <c r="B3476" i="1" a="1"/>
  <c r="B3476" i="1" s="1"/>
  <c r="B3477" i="1" a="1"/>
  <c r="B3477" i="1" s="1"/>
  <c r="B3478" i="1" a="1"/>
  <c r="B3478" i="1" s="1"/>
  <c r="B3479" i="1" a="1"/>
  <c r="B3479" i="1" s="1"/>
  <c r="B3480" i="1" a="1"/>
  <c r="B3480" i="1" s="1"/>
  <c r="B3481" i="1" a="1"/>
  <c r="B3481" i="1" s="1"/>
  <c r="B3482" i="1" a="1"/>
  <c r="B3482" i="1" s="1"/>
  <c r="B3483" i="1" a="1"/>
  <c r="B3483" i="1" s="1"/>
  <c r="B3484" i="1" a="1"/>
  <c r="B3484" i="1" s="1"/>
  <c r="B3485" i="1" a="1"/>
  <c r="B3485" i="1" s="1"/>
  <c r="B3486" i="1" a="1"/>
  <c r="B3486" i="1" s="1"/>
  <c r="B3487" i="1" a="1"/>
  <c r="B3487" i="1" s="1"/>
  <c r="B3488" i="1" a="1"/>
  <c r="B3488" i="1" s="1"/>
  <c r="B3489" i="1" a="1"/>
  <c r="B3489" i="1" s="1"/>
  <c r="B3490" i="1" a="1"/>
  <c r="B3490" i="1" s="1"/>
  <c r="B3491" i="1" a="1"/>
  <c r="B3491" i="1" s="1"/>
  <c r="B3492" i="1" a="1"/>
  <c r="B3492" i="1" s="1"/>
  <c r="B3493" i="1" a="1"/>
  <c r="B3493" i="1" s="1"/>
  <c r="B3494" i="1" a="1"/>
  <c r="B3494" i="1" s="1"/>
  <c r="B3495" i="1" a="1"/>
  <c r="B3495" i="1" s="1"/>
  <c r="B3496" i="1" a="1"/>
  <c r="B3496" i="1" s="1"/>
  <c r="B3497" i="1" a="1"/>
  <c r="B3497" i="1" s="1"/>
  <c r="B3498" i="1" a="1"/>
  <c r="B3498" i="1" s="1"/>
  <c r="B3499" i="1" a="1"/>
  <c r="B3499" i="1" s="1"/>
  <c r="D2" i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<sst xmlns="http://schemas.openxmlformats.org/spreadsheetml/2006/main" count="19569" uniqueCount="7979">
  <si>
    <t>product_name</t>
  </si>
  <si>
    <t>category_large</t>
  </si>
  <si>
    <t>category_medium</t>
  </si>
  <si>
    <t>item_type</t>
  </si>
  <si>
    <t>grocery_item_name</t>
  </si>
  <si>
    <t>brand_name</t>
  </si>
  <si>
    <t>국내산 라온 미니 파프리카, 200g, 1개 3,910원 (100g당 1,955원) 내일(일) 새벽 도착 보장 5 (11261) 최대 195원 적립</t>
  </si>
  <si>
    <t>채소</t>
  </si>
  <si>
    <t>파프리카</t>
  </si>
  <si>
    <t>라온</t>
  </si>
  <si>
    <t>[크라운] 콘칲 군옥수수맛 148g</t>
  </si>
  <si>
    <t>과자/스낵</t>
  </si>
  <si>
    <t>콘칲</t>
  </si>
  <si>
    <t>크라운</t>
  </si>
  <si>
    <t>[파스키에] 살구타르트 720g</t>
  </si>
  <si>
    <t>디저트/케이크</t>
  </si>
  <si>
    <t>타르트</t>
  </si>
  <si>
    <t>파스키에</t>
  </si>
  <si>
    <t>[맥시칸] 크리스피 치킨 2종 (소스 포함)(택1)</t>
  </si>
  <si>
    <t>냉동식품</t>
  </si>
  <si>
    <t>냉동 치킨</t>
  </si>
  <si>
    <t>맥시칸</t>
  </si>
  <si>
    <t>[바샤커피] 파인 플레이버 커피 드립백 12g X 12개입 10종(택1)</t>
  </si>
  <si>
    <t>커피/차</t>
  </si>
  <si>
    <t>커피</t>
  </si>
  <si>
    <t>바샤커피</t>
  </si>
  <si>
    <t>[김구원선생] 전통 두부 2개입</t>
  </si>
  <si>
    <t>콩/두부</t>
  </si>
  <si>
    <t>두부</t>
  </si>
  <si>
    <t>김구원선생</t>
  </si>
  <si>
    <t>[켈로그] 콘푸로스트 시리얼바 (35g*4개입)</t>
  </si>
  <si>
    <t>시리얼바</t>
  </si>
  <si>
    <t>켈로그</t>
  </si>
  <si>
    <t>[하림] 냉장 닭가슴살 4종 (3개입)</t>
  </si>
  <si>
    <t>닭고기</t>
  </si>
  <si>
    <t>닭가슴살</t>
  </si>
  <si>
    <t>하림</t>
  </si>
  <si>
    <t>[위니비니] 새콤 사우어 젤리 5종 골라담기 (택1)</t>
  </si>
  <si>
    <t>초콜릿/사탕</t>
  </si>
  <si>
    <t>젤리</t>
  </si>
  <si>
    <t>위니비니</t>
  </si>
  <si>
    <t>[26년 설] [CU 픽업] 닛카프롬더배럴</t>
  </si>
  <si>
    <t>기타 주류</t>
  </si>
  <si>
    <t>위스키</t>
  </si>
  <si>
    <t>닛카</t>
  </si>
  <si>
    <t>[신사동 포노 부오노] 히든 천재의 쉬림프 바질 오일 파스타</t>
  </si>
  <si>
    <t>밀키트</t>
  </si>
  <si>
    <t>신사동 포노 부오노</t>
  </si>
  <si>
    <t>[26년 설] [CU 픽업] 러셀리저브싱글배럴</t>
  </si>
  <si>
    <t>맑은물에 아삭한 콩나물, 3.5kg, 1박스 6,500원 (100g당 186원) 내일(일) 새벽 도착 보장 4.5 (12967) 최대 295원 적립</t>
  </si>
  <si>
    <t>콩나물</t>
  </si>
  <si>
    <t>맑은물에</t>
  </si>
  <si>
    <t>롯데웰푸드 셀렉션 더 싱글 초코 아이스크림 (냉동), 50ml, 10개입, 1박스 11%8,000원 7,060원 (10ml당 141원) 내일(일) 새벽 도착 보장 5 (8559) 최대 353원 적립</t>
  </si>
  <si>
    <t>아이스크림</t>
  </si>
  <si>
    <t>롯데</t>
  </si>
  <si>
    <t>까테나 자파타 안젤리카 자파타 까베르네소비뇽</t>
  </si>
  <si>
    <t>와인</t>
  </si>
  <si>
    <t>레드 와인</t>
  </si>
  <si>
    <t>[26년 설] [CU 픽업] 조니워커블루500세트</t>
  </si>
  <si>
    <t>조니워커</t>
  </si>
  <si>
    <t>유기농 오이 2개입, 1팩 4,990원 (1개당 2,495원) 내일(일) 새벽 도착 보장 4.5 (587) 최대 250원 적립</t>
  </si>
  <si>
    <t>오이</t>
  </si>
  <si>
    <t>[올가] 우리밀 통단팥 호빵 (90g X 4개)</t>
  </si>
  <si>
    <t>빵류</t>
  </si>
  <si>
    <t>호빵</t>
  </si>
  <si>
    <t>올가</t>
  </si>
  <si>
    <t>[고메공방] 우리밀로 만든 흑미호떡 (50g X 10개)</t>
  </si>
  <si>
    <t>호떡</t>
  </si>
  <si>
    <t>고메공방</t>
  </si>
  <si>
    <t>국내산 취청오이, 3입, 1개 4,290원 (1개당 1,430원) 내일(일) 새벽 도착 보장 4.5 (50371) 최대 215원 적립</t>
  </si>
  <si>
    <t>[Kurly's] 동물복지 닭 아랫날개 (윙) 500g</t>
  </si>
  <si>
    <t>닭날개</t>
  </si>
  <si>
    <t>Kurly's</t>
  </si>
  <si>
    <t>하이트진로 블랙보리 음료, 340ml, 20개 13,990원 (100ml당 206원) 내일(일) 도착 보장 5 (95301) 최대 700원 적립</t>
  </si>
  <si>
    <t>보리차</t>
  </si>
  <si>
    <t>[대상웰라이프] 마이밀 한입쏙쏙 프로틴바 15입</t>
  </si>
  <si>
    <t>프로틴바</t>
  </si>
  <si>
    <t>대상웰라이프</t>
  </si>
  <si>
    <t>[비달] 오션 젤리 32개입</t>
  </si>
  <si>
    <t>비달</t>
  </si>
  <si>
    <t>[올가] 국산 통밀 크리스피 크래커 3종 (택1)</t>
  </si>
  <si>
    <t>크래커</t>
  </si>
  <si>
    <t>[25-26 햇올리브][이리아다] 얼리 하베스트 엑스트라 버진 오일 500mL</t>
  </si>
  <si>
    <t>조미료</t>
  </si>
  <si>
    <t>식용유/기름</t>
  </si>
  <si>
    <t>올리브오일</t>
  </si>
  <si>
    <t>이리아다</t>
  </si>
  <si>
    <t>[하리보] 미니스 젤리 5종 (택1) (개별포장)</t>
  </si>
  <si>
    <t>하리보</t>
  </si>
  <si>
    <t>[마정기름집] 100% 통깨 햇참기름 2종 (택1)</t>
  </si>
  <si>
    <t>참기름</t>
  </si>
  <si>
    <t>마정기름집</t>
  </si>
  <si>
    <t>[프로틴플러스프로젝트] 프로틴 케이크 6종 (택1)</t>
  </si>
  <si>
    <t>프로틴 케이크</t>
  </si>
  <si>
    <t>프로틴 플러스 프로젝트</t>
  </si>
  <si>
    <t>[26년 설] [CU 픽업] 조니워커블루750ml</t>
  </si>
  <si>
    <t>[CU 픽업] 기원배치7 CS 700ml</t>
  </si>
  <si>
    <t>[밀라] 마스카포네 치즈 250g</t>
  </si>
  <si>
    <t>치즈</t>
  </si>
  <si>
    <t>밀라</t>
  </si>
  <si>
    <t>[주전부리마켓] 전주가맥 바삭한 먹태채 40g (소스증정)</t>
  </si>
  <si>
    <t>멸치/건어물</t>
  </si>
  <si>
    <t>먹태</t>
  </si>
  <si>
    <t>주전부리마켓</t>
  </si>
  <si>
    <t>포크밸리 등갈비 찜용 / 구이용 (냉장), 1kg, 1개 16%34,000원 28,490원 (100g당 2,849원) 내일(일) 새벽 도착 보장 5 (18853) 최대 1,425원 적립</t>
  </si>
  <si>
    <t>돼지고기</t>
  </si>
  <si>
    <t>등갈비</t>
  </si>
  <si>
    <t>포크벨리</t>
  </si>
  <si>
    <t>[면사랑] 조랭이떡 500g (지퍼백)</t>
  </si>
  <si>
    <t>떡</t>
  </si>
  <si>
    <t>조랭이떡</t>
  </si>
  <si>
    <t>면사랑</t>
  </si>
  <si>
    <t>팜에이트 파채 120g + 무침소스 30g 세트, 150g, 1세트 2,490원 (100g당 1,660원) 내일(일) 새벽 도착 보장 5 (775) 최대 125원 적립</t>
  </si>
  <si>
    <t>파채</t>
  </si>
  <si>
    <t>팜에이트</t>
  </si>
  <si>
    <t>미니오이 5입</t>
  </si>
  <si>
    <t>곰표 박력 밀가루, 2.5kg, 2개 8,200원 (10g당 16원) 내일(일) 도착 보장 5 (18370) 최대 410원 적립</t>
  </si>
  <si>
    <t>가루분말</t>
  </si>
  <si>
    <t>밀가루</t>
  </si>
  <si>
    <t>곰표</t>
  </si>
  <si>
    <t>[마음이가] 우리쌀 조랭이떡 500g</t>
  </si>
  <si>
    <t>마음이가</t>
  </si>
  <si>
    <t>[허쉬] 바나나핫초코 원컵 (30g X 4개)</t>
  </si>
  <si>
    <t>우유/두유</t>
  </si>
  <si>
    <t>초코우유</t>
  </si>
  <si>
    <t>허쉬</t>
  </si>
  <si>
    <t>오뚜기 옛날 조청 쌀엿, 1.2kg, 1개 5,670원 (100g당 473원) 내일(일) 새벽 도착 보장 5 (1998) 최대 284원 적립</t>
  </si>
  <si>
    <t>양념/소스</t>
  </si>
  <si>
    <t>조청</t>
  </si>
  <si>
    <t>오뚜기</t>
  </si>
  <si>
    <t>[종가] 맛김치 900g</t>
  </si>
  <si>
    <t>반찬류</t>
  </si>
  <si>
    <t>배추김치</t>
  </si>
  <si>
    <t>종가</t>
  </si>
  <si>
    <t>[샘표] 순작 우리아이 첫 작두콩차 (2g X 15개)</t>
  </si>
  <si>
    <t>작두콩차</t>
  </si>
  <si>
    <t>샘표</t>
  </si>
  <si>
    <t>[BBQ] 오븐구이 닭다리살 (허브솔트) 300g</t>
  </si>
  <si>
    <t>BBQ</t>
  </si>
  <si>
    <t>[더플랜] 목련 어묵 우동 3종 (1인분/2인분)(택1)</t>
  </si>
  <si>
    <t>어육가공식품</t>
  </si>
  <si>
    <t>어묵</t>
  </si>
  <si>
    <t>더플랜</t>
  </si>
  <si>
    <t>[CU 픽업] 다카라 오키나와 파인애플</t>
  </si>
  <si>
    <t>리큐르</t>
  </si>
  <si>
    <t>오뚜기 톡톡톡 진라면 스틱 매운맛 10p, 50g, 3개 10%10,140원 9,050원 (100g당 6,033원) 내일(일) 도착 보장 4.5 (115) 최대 453원 적립</t>
  </si>
  <si>
    <t>진라면 스틱</t>
  </si>
  <si>
    <t>MYCHEF 놀부 부대찌개 밀키트 2인분, 582g, 1개 14,900원 (100g당 2,560원) 내일(일) 새벽 도착 보장 4.5 (10730) 최대 745원 적립</t>
  </si>
  <si>
    <t>[KF365] 호주산 소고기 부채살 스테이크 300g(냉장)</t>
  </si>
  <si>
    <t>소고기</t>
  </si>
  <si>
    <t>부채살</t>
  </si>
  <si>
    <t>KF365</t>
  </si>
  <si>
    <t>농심 누룽지팝, 142g, 6개 14,640원 (10g당 172원) 내일(일) 도착 보장 5 (22983) 최대 732원 적립</t>
  </si>
  <si>
    <t>누룽지</t>
  </si>
  <si>
    <t>농심</t>
  </si>
  <si>
    <t>[풀무원] 국산콩 수제두부</t>
  </si>
  <si>
    <t>풀무원</t>
  </si>
  <si>
    <t>풀무원자연건면 로스팅 서울 짜장 99g, 4개 할인24%5,450원 4,140원 (1개당 1,035원) 내일(일) 새벽 도착 보장 4.5 (151) 최대 207원 적립</t>
  </si>
  <si>
    <t>라면</t>
  </si>
  <si>
    <t>로스팅 서울 짜장</t>
  </si>
  <si>
    <t>신선함을 그대로 엘로우믹스 샐러드, 80g, 5팩 11,900원 (100g당 2,975원) 내일(일) 새벽 도착 보장 4.5 (22866) 최대 534원 적립</t>
  </si>
  <si>
    <t>샐러드팩</t>
  </si>
  <si>
    <t>샐러드</t>
  </si>
  <si>
    <t>친환경 국내산 팽이버섯, 360g, 2개 2,010원 (100g당 279원) 내일(일) 새벽 도착 보장 5 (12738) 최대 100원 적립</t>
  </si>
  <si>
    <t>버섯</t>
  </si>
  <si>
    <t>팽이버섯</t>
  </si>
  <si>
    <t>[쉐푸드] 묵은지 참치 김밥</t>
  </si>
  <si>
    <t>즉석밥</t>
  </si>
  <si>
    <t>즉석 김밥</t>
  </si>
  <si>
    <t>쉐푸드</t>
  </si>
  <si>
    <t>오타후쿠 스시스 초밥용 식초, 500ml, 1개 6,260원 (10ml당 125원) 내일(일) 도착 보장 새 상품, 반품-미개봉 (19) 최저5,940원 5 (5192) 최대 313원 적립</t>
  </si>
  <si>
    <t>식초</t>
  </si>
  <si>
    <t>오타후쿠</t>
  </si>
  <si>
    <t>커피빈 아메리카노, 1L, 1개 3,510원 (100ml당 351원) 내일(일) 새벽 도착 보장 5 (4666) 최대 175원 적립</t>
  </si>
  <si>
    <t>커피빈</t>
  </si>
  <si>
    <t>[하이포크] 저탄소 인증 한돈 목살 구이용 500g (냉장)</t>
  </si>
  <si>
    <t>돼지 목살</t>
  </si>
  <si>
    <t>하이포크</t>
  </si>
  <si>
    <t>[앤디스] 토피 크런치 초콜릿 132g</t>
  </si>
  <si>
    <t>초콜릿</t>
  </si>
  <si>
    <t>앤디스</t>
  </si>
  <si>
    <t>청정원 조청쌀엿, 700g, 1개 3,970원 (100g당 567원) 내일(일) 도착 보장 5 (8761) 최대 199원 적립</t>
  </si>
  <si>
    <t>청정원</t>
  </si>
  <si>
    <t>미역/다시마</t>
  </si>
  <si>
    <t>다시마</t>
  </si>
  <si>
    <t>[우오가시] 민물 양념장어</t>
  </si>
  <si>
    <t>우오가시</t>
  </si>
  <si>
    <t>국내산 베이비 브로콜리, 150g, 2개 7,740원 (100g당 2,580원) 내일(일) 새벽 도착 보장 4.5 (1406) 최대 387원 적립</t>
  </si>
  <si>
    <t>브로콜리</t>
  </si>
  <si>
    <t>매일우유 오리지널, 900ml, 2개 5,720원 (100ml당 318원) 내일(일) 새벽 도착 보장 5 (239437) 최대 286원 적립</t>
  </si>
  <si>
    <t>우유</t>
  </si>
  <si>
    <t>매일</t>
  </si>
  <si>
    <t>남양유업 우유 듬뿍 초코에몽, 6개, 200ml 9,240원 (100ml당 770원) 내일(일) 새벽 도착 보장 5 (460) 최대 462원 적립</t>
  </si>
  <si>
    <t>남양</t>
  </si>
  <si>
    <t>친환경 GAP 삼색 느타리버섯 1팩</t>
  </si>
  <si>
    <t>느타리버섯</t>
  </si>
  <si>
    <t>[해태] 구운감자 슬림 240g</t>
  </si>
  <si>
    <t>구운감자</t>
  </si>
  <si>
    <t>해태</t>
  </si>
  <si>
    <t>[브레댄코] 얼그레이케이크 440g</t>
  </si>
  <si>
    <t>케이크</t>
  </si>
  <si>
    <t>브레댄코</t>
  </si>
  <si>
    <t>중앙씨푸드 국산 숨굴 (냉동), 350g, 1개 5,990원 (100g당 1,711원) 내일(일) 새벽 도착 보장 4.5 (3873) 최대 300원 적립</t>
  </si>
  <si>
    <t>조개/전복</t>
  </si>
  <si>
    <t>굴</t>
  </si>
  <si>
    <t>중앙씨푸드</t>
  </si>
  <si>
    <t>[올리] 100% 메밀면 4입번들</t>
  </si>
  <si>
    <t>면류</t>
  </si>
  <si>
    <t>메밀면</t>
  </si>
  <si>
    <t>올리</t>
  </si>
  <si>
    <t>[매일] 바이오 드링킹 요구르트 3종 (250mL X 4개) (택1)</t>
  </si>
  <si>
    <t>요거트</t>
  </si>
  <si>
    <t>요구르트</t>
  </si>
  <si>
    <t>[수산곳간] 국산 오징어 맥반석구이</t>
  </si>
  <si>
    <t>오징어 구이</t>
  </si>
  <si>
    <t>수산곳간</t>
  </si>
  <si>
    <t>[시루조아] 백설기 2종(택1)</t>
  </si>
  <si>
    <t>백설기</t>
  </si>
  <si>
    <t>시루조아</t>
  </si>
  <si>
    <t>[자연담은] 완두콩 1kg</t>
  </si>
  <si>
    <t>완두콩</t>
  </si>
  <si>
    <t>자연담은</t>
  </si>
  <si>
    <t>[바오담] 수제 팥앙금 200g</t>
  </si>
  <si>
    <t>팥앙금</t>
  </si>
  <si>
    <t>바오담</t>
  </si>
  <si>
    <t>[데르뜨] 허쉬 초코퍼지 마들렌&amp;휘낭시에 2종 (택1)</t>
  </si>
  <si>
    <t>휘낭시에</t>
  </si>
  <si>
    <t>데르뜨</t>
  </si>
  <si>
    <t>[파브리 셰프] 새우 레몬 크림 파스타</t>
  </si>
  <si>
    <t>새우/게</t>
  </si>
  <si>
    <t>새우</t>
  </si>
  <si>
    <t>파브리 셰프</t>
  </si>
  <si>
    <t>[허브&amp;스파이스마켓] 마늘분태 (마늘그래뉼)45g</t>
  </si>
  <si>
    <t>갈릭파우더</t>
  </si>
  <si>
    <t>허브&amp;스파이스마켓</t>
  </si>
  <si>
    <t>[진가네반찬] 미역줄기 볶음</t>
  </si>
  <si>
    <t>미역줄기 볶음</t>
  </si>
  <si>
    <t>진가네반찬</t>
  </si>
  <si>
    <t>[베지밀] 달콤한 B 검은콩 두유 (190mL X 24개)</t>
  </si>
  <si>
    <t>두유</t>
  </si>
  <si>
    <t>베지밀</t>
  </si>
  <si>
    <t>갈아만든배 저칼로리, 340ml, 24개 34%19,800원 12,880원 (100ml당 158원) 내일(일) 도착 보장 5 (1922) 최대 644원 적립</t>
  </si>
  <si>
    <t>주스</t>
  </si>
  <si>
    <t>갈아만든 배</t>
  </si>
  <si>
    <t>[동원] 딤섬 부추창펀 (390gX2봉)</t>
  </si>
  <si>
    <t>냉동 만두</t>
  </si>
  <si>
    <t>동원</t>
  </si>
  <si>
    <t>[잭스허니] MGO 83+모노플로랄 마누카꿀 레몬맛 2종 (택1) (쇼핑백 별도구매)</t>
  </si>
  <si>
    <t>꿀</t>
  </si>
  <si>
    <t>잭스허니</t>
  </si>
  <si>
    <t>머거본 볶음땅콩, 300g, 3개 11,870원 (100g당 1,319원) 내일(일) 새벽 도착 보장 5 (809) 최대 594원 적립</t>
  </si>
  <si>
    <t>볶음땅콩</t>
  </si>
  <si>
    <t>도드람한돈 무항생제 인증 미박 뒷다리 불고기용 (냉장), 1개, 500g 7,800원 (100g당 1,560원) 내일(일) 새벽 도착 보장 4.5 (140) 최대 390원 적립</t>
  </si>
  <si>
    <t>불고기</t>
  </si>
  <si>
    <t>도드람한돈</t>
  </si>
  <si>
    <t>[미자언니네] 시골두부조림</t>
  </si>
  <si>
    <t>레트로트</t>
  </si>
  <si>
    <t>미자언니네</t>
  </si>
  <si>
    <t>설탕대신 알룰로스 메이플 시럽, 525g, 1개 22%9,980원 7,750원 (100g당 1,476원) 내일(일) 도착 보장 5 (70) 최대 349원 적립</t>
  </si>
  <si>
    <t>메이플 시럽</t>
  </si>
  <si>
    <t>오이맛고추 150g</t>
  </si>
  <si>
    <t>오이고추</t>
  </si>
  <si>
    <t>고소한 내장 한입 통찜용 오징어 4~7개입 (냉동), 500g, 1개 9,500원 (100g당 1,900원) 내일(일) 새벽 도착 보장 4.5 (450) 최대 425원 적립</t>
  </si>
  <si>
    <t>오징어/문어</t>
  </si>
  <si>
    <t>오징어</t>
  </si>
  <si>
    <t>[목우촌목장] 국내산 소고기 안심 200g</t>
  </si>
  <si>
    <t>소 안심</t>
  </si>
  <si>
    <t>목우촌목장</t>
  </si>
  <si>
    <t>해표 사과식초, 1.8L, 1개 24%4,740원 3,570원 (10ml당 20원) 내일(일) 도착 보장 5 (1790) 최대 179원 적립</t>
  </si>
  <si>
    <t>해표</t>
  </si>
  <si>
    <t>햇반 스팸 김치 주먹밥 (냉동), 500g, 1개 11%8,980원 7,980원 (100g당 1,596원) 내일(일) 새벽 도착 보장 5 (2955) 최대 399원 적립</t>
  </si>
  <si>
    <t>즉석 주먹밥</t>
  </si>
  <si>
    <t>[상하치즈] 리코타치즈 150g</t>
  </si>
  <si>
    <t>리코타 치즈</t>
  </si>
  <si>
    <t>상하치즈</t>
  </si>
  <si>
    <t>만전김 유기가공식품 인증 할아버지가 만든 김, 56g, 1개 10,590원 (10g당 1,891원) 내일(일) 도착 보장 5 (2097) 최대 530원 적립</t>
  </si>
  <si>
    <t>김/자반</t>
  </si>
  <si>
    <t>김</t>
  </si>
  <si>
    <t>만전김</t>
  </si>
  <si>
    <t>[CU 픽업] 디카이퍼바나나</t>
  </si>
  <si>
    <t>디카이퍼</t>
  </si>
  <si>
    <t>[경주천년한우] 1++ 한우 불고기용 200g (냉장)</t>
  </si>
  <si>
    <t>경주천년한우</t>
  </si>
  <si>
    <t>[온하루] 전통 명절 상차림 세트 (3~4인)(예약일 수령)</t>
  </si>
  <si>
    <t>명절 상차림</t>
  </si>
  <si>
    <t>온하루</t>
  </si>
  <si>
    <t>[미자언니네] 황태곰탕</t>
  </si>
  <si>
    <t>일리 클래식 로스트 디카페인 미니 원두커피스틱, 1g, 30개입, 2개 14,100원 (10g당 2,350원) 내일(일) 도착 보장 5 (7518) 최대 705원 적립</t>
  </si>
  <si>
    <t>커피가루</t>
  </si>
  <si>
    <t>[브레댄코] 레인보우케이크 680g</t>
  </si>
  <si>
    <t>[성지농장] 저탄소/동물복지 인증 한돈 항정살 300g (냉장)</t>
  </si>
  <si>
    <t>항정살</t>
  </si>
  <si>
    <t>성지농장</t>
  </si>
  <si>
    <t>도드람한돈 1등급 등심 카레용 (냉장), 500g, 1개 10,340원 (100g당 2,068원) 내일(일) 새벽 도착 보장 5 (17399) 최대 517원 적립</t>
  </si>
  <si>
    <t>돼지 등심</t>
  </si>
  <si>
    <t>[지리산처럼] 행복한 정은씨의 햇참기름 160mL</t>
  </si>
  <si>
    <t>지리산처럼</t>
  </si>
  <si>
    <t>자연애찬 동물복지 무항생제 유정란, 15구, 1개 7,990원 (1구당 533원) 내일(일) 새벽 도착 보장 4.5 (35991) 최대 400원 적립</t>
  </si>
  <si>
    <t>계란</t>
  </si>
  <si>
    <t>자연애찬</t>
  </si>
  <si>
    <t>[농협] [25년산 햇곡] 강원 신림농협 국산 적두 (팥), 1개 18%23,000원 18,780원 (100g당 3,756원) 내일(일) 도착 보장 새 상품, 반품-미개봉 (2) 최저15,980원 4.5 (141) 최대 799원 적립</t>
  </si>
  <si>
    <t>쌀/잡곡</t>
  </si>
  <si>
    <t>팥</t>
  </si>
  <si>
    <t>농협</t>
  </si>
  <si>
    <t>[오설록] 바닐라 허니 블랙티 티백 (1.5g X 20개)</t>
  </si>
  <si>
    <t>블랙티</t>
  </si>
  <si>
    <t>오설록</t>
  </si>
  <si>
    <t>호우섬 홍콩 밀크티, 350ml, 6개 19%13,800원 11,100원 (100ml당 529원) 내일(일) 도착 보장 4.5 (1699) 최대 527원 적립</t>
  </si>
  <si>
    <t>밀크티</t>
  </si>
  <si>
    <t>[만토바] 비보 오가닉 엑스트라버진 스프레이 200mL</t>
  </si>
  <si>
    <t>만토바</t>
  </si>
  <si>
    <t>[수산곳간] 반건조한치 70g</t>
  </si>
  <si>
    <t>한치</t>
  </si>
  <si>
    <t>[태극당] 모나카 아이스크림 3종 (60mL X 5개) (택1)</t>
  </si>
  <si>
    <t>태극당</t>
  </si>
  <si>
    <t>[키토케토] 투투컷 혈당컷 알파CD CLA 애플사이다비니거 14포</t>
  </si>
  <si>
    <t>애플사이다비니거</t>
  </si>
  <si>
    <t>키토케토</t>
  </si>
  <si>
    <t>[선물세트] 자연산 왕새우 세트 1.3kg (특)</t>
  </si>
  <si>
    <t>트레핀 커피맛 캔디, 500g, 1개 7,440원 (10g당 149원) 내일(일) 도착 보장 5 (36869) 최대 372원 적립</t>
  </si>
  <si>
    <t>커피사탕</t>
  </si>
  <si>
    <t>트레핀</t>
  </si>
  <si>
    <t>스타벅스 아이스 아메리카노 캡슐커피, 5.5g, 12개입, 1개 7,990원 (10g당 1,211원) 내일(일) 도착 보장 5 (8373) 최대 400원 적립</t>
  </si>
  <si>
    <t>커피캡슐</t>
  </si>
  <si>
    <t>스타벅스</t>
  </si>
  <si>
    <t>[선물세트] 남도우애 무항생제 1++ 한우 프리미엄 모둠세트 1호 (예약일 수령)</t>
  </si>
  <si>
    <t>소고기 모둠</t>
  </si>
  <si>
    <t>남도우애</t>
  </si>
  <si>
    <t>[광천해저김] 짜지않은 김 16봉</t>
  </si>
  <si>
    <t>광천해저김</t>
  </si>
  <si>
    <t>친환경 한끼 양파, 400g, 1개 2,140원 (100g당 535원) 내일(일) 새벽 도착 보장 5 (705) 최대 107원 적립</t>
  </si>
  <si>
    <t>양파</t>
  </si>
  <si>
    <t>친환경</t>
  </si>
  <si>
    <t>[스위치온] 오붓티 붓기차 3종(택1)</t>
  </si>
  <si>
    <t>기타</t>
  </si>
  <si>
    <t>스위치온</t>
  </si>
  <si>
    <t>대구상회 햄프씨드, 500g, 1개 33%8,980원 5,980원 (100g당 1,196원) 내일(일) 도착 보장 4.5 (2460) 최대 299원 적립</t>
  </si>
  <si>
    <t>햄프씨드</t>
  </si>
  <si>
    <t>대구상회</t>
  </si>
  <si>
    <t>해찬들 저당 쌈장, 290g, 1개 45%7,980원 4,380원 (100g당 1,510원) 내일(일) 도착 보장 5 (240) 최대 219원 적립</t>
  </si>
  <si>
    <t>쌈장</t>
  </si>
  <si>
    <t>해찬들</t>
  </si>
  <si>
    <t>남양유업 불가리스 포도, 150ml, 4개입, 2개 8,810원 (10ml당 73원) 내일(일) 새벽 도착 보장 5 (15482) 최대 440원 적립</t>
  </si>
  <si>
    <t>불가리스</t>
  </si>
  <si>
    <t>[라비퀸] 매콤 까르보나라 떡볶이</t>
  </si>
  <si>
    <t>라비퀸</t>
  </si>
  <si>
    <t>[CU픽업] 탄타카탄시소우메슈</t>
  </si>
  <si>
    <t>사케</t>
  </si>
  <si>
    <t>곰곰 맛술 매실&amp;생강, 900ml, 1개 31%4,120원 2,830원 (10ml당 31원) 내일(일) 도착 보장 5 (3591) 최대 134원 적립</t>
  </si>
  <si>
    <t>맛술</t>
  </si>
  <si>
    <t>곰곰</t>
  </si>
  <si>
    <t>[동서] 끓여먹는 차 5종 (택1)</t>
  </si>
  <si>
    <t>차</t>
  </si>
  <si>
    <t>동서</t>
  </si>
  <si>
    <t>맥심 모카골드 부드러운 블랙 커피믹스, 2.7g, 100개입, 1개 4%15,900원 15,110원 (10g당 560원) 내일(일) 도착 보장 4.5 (24575) 최대 755원 적립</t>
  </si>
  <si>
    <t>커피믹스</t>
  </si>
  <si>
    <t>맥심</t>
  </si>
  <si>
    <t>토굴 모과생강청 600g</t>
  </si>
  <si>
    <t>모과생강청</t>
  </si>
  <si>
    <t>토굴</t>
  </si>
  <si>
    <t>[연경당] 피칸 강정 130g</t>
  </si>
  <si>
    <t>강정</t>
  </si>
  <si>
    <t>연경당</t>
  </si>
  <si>
    <t>[올리타리아] 포도씨유 500mL</t>
  </si>
  <si>
    <t>포도씨유</t>
  </si>
  <si>
    <t>올리타리아</t>
  </si>
  <si>
    <t>곰곰 신선한 저지방우유, 2.3L, 2개 9,560원 (100ml당 208원) 내일(일) 새벽 도착 보장 5 (44382) 최대 478원 적립</t>
  </si>
  <si>
    <t>저지방 우유</t>
  </si>
  <si>
    <t>[애슐리] 시그니처 등심 스테이크 200g(냉동)</t>
  </si>
  <si>
    <t>애슐리</t>
  </si>
  <si>
    <t>[홈앤키즈] 구워만든 제주 유정란 쿠키 50g</t>
  </si>
  <si>
    <t>쿠키</t>
  </si>
  <si>
    <t>홈앤키즈</t>
  </si>
  <si>
    <t>카누 바닐라 라떼 커피믹스, 17.3g, 24개입, 1개 10,570원 (10g당 255원) 내일(일) 새벽 도착 보장 5 (358) 최대 529원 적립</t>
  </si>
  <si>
    <t>바닐라 라떼</t>
  </si>
  <si>
    <t xml:space="preserve">카누 </t>
  </si>
  <si>
    <t>이롬 황성주 박사의 국산콩 두유 검은콩 고칼슘, 190ml, 48개 50%53,800원 26,840원 (100ml당 294원) 내일(일) 도착 보장 5 (171169) 최대 1,342원 적립</t>
  </si>
  <si>
    <t>이롬</t>
  </si>
  <si>
    <t>[서울마님] 저당 곤약 떡볶이</t>
  </si>
  <si>
    <t>서울마님</t>
  </si>
  <si>
    <t>[데체코] 엑스트라버진 올리브 오일 2종 (택1)</t>
  </si>
  <si>
    <t>데체코</t>
  </si>
  <si>
    <t>[마이노멀] 방탄커피 (230mL X 6개)</t>
  </si>
  <si>
    <t>마이노멀</t>
  </si>
  <si>
    <t>무항생제 인증 제주 목초 우유, 750ml, 1개 4,900원 (100ml당 653원) 내일(일) 새벽 도착 보장 5 (1604) 최대 245원 적립</t>
  </si>
  <si>
    <t>[풍요한아침] 고명용 계란지단 (냉장) 350g</t>
  </si>
  <si>
    <t>계란지단</t>
  </si>
  <si>
    <t>풍요한아침</t>
  </si>
  <si>
    <t>[타르트팜] 버라이어티 타르트 세트 (60g X 6개입)</t>
  </si>
  <si>
    <t>타르트팜</t>
  </si>
  <si>
    <t>[고래사] 야채가득 사각어묵 225g*2봉</t>
  </si>
  <si>
    <t>고래사</t>
  </si>
  <si>
    <t>[하겐다즈] 아이스크림 바 5종 (80mL X 3개) (택1)</t>
  </si>
  <si>
    <t>하겐다즈</t>
  </si>
  <si>
    <t>설탕대신 스테비아, 400g, 1개 51%8,980원 4,400원 (100g당 1,100원) 내일(일) 도착 보장 5 (68245) 최대 220원 적립</t>
  </si>
  <si>
    <t>스테비아</t>
  </si>
  <si>
    <t>설탕대신</t>
  </si>
  <si>
    <t>[바디랩] 서리태 순수두유 99.9 (190mL X 24개)</t>
  </si>
  <si>
    <t>바디랩</t>
  </si>
  <si>
    <t>[야미요밀] 치아바타 3종 (택1)</t>
  </si>
  <si>
    <t>치아바타</t>
  </si>
  <si>
    <t>야미요밀</t>
  </si>
  <si>
    <t>[디 바르베로] 레드 하트 틴 솔티드 카라멜 &amp; 다크 잔두야 초콜릿 150g</t>
  </si>
  <si>
    <t>디 바르베로</t>
  </si>
  <si>
    <t>[바름팜] 간편하게 손질한 깍뚝 무 300g</t>
  </si>
  <si>
    <t>무</t>
  </si>
  <si>
    <t>바름팜</t>
  </si>
  <si>
    <t>살맛나요 탱글탱글 요리하기 편한 절단 낙지 (냉장), 200g, 2개 11,460원 (10g당 287원) 내일(일) 새벽 도착 보장 4.5 (5354) 최대 573원 적립</t>
  </si>
  <si>
    <t>낙지</t>
  </si>
  <si>
    <t>살맛나요</t>
  </si>
  <si>
    <t>[선물세트] 전통주 대대로영농 진도 홍주 루비콘 (40도 500mL)</t>
  </si>
  <si>
    <t>전통주</t>
  </si>
  <si>
    <t>홍주</t>
  </si>
  <si>
    <t>선물세트</t>
  </si>
  <si>
    <t>[비움반찬] 밥새우 호박씨볶음</t>
  </si>
  <si>
    <t>새우볶음</t>
  </si>
  <si>
    <t>비움반찬</t>
  </si>
  <si>
    <t>[진실된손맛] 한돈 육전 (냉동)</t>
  </si>
  <si>
    <t>육전</t>
  </si>
  <si>
    <t>진실된손맛</t>
  </si>
  <si>
    <t>[지리산처럼] 행복한 정은씨의 고소한 들깨가루 150g</t>
  </si>
  <si>
    <t>들깨가루</t>
  </si>
  <si>
    <t>[거대곰탕] 곰탕</t>
  </si>
  <si>
    <t>거대곰탕</t>
  </si>
  <si>
    <t>[CU 픽업] 뛰느방 베이비 배드 보이</t>
  </si>
  <si>
    <t>[청담동 피양옥] 이북식 만두</t>
  </si>
  <si>
    <t>청담동 피양옥</t>
  </si>
  <si>
    <t>[벨로타벨로타] 이베리코 벨로타 하몽 50g (중)</t>
  </si>
  <si>
    <t>가공육(햄/소시지)</t>
  </si>
  <si>
    <t>하몽</t>
  </si>
  <si>
    <t>벨로타벨로타</t>
  </si>
  <si>
    <t>[스키피] 땅콩버터 462g 2종 (택1)</t>
  </si>
  <si>
    <t>버터/생크림</t>
  </si>
  <si>
    <t>땅콩 버터</t>
  </si>
  <si>
    <t>스키피</t>
  </si>
  <si>
    <t>오뚜기 고소한 골드 마요네즈, 1kg, 1개 7,370원 (100g당 737원) 내일(일) 도착 보장 5 (56110) 최대 369원 적립</t>
  </si>
  <si>
    <t>마요네즈</t>
  </si>
  <si>
    <t>곰곰 간편 누룽지, 30g, 12개 21%19,200원 14,990원 (100g당 4,164원) 내일(일) 도착 보장 5 (29177) 최대 750원 적립</t>
  </si>
  <si>
    <t>미트엔조이 시즈닝 부채살 스테이크 (냉동), 1개, 150g 6,400원 (100g당 4,267원) 내일(일) 새벽 도착 보장 4.5 (585) 최대 320원 적립</t>
  </si>
  <si>
    <t>[해찬들]사계절쌈장500g</t>
  </si>
  <si>
    <t>국내산 오징어슬라이스 (냉동), 300g, 1개 7,390원 (100g당 2,463원) 내일(일) 새벽 도착 보장 5 (19837) 최대 370원 적립</t>
  </si>
  <si>
    <t>[리터스포트] 큐브 초콜릿 3종</t>
  </si>
  <si>
    <t>리터스포트</t>
  </si>
  <si>
    <t>[쿠엔즈버킷] 국산 들기름 100mL (저온압착)</t>
  </si>
  <si>
    <t>들기름</t>
  </si>
  <si>
    <t>쿠엔즈버킷</t>
  </si>
  <si>
    <t>자연초 생율무가루, 300g, 1개 8,400원 (100g당 2,800원) 내일(일) 도착 보장 4.5 (3351) 최대 420원 적립</t>
  </si>
  <si>
    <t>율무가루</t>
  </si>
  <si>
    <t>자연초</t>
  </si>
  <si>
    <t>[CU 픽업] 라세니스몰배치</t>
  </si>
  <si>
    <t>[윤슬] 꼬리새우살 180g (냉장)</t>
  </si>
  <si>
    <t>윤슬</t>
  </si>
  <si>
    <t>[경주천년한우] 1++ 한우 안심 구이용 200g (냉장)</t>
  </si>
  <si>
    <t>맥심 화이트골드 커피믹스 400T, 11.7g, 1개입, 400개 26%70,000원 51,170원 (10g당 109원) 2/11(수) 도착 예정 5 (302208) 최대 2,559원 적립</t>
  </si>
  <si>
    <t>[켈로그] 프링글스 버터카라멜맛 110g</t>
  </si>
  <si>
    <t>프링글스</t>
  </si>
  <si>
    <t>[바이탈뷰티] 슈퍼레티놀C 30포</t>
  </si>
  <si>
    <t>바이탈뷰티</t>
  </si>
  <si>
    <t>[CU 픽업] 러셀싱글배럴라이</t>
  </si>
  <si>
    <t>[집반찬연구소] 저당 양파 고추 장아찌</t>
  </si>
  <si>
    <t>고추장아찌</t>
  </si>
  <si>
    <t>집반찬연구소</t>
  </si>
  <si>
    <t>[비스퀴테리 엠오] 쿠키 15입 세트 357g</t>
  </si>
  <si>
    <t>비스퀴테리 엠오</t>
  </si>
  <si>
    <t>[CU 픽업] 키쿠마사무네긴리치</t>
  </si>
  <si>
    <t>[선물세트] ASC인증 기장산 숙성미역</t>
  </si>
  <si>
    <t>미역</t>
  </si>
  <si>
    <t>[CU 픽업] 에반윌리엄스싱글배럴</t>
  </si>
  <si>
    <t>[KF365] 한돈 찜갈비 800g(냉장)</t>
  </si>
  <si>
    <t>돼지갈비</t>
  </si>
  <si>
    <t>[도리깨침] 7가지 채소찜 시즌 2 (2인분/저당소스 포함)</t>
  </si>
  <si>
    <t>도리깨침</t>
  </si>
  <si>
    <t>[하리보] 스타믹스 젤리 1kg (대용량)</t>
  </si>
  <si>
    <t>[오뚜기] 옛날 구수한 누룽지 240g</t>
  </si>
  <si>
    <t>[덴마크] 리코타 치즈 150g</t>
  </si>
  <si>
    <t>덴마크</t>
  </si>
  <si>
    <t>곰곰 박력 밀가루, 3kg, 1개 17%6,000원 4,960원 (100g당 165원) 내일(일) 도착 보장 5 (1343) 최대 223원 적립</t>
  </si>
  <si>
    <t>[사리원] 훈제오리 무쌈</t>
  </si>
  <si>
    <t>사리원</t>
  </si>
  <si>
    <t>아담스 프리미엄 파마산 치즈가루 1kg, 1개 12,860원 (100g당 1,286원) 내일(일) 도착 보장 4.5 (938) 최대 643원 적립</t>
  </si>
  <si>
    <t>파마산 치즈 가루</t>
  </si>
  <si>
    <t>아담스</t>
  </si>
  <si>
    <t>[CU 픽업] 제임슨블랙배럴</t>
  </si>
  <si>
    <t>[팔리니] 유러피언 그레이티드 치즈 227g</t>
  </si>
  <si>
    <t>팔리니</t>
  </si>
  <si>
    <t>덴마크 동물복지 인증 대니쉬 우유, 750ml, 1개 3,610원 (100ml당 481원) 내일(일) 새벽 도착 보장 5 (407) 최대 180원 적립</t>
  </si>
  <si>
    <t>[풀무원] 김치 생 수제비 2인분</t>
  </si>
  <si>
    <t>양파 1.5kg</t>
  </si>
  <si>
    <t>[매일] 허쉬 초콜릿 드링크 (235mL X 4개)</t>
  </si>
  <si>
    <t>국내산 현미, 5kg, 1개 22%21,900원 16,900원 (100g당 338원) 내일(일) 도착 보장 4.5 (9862) 최대 845원 적립</t>
  </si>
  <si>
    <t>현미</t>
  </si>
  <si>
    <t>[자연담은] 유기농 골든퀸 2호 현미 4kg</t>
  </si>
  <si>
    <t>[소와나무] 쿨피스 파인애플 930mL</t>
  </si>
  <si>
    <t>쿨피스</t>
  </si>
  <si>
    <t>소와나무</t>
  </si>
  <si>
    <t>[도제식빵] 트러플 식빵 180g</t>
  </si>
  <si>
    <t>식빵</t>
  </si>
  <si>
    <t>도제식빵</t>
  </si>
  <si>
    <t>[호정가] 왕찹쌀약과 (대) (50g X 10개)</t>
  </si>
  <si>
    <t>약과</t>
  </si>
  <si>
    <t>호정가</t>
  </si>
  <si>
    <t>[헬카페] 시그니처 블렌드 강배전 드립백 (12g X 14개)</t>
  </si>
  <si>
    <t>커피 드립백</t>
  </si>
  <si>
    <t>헬카페</t>
  </si>
  <si>
    <t>[CU 픽업] 코노수르 20배럴 샤도네이</t>
  </si>
  <si>
    <t>화이트 와인</t>
  </si>
  <si>
    <t>[네이처오다] 달칩 초코샌드 세트 (4박스 x 4개입)</t>
  </si>
  <si>
    <t>초코샌드</t>
  </si>
  <si>
    <t>네이처오다</t>
  </si>
  <si>
    <t>[누누반] 통 닭가슴살 곤약 도시락 5종 (2개입) (택1)</t>
  </si>
  <si>
    <t>즉석 도시락</t>
  </si>
  <si>
    <t>누누반</t>
  </si>
  <si>
    <t>[아르토스베이커리] 통밀 모닝빵 (40g X 14개)</t>
  </si>
  <si>
    <t>모닝빵</t>
  </si>
  <si>
    <t>아르토스베이커리</t>
  </si>
  <si>
    <t>[몽블랑] 큐브 스낵 치즈 100g 3종 (택1)</t>
  </si>
  <si>
    <t>몽블랑</t>
  </si>
  <si>
    <t>국산 다짐 새우살 80g (냉동)</t>
  </si>
  <si>
    <t>[청정원] 순창 조개멸치된장 450g</t>
  </si>
  <si>
    <t>된장</t>
  </si>
  <si>
    <t>[타코맨] 나쵸 토틸라칩 320g</t>
  </si>
  <si>
    <t>나쵸</t>
  </si>
  <si>
    <t>타코맨</t>
  </si>
  <si>
    <t>[KF365] 무항생제 한돈 인기 요리용 7종 (택1)(냉장)</t>
  </si>
  <si>
    <t>모둠 돼지고기</t>
  </si>
  <si>
    <t>[반찬단지] 한끼 스틱 비빔낙지젓</t>
  </si>
  <si>
    <t>낙지젓갈</t>
  </si>
  <si>
    <t>반찬단지</t>
  </si>
  <si>
    <t>[디핀] 단호박 크림 뇨끼</t>
  </si>
  <si>
    <t>디핀</t>
  </si>
  <si>
    <t>[밀도] 리치식빵 480g</t>
  </si>
  <si>
    <t>밀도</t>
  </si>
  <si>
    <t>왕의밥상 새싹 발아현미, 4kg, 1개 17%22,900원 18,900원 (100g당 473원) 내일(일) 도착 보장 4.5 (2106) 최대 945원 적립</t>
  </si>
  <si>
    <t>왕의밥상</t>
  </si>
  <si>
    <t>친환경 가지, 2개입, 1개 4,690원 (1개당 2,345원) 내일(일) 새벽 도착 보장 5 (2614) 최대 235원 적립</t>
  </si>
  <si>
    <t>가지</t>
  </si>
  <si>
    <t>곰곰 촉촉 반숙란 (냉장), 15구, 1개 31%10,990원 7,490원 (1구당 499원) 내일(일) 새벽 도착 보장 4.5 (155526) 최대 375원 적립</t>
  </si>
  <si>
    <t>반숙란</t>
  </si>
  <si>
    <t xml:space="preserve">곰곰 </t>
  </si>
  <si>
    <t>비비고 김치볶음, 80g, 5개 29%9,980원 6,990원 (100g당 1,748원) 내일(일) 새벽 도착 보장 5 (10270) 최대 350원 적립</t>
  </si>
  <si>
    <t>김치볶음</t>
  </si>
  <si>
    <t>비비고</t>
  </si>
  <si>
    <t>파스퇴르 속편한 쾌변 저지방 플레인 요구르트, 150ml, 4개입, 1개 5,680원 (10ml당 95원) 내일(일) 새벽 도착 보장 5 (5407) 최대 284원 적립</t>
  </si>
  <si>
    <t>파스퇴르</t>
  </si>
  <si>
    <t>[마루산] 유바리멜론 스팀 케이크 (20g X 12개)</t>
  </si>
  <si>
    <t>마루산</t>
  </si>
  <si>
    <t>[그리팅] 한우듬뿍배추탕 620g</t>
  </si>
  <si>
    <t>그리팅</t>
  </si>
  <si>
    <t>[라콩비에트] AOP 가염 버터 (15gX30개입)</t>
  </si>
  <si>
    <t>버터</t>
  </si>
  <si>
    <t>라콩비에트</t>
  </si>
  <si>
    <t>롯데웰푸드 에이비씨 초콜릿, 187g, 1개 쿠폰할인4%5,230원 4,980원 (10g당 266원) 내일(일) 도착 보장 5 (31967) 최대 249원 적립</t>
  </si>
  <si>
    <t>[요와나이] 하이볼향 무알콜 (350mL X 24캔)</t>
  </si>
  <si>
    <t>하이볼</t>
  </si>
  <si>
    <t>요와나이</t>
  </si>
  <si>
    <t>[삼진어묵] 간편 꼬치어묵 우동</t>
  </si>
  <si>
    <t>삼진어묵</t>
  </si>
  <si>
    <t>오뚜기 순후추, 100g, 1개 6,160원 (10g당 616원) 내일(일) 새벽 도착 보장 5 (15096) 최대 308원 적립</t>
  </si>
  <si>
    <t>향신료/허브</t>
  </si>
  <si>
    <t>후추</t>
  </si>
  <si>
    <t>[풀무원] 식물성 지구식단 납작 두유면 3입</t>
  </si>
  <si>
    <t>두유면</t>
  </si>
  <si>
    <t>[헤베커피] 콜드브루 500mL</t>
  </si>
  <si>
    <t>헤베커피</t>
  </si>
  <si>
    <t>곰곰 버팔로윙봉, 700g, 1개 11,230원 (100g당 1,604원) 내일(일) 새벽 도착 보장 4.5 (5121) 최대 561원 적립</t>
  </si>
  <si>
    <t>청양고추 80g</t>
  </si>
  <si>
    <t>청양고추</t>
  </si>
  <si>
    <t>[마이셰프] 전주식 해장 콩나물국밥</t>
  </si>
  <si>
    <t>마이셰프</t>
  </si>
  <si>
    <t>조인 깐메추리알, 500g, 1개 5,290원 (100g당 1,058원) 내일(일) 새벽 도착 보장 5 (72467) 최대 265원 적립</t>
  </si>
  <si>
    <t>메추리알</t>
  </si>
  <si>
    <t>조인</t>
  </si>
  <si>
    <t>[일상味소] 국내산 소고기 등심 스테이크/구이 2종 (냉장)</t>
  </si>
  <si>
    <t>소 등심</t>
  </si>
  <si>
    <t>일상味소</t>
  </si>
  <si>
    <t>본죽 쇠고기죽 (냉장), 271.5g, 2개 7,850원 (100g당 1,446원) 내일(일) 새벽 도착 보장 4.5 (1199) 최대 393원 적립</t>
  </si>
  <si>
    <t>죽</t>
  </si>
  <si>
    <t>본죽</t>
  </si>
  <si>
    <t>[로얄오렌지] 네덜란드 고다/에담/마스담/에멘탈 슬라이스 치즈 150g 4종 (택1)</t>
  </si>
  <si>
    <t>로얄오렌지</t>
  </si>
  <si>
    <t>[아티제] 녹차 카스텔라 200g</t>
  </si>
  <si>
    <t>녹차</t>
  </si>
  <si>
    <t>카스텔</t>
  </si>
  <si>
    <t>펩시 제로 슈거 라임 1.25L 12개 (업소용) 할인53%11,190원 5,190원 (100ml당 35원) 2/11(수) 도착 예정 5 (6422) 최대 260원 적립</t>
  </si>
  <si>
    <t>탄산음료</t>
  </si>
  <si>
    <t>펩시 제로 라임</t>
  </si>
  <si>
    <t xml:space="preserve">펩시 </t>
  </si>
  <si>
    <t>[롯데웰푸드] 제로 미니바이트 밀크&amp;초코 아이스크림 (38mL X 10개입)</t>
  </si>
  <si>
    <t>좋은소식 한우 1등급 칼로다진 이유식용 (냉장), 300g, 1개 22,700원 (100g당 7,567원) 내일(일) 새벽 도착 보장 4.5 (5517) 최대 1,135원 적립</t>
  </si>
  <si>
    <t>소 다짐육</t>
  </si>
  <si>
    <t>좋은소식</t>
  </si>
  <si>
    <t>쉐프엠 베이컨까르보나라 파스타 4인분, 230g, 4개 14,740원 (100g당 1,602원) 내일(일) 새벽 도착 보장 5 (17448) 최대 737원 적립</t>
  </si>
  <si>
    <t>쉐프엠</t>
  </si>
  <si>
    <t>[유가원] 유기농 바나나칩 230g</t>
  </si>
  <si>
    <t>바나나칩</t>
  </si>
  <si>
    <t>유가원</t>
  </si>
  <si>
    <t>[CU 픽업] 코폴라다이아몬드까쇼</t>
  </si>
  <si>
    <t>[정미소] 고시히카리 현미 4kg</t>
  </si>
  <si>
    <t>정미소</t>
  </si>
  <si>
    <t>[진가네반찬] 파김치</t>
  </si>
  <si>
    <t>[선물세트] 남해안 실속 멸치세트 1호</t>
  </si>
  <si>
    <t>멸치</t>
  </si>
  <si>
    <t>신라면 더 레드 125g, 4개 19%5,850원 4,690원 (1개당 1,173원) 내일(일) 새벽 도착 보장 5 (1695) 최대 235원 적립</t>
  </si>
  <si>
    <t>신라면 더 레드</t>
  </si>
  <si>
    <t>일리 클래식 로스트 디카페인 미니 원두커피스틱, 1g, 30개입, 1개 7,500원 (10g당 2,500원) 내일(일) 도착 보장 5 (7518) 최대 375원 적립</t>
  </si>
  <si>
    <t>일리</t>
  </si>
  <si>
    <t>[CU 픽업] 포티크릭배럴셀렉트</t>
  </si>
  <si>
    <t>[CU 픽업] 밀크앤허니레드와인</t>
  </si>
  <si>
    <t>MY FIRST 처음 만나는 식빵 424g</t>
  </si>
  <si>
    <t>MY FIRST</t>
  </si>
  <si>
    <t>한끼톡톡 청결미 쌀 1.5kg</t>
  </si>
  <si>
    <t>쌀</t>
  </si>
  <si>
    <t>한끼톡톡</t>
  </si>
  <si>
    <t>폰타나 무지방 발사믹 저당 저칼로리 드레싱, 230g, 1개 27%4,480원 3,240원 (100g당 1,409원) 내일(일) 도착 보장 5 (182) 최대 162원 적립</t>
  </si>
  <si>
    <t>발사믹</t>
  </si>
  <si>
    <t>폰타나</t>
  </si>
  <si>
    <t>[잇웨이브] 추억의 1999 옛날 왕돈까스 350g</t>
  </si>
  <si>
    <t>잇웨이브</t>
  </si>
  <si>
    <t>엑스트라 버진 코코넛오일, 450ml, 1개 9,980원 (100ml당 2,218원) 내일(일) 도착 보장 4.5 (10487) 최대 499원 적립</t>
  </si>
  <si>
    <t>코코넛 오일</t>
  </si>
  <si>
    <t>엑스트라</t>
  </si>
  <si>
    <t>[서울우유] 딸기 우유 (200mL X 3개)</t>
  </si>
  <si>
    <t>딸기우유</t>
  </si>
  <si>
    <t>서울우유</t>
  </si>
  <si>
    <t>[선물세트] 까사스 디 후알도  아르베끼나 &amp; 피쿠알 엑스트라버진 세트 (500mlx2병)</t>
  </si>
  <si>
    <t>[복선당] 반반 족발</t>
  </si>
  <si>
    <t>족발</t>
  </si>
  <si>
    <t>복선당</t>
  </si>
  <si>
    <t>[정관장] 홍삼진황 (30일분) + (쇼핑백증정)</t>
  </si>
  <si>
    <t>정관장</t>
  </si>
  <si>
    <t>[키친고메] 굳지 않는 바람떡 2종</t>
  </si>
  <si>
    <t>바람떡</t>
  </si>
  <si>
    <t>고메</t>
  </si>
  <si>
    <t>[선물세트] 조선호텔김치 타이니세트 (예약일수령)</t>
  </si>
  <si>
    <t>호주산 소고기 국거리용 (냉장), 300g, 1개 13%9,990원 8,690원 (100g당 2,897원) 내일(일) 새벽 도착 보장 4.5 (10136) 최대 435원 적립</t>
  </si>
  <si>
    <t>국거리용 소고기</t>
  </si>
  <si>
    <t>호주산</t>
  </si>
  <si>
    <t>[차합시다] 우슬두충 수제차 340g</t>
  </si>
  <si>
    <t>차합시다</t>
  </si>
  <si>
    <t>[드립핑크] 커피 드립백 10g X 20개 2종 (택1)</t>
  </si>
  <si>
    <t>드립핑크</t>
  </si>
  <si>
    <t>[에머이] 소고기 쌀국수 2종 (택1)</t>
  </si>
  <si>
    <t>쌀국수면</t>
  </si>
  <si>
    <t>에머이</t>
  </si>
  <si>
    <t>백설 감자수제비 가루, 500g, 1개 쿠폰할인25%3,280원 2,450원 (100g당 490원) 내일(일) 도착 보장 5 (3988) 최대 123원 적립</t>
  </si>
  <si>
    <t>감자전분</t>
  </si>
  <si>
    <t>백설</t>
  </si>
  <si>
    <t>[디 바르베로] 크림 틴케이스 또론 화이트 초콜릿 105g</t>
  </si>
  <si>
    <t>곰곰 월계수잎, 230g, 1개 28%9,400원 6,680원 (10g당 290원) 내일(일) 도착 보장 새 상품, 반품-미개봉 (2) 최저6,340원 4.5 (1375) 최대 334원 적립</t>
  </si>
  <si>
    <t>월계수잎</t>
  </si>
  <si>
    <t>포스틱 과자, 280g, 1개 4,310원 (10g당 154원) 내일(일) 도착 보장 5 (23308) 최대 215원 적립</t>
  </si>
  <si>
    <t>포스틱</t>
  </si>
  <si>
    <t>자연애찬 무항생제 1+등급 대란, 10구, 1개 4,270원 (1구당 427원) 내일(일) 새벽 도착 보장 5 (2031) 최대 214원 적립</t>
  </si>
  <si>
    <t>[cutie] 미국산 만다린 800g</t>
  </si>
  <si>
    <t>과일</t>
  </si>
  <si>
    <t>만다린</t>
  </si>
  <si>
    <t>cutie</t>
  </si>
  <si>
    <t>[라빠르쉐] 브라운 각설탕 250g</t>
  </si>
  <si>
    <t>설탕</t>
  </si>
  <si>
    <t>라빠르쉐</t>
  </si>
  <si>
    <t>엑스트라버진 올리브오일, 1개, 1L 할인40%26,600원 15,890원 (100ml당 1,589원) 내일(일) 도착 보장 4.5 (5242) 최대 795원 적립</t>
  </si>
  <si>
    <t>[CU 픽업] 오프리16</t>
  </si>
  <si>
    <t>하림 맛닭가슴살 바베큐맛, 100g, 5개입, 2개 30%27,400원 19,160원 (100g당 1,916원) 내일(일) 새벽 도착 보장 5 (5223) 최대 958원 적립</t>
  </si>
  <si>
    <t xml:space="preserve">하림 </t>
  </si>
  <si>
    <t>해맑은푸드 황태채, 200g, 1개 10,900원 (100g당 5,450원) 내일(일) 도착 보장 4.5 (24103) 최대 545원 적립</t>
  </si>
  <si>
    <t>황태</t>
  </si>
  <si>
    <t>해맑은푸드</t>
  </si>
  <si>
    <t>곰곰 호주산 소고기 앞다리살 국거리용 (냉장), 300g, 2개 19%19,800원 15,910원 (100g당 2,652원) 내일(일) 새벽 도착 보장 4.5 (129825) 최대 795원 적립</t>
  </si>
  <si>
    <t>[Dole] 그린 파파야 450g (1개)</t>
  </si>
  <si>
    <t>파파야</t>
  </si>
  <si>
    <t>Dole</t>
  </si>
  <si>
    <t>[라카나스타] 또띠아 3종 (통밀,옥수수,밀/택1)</t>
  </si>
  <si>
    <t>또띠아</t>
  </si>
  <si>
    <t>라카나스타</t>
  </si>
  <si>
    <t>[CU 픽업] 집집락샤도네이</t>
  </si>
  <si>
    <t>집집락</t>
  </si>
  <si>
    <t>[만전김] 햇살과 바람이 길러낸 유기김(무가미) 16개입</t>
  </si>
  <si>
    <t>[연안식당] 백명란젓 250g (냉동)</t>
  </si>
  <si>
    <t>명란젓</t>
  </si>
  <si>
    <t>연안식당</t>
  </si>
  <si>
    <t>[Dole] 스위티오 바나나 2입</t>
  </si>
  <si>
    <t>바나나</t>
  </si>
  <si>
    <t>[서울우유] 스위트 플레인 요거트 (85g X 4개)</t>
  </si>
  <si>
    <t>넛츠팜 구운땅콩, 1kg, 1개 25%15,900원 11,900원 (100g당 1,190원) 내일(일) 도착 보장 4.5 (10359) 최대 595원 적립</t>
  </si>
  <si>
    <t>구운 땅콩</t>
  </si>
  <si>
    <t>넛츠팜</t>
  </si>
  <si>
    <t>동원홈푸드 통항정살 미정선 원육 (냉동), 1kg, 1개 25,380원 (100g당 2,538원) 내일(일) 새벽 도착 보장 4.5 (1927) 최대 1,269원 적립</t>
  </si>
  <si>
    <t>[영준목장] 플레인 요거트 500mL</t>
  </si>
  <si>
    <t>영준목장</t>
  </si>
  <si>
    <t>[한양식품] 꽃보다 오징어 소프트</t>
  </si>
  <si>
    <t>꽃보다 오징어</t>
  </si>
  <si>
    <t>한양식품</t>
  </si>
  <si>
    <t>[법성포참맛] 실속형 영광 굴비 1kg (20미)</t>
  </si>
  <si>
    <t>굴비</t>
  </si>
  <si>
    <t>법성포참맛</t>
  </si>
  <si>
    <t>[키즈다이닝] 소고기 애호박 볶음</t>
  </si>
  <si>
    <t>소고기 애호박 볶음</t>
  </si>
  <si>
    <t>키즈다이닝</t>
  </si>
  <si>
    <t>gomgom 고소한 검은콩 두유, 190ml, 24개 54%22,050원 9,990원 (100ml당 219원) 내일(일) 도착 보장 4.5 (74802) 최대 500원 적립</t>
  </si>
  <si>
    <t>gomgom</t>
  </si>
  <si>
    <t>[룰루맘] 소중한 우리 아이엔 뽀얀 알밤 50g</t>
  </si>
  <si>
    <t>맛밤</t>
  </si>
  <si>
    <t>룰루맘</t>
  </si>
  <si>
    <t>대천김 재래도시락김 세트, 5g, 54개 할인43%35,000원 19,790원 (10g당 733원) 내일(일) 도착 보장 5 (26613) 최대 957원 적립</t>
  </si>
  <si>
    <t>대천김</t>
  </si>
  <si>
    <t>[이즈니] 냉동 대용량 포션 버터 2종</t>
  </si>
  <si>
    <t>이즈니</t>
  </si>
  <si>
    <t>몽베스트 위드어스 무라벨 생수, 330ml, 60개 15,000원 (100ml당 76원) 내일(일) 도착 보장 5 (167582) 최대 750원 적립</t>
  </si>
  <si>
    <t>생수</t>
  </si>
  <si>
    <t>몽베스트</t>
  </si>
  <si>
    <t>[오봉집] 김치 제육볶음 400g</t>
  </si>
  <si>
    <t>오봉집</t>
  </si>
  <si>
    <t>[Dole] 스위티오 바나나 2종</t>
  </si>
  <si>
    <t>맑은물에 촌두부 찌개용, 1개, 300g 990원 (100g당 330원) 내일(일) 새벽 도착 보장 5 (14746) 최대 50원 적립</t>
  </si>
  <si>
    <t>몽베스트 위드어스 무라벨 생수, 500ml, 40개 10,900원 (100ml당 55원) 내일(일) 도착 보장 5 (167582) 최대 545원 적립</t>
  </si>
  <si>
    <t>국내산 흙당근, 2개입, 1개 1,360원 (1개당 680원) 내일(일) 새벽 도착 보장 4.5 (84918) 최대 68원 적립</t>
  </si>
  <si>
    <t>당근</t>
  </si>
  <si>
    <t>[광령] 제주 자리돔쌈장젓 2종 (택1)</t>
  </si>
  <si>
    <t>쌈장젓</t>
  </si>
  <si>
    <t>광령</t>
  </si>
  <si>
    <t>[CU 픽업] 칸티브라케토</t>
  </si>
  <si>
    <t>스파클링 와인</t>
  </si>
  <si>
    <t>[바름팜] 간편하게 손질한 깍뚝 감자 300g</t>
  </si>
  <si>
    <t>감자</t>
  </si>
  <si>
    <t>[델리치오] 와규 햄버거 패티</t>
  </si>
  <si>
    <t>패티</t>
  </si>
  <si>
    <t>델리치오</t>
  </si>
  <si>
    <t>[Dole] 스위티오 실속 파인애플 700g (1통)</t>
  </si>
  <si>
    <t>파인애플</t>
  </si>
  <si>
    <t>곰곰 통밀가득한 식빵, 350g, 2개 4,440원 (10g당 63원) 내일(일) 새벽 도착 보장 5 (23230) 최대 222원 적립</t>
  </si>
  <si>
    <t>[천호엔케어] 흑염소진옥고95 50포</t>
  </si>
  <si>
    <t>천호엔케어</t>
  </si>
  <si>
    <t>[마즈] 트윅스 미니스 초콜릿바 픽앤믹스 600g (60입)</t>
  </si>
  <si>
    <t>트윅스</t>
  </si>
  <si>
    <t>마즈</t>
  </si>
  <si>
    <t>광천김 바삭한 줄줄이김 80p, 80g, 1개 8%13,000원 11,850원 (1세트당 11,850원) 내일(일) 도착 보장 4.5 (363) 최대 593원 적립</t>
  </si>
  <si>
    <t>광천김</t>
  </si>
  <si>
    <t>[더 샤퀴테리아] 이탈리안 살라미</t>
  </si>
  <si>
    <t>살라미</t>
  </si>
  <si>
    <t>더 샤퀴테리아</t>
  </si>
  <si>
    <t>[해아람] 담백한 공주밤 설기 2종 (택1)</t>
  </si>
  <si>
    <t>해아람</t>
  </si>
  <si>
    <t>친환경 저민마늘, 50g, 1개 2,990원 (100g당 5,980원) 내일(일) 새벽 도착 보장 5 (3246) 최대 150원 적립</t>
  </si>
  <si>
    <t>마늘</t>
  </si>
  <si>
    <t>풀무원 생칼국수 4인분, 550g, 1개 4,480원 (100g당 815원) 내일(일) 새벽 도착 보장 5 (10511) 최대 224원 적립</t>
  </si>
  <si>
    <t>[마이하노이] 매운 고기폭탄 쌀국수</t>
  </si>
  <si>
    <t>마이하노이</t>
  </si>
  <si>
    <t>[스웰릿] 아사이볼 샤베트 100g</t>
  </si>
  <si>
    <t>아사이볼</t>
  </si>
  <si>
    <t>스웰릿</t>
  </si>
  <si>
    <t>곰곰 동물복지 구운란, 6구, 1개 3,990원 (1구당 665원) 내일(일) 새벽 도착 보장 5 (7848) 최대 200원 적립</t>
  </si>
  <si>
    <t>구운란</t>
  </si>
  <si>
    <t>[할리스] 컵커피 300mL 3종(택1)</t>
  </si>
  <si>
    <t>할리스</t>
  </si>
  <si>
    <t>[조선호텔김치] 프리미엄 깍두기 1kg</t>
  </si>
  <si>
    <t>깍두기</t>
  </si>
  <si>
    <t>조선호텔김치</t>
  </si>
  <si>
    <t>빨강 파프리카, 1개입, 4개 8,050원 (1개당 2,013원) 내일(일) 새벽 도착 보장 5 (13758) 최대 403원 적립</t>
  </si>
  <si>
    <t>빨강</t>
  </si>
  <si>
    <t>[CJ] 행복한콩 국산콩 촌두부 380G</t>
  </si>
  <si>
    <t>CJ</t>
  </si>
  <si>
    <t>카누 더블샷 라떼 스틱 커피믹스, 13.5g, 50개입, 1개 19,810원 (10g당 293원) 내일(일) 도착 보장 5 (41605) 최대 990원 적립</t>
  </si>
  <si>
    <t>[애슐리] 시카고 딥디쉬 피자</t>
  </si>
  <si>
    <t>냉동 피자</t>
  </si>
  <si>
    <t>[차려낸] 세 가지 해산물 토마토파스타</t>
  </si>
  <si>
    <t>차려낸</t>
  </si>
  <si>
    <t>[미자언니네] 현미 연잎밥</t>
  </si>
  <si>
    <t>즉석밥 현미</t>
  </si>
  <si>
    <t>[지미스 그래놀라] 저당 그래놀라 150g</t>
  </si>
  <si>
    <t>시리얼</t>
  </si>
  <si>
    <t>그래놀라</t>
  </si>
  <si>
    <t>지미스 그래놀라</t>
  </si>
  <si>
    <t>[프루티프루티] 오렌지 자몽 수제청</t>
  </si>
  <si>
    <t>과일청</t>
  </si>
  <si>
    <t>프루티프루티</t>
  </si>
  <si>
    <t>한성기업 콤비부어스트 파티 후랑크 소시지, 330g, 1개 5,630원 (10g당 171원) 내일(일) 새벽 도착 보장 5 (7654) 최대 281원 적립</t>
  </si>
  <si>
    <t>소시지</t>
  </si>
  <si>
    <t>서울에프엔비 어른우유 검은콩미숫가루, 250ml, 12개 16,110원 (100ml당 537원) 내일(일) 새벽 도착 보장 5 (3023) 최대 805원 적립</t>
  </si>
  <si>
    <t>미숫가루</t>
  </si>
  <si>
    <t>서울에프엔비</t>
  </si>
  <si>
    <t>오뚜기 옛날 물엿, 2.45kg, 2개 24%17,360원 13,060원 (100g당 267원) 내일(일) 도착 보장 5 (46073) 최대 653원 적립</t>
  </si>
  <si>
    <t>물엿</t>
  </si>
  <si>
    <t>[풀무원] 김밥용 3색 야채절임</t>
  </si>
  <si>
    <t>야채절임</t>
  </si>
  <si>
    <t>갈비아저씨 제육볶음 608 (냉동), 600g, 1개 7,110원 (100g당 1,185원) 내일(일) 새벽 도착 보장 4.5 (1564) 최대 355원 적립</t>
  </si>
  <si>
    <t>갈비아저씨</t>
  </si>
  <si>
    <t>올리에뜨 산도0.08 유기농 엑스트라버진 올리브오일 스틱, 30개, 10ml 할인42%40,000원 22,900원 (100ml당 7,633원) 내일(일) 도착 보장 5 (274) 최대 1,134원 적립</t>
  </si>
  <si>
    <t>올리에뜨</t>
  </si>
  <si>
    <t>친환경 깐 양파 200g</t>
  </si>
  <si>
    <t>[더찹샵] 올리브 로프 100g</t>
  </si>
  <si>
    <t>햄</t>
  </si>
  <si>
    <t>더찹샵</t>
  </si>
  <si>
    <t>[올가] 고칼슘 고식이섬유 양갱 3종 선물세트 (45g X 14개)</t>
  </si>
  <si>
    <t>양갱</t>
  </si>
  <si>
    <t>[여왕의 논아르] 무알콜 카베르네소비뇽 (350mL X 24캔)</t>
  </si>
  <si>
    <t>여왕의 논아르</t>
  </si>
  <si>
    <t>해태제과 오예스 쿠키 앤 크림, 360g, 2개 7,800원 (10g당 108원) 내일(일) 도착 보장 5 (9790) 최대 390원 적립</t>
  </si>
  <si>
    <t>오예스</t>
  </si>
  <si>
    <t>해태제과</t>
  </si>
  <si>
    <t>[곱창고] 푸짐한 소곱창전골</t>
  </si>
  <si>
    <t>곱창고</t>
  </si>
  <si>
    <t>[제이키친] 떡볶이 2종</t>
  </si>
  <si>
    <t>제이키친</t>
  </si>
  <si>
    <t>[설성목장] 한돈 어린이 육포</t>
  </si>
  <si>
    <t>육포</t>
  </si>
  <si>
    <t>설성목장</t>
  </si>
  <si>
    <t>스타벅스 더블샷 에스프레소&amp;크림 커피, 12개, 200ml 14,750원 (100ml당 615원) 내일(일) 도착 보장 5 (8366) 최대 738원 적립</t>
  </si>
  <si>
    <t>캔커피</t>
  </si>
  <si>
    <t>[동화약품] 부채표 배러푸룬 120ml 10입</t>
  </si>
  <si>
    <t>동화약품</t>
  </si>
  <si>
    <t>[엔업] 소금사탕 (500g)</t>
  </si>
  <si>
    <t>사탕</t>
  </si>
  <si>
    <t>엔업</t>
  </si>
  <si>
    <t>[GRN] 알로에 이뮨젤리+ (14일분)</t>
  </si>
  <si>
    <t>GRN</t>
  </si>
  <si>
    <t>[언니가 숨겨놓은 과자상자] 모둠 전 쿠키세트 330g</t>
  </si>
  <si>
    <t>언니가 숨겨놓은 과자상자</t>
  </si>
  <si>
    <t>[베지밀] 건강맘 두유 (190mL X 16개)</t>
  </si>
  <si>
    <t>[해찬들] 저당 쌈장 290g</t>
  </si>
  <si>
    <t>[Dole] 스위티오 파인애플 슬라이스 540g</t>
  </si>
  <si>
    <t>[흑백요리사] 술 빚는 윤주모 셰프 꽈리고추 돼지고기덮밥 264g (냉장)</t>
  </si>
  <si>
    <t>흑백요리사</t>
  </si>
  <si>
    <t>[Dole] 스위티오 파인애플 청크 400g</t>
  </si>
  <si>
    <t>[Dole] 유기농 바나나 500g</t>
  </si>
  <si>
    <t>[취영루] 육즙가득 그시절 물만두</t>
  </si>
  <si>
    <t>취영루</t>
  </si>
  <si>
    <t>곰곰 온가족 요구르트, 750ml, 1개입, 2개 3,530원 (10ml당 24원) 내일(일) 새벽 도착 보장 5 (21388) 최대 176원 적립</t>
  </si>
  <si>
    <t>[압구정낙지] 낙지 볶음 2종 (택1)</t>
  </si>
  <si>
    <t>압구정낙지</t>
  </si>
  <si>
    <t>[krikri 크리크리] 그리스 그릭 요거트 150g 2종 (택1)</t>
  </si>
  <si>
    <t>krikri 크리크리</t>
  </si>
  <si>
    <t>[마니커에프앤지] 버팔로윙 골드</t>
  </si>
  <si>
    <t>버팔로윙</t>
  </si>
  <si>
    <t>마니커에프앤지</t>
  </si>
  <si>
    <t>[JCDM] 병아리콩 후무스 2종 (택1)</t>
  </si>
  <si>
    <t>잼/스프레드</t>
  </si>
  <si>
    <t>후무스</t>
  </si>
  <si>
    <t>JCDM</t>
  </si>
  <si>
    <t>김수경의 하루생식 28포</t>
  </si>
  <si>
    <t>[글루프레소] 혈당커피 (30일분)</t>
  </si>
  <si>
    <t>글루프레소</t>
  </si>
  <si>
    <t>매일유업 소화가잘되는우유 오리지널, 190ml, 12개 12,500원 (100ml당 548원) 내일(일) 도착 보장 5 (162164) 최대 625원 적립</t>
  </si>
  <si>
    <t>[연경당] 메밀 강정 125g</t>
  </si>
  <si>
    <t>[프레지덩] 슬라이스 치즈 3종</t>
  </si>
  <si>
    <t>프레지덩</t>
  </si>
  <si>
    <t>[린트] 엑셀런스 다크 초콜릿 4종</t>
  </si>
  <si>
    <t>린트</t>
  </si>
  <si>
    <t>햇반 새우볶음밥 2개입 (냉동), 420g, 1개 25%6,580원 4,920원 (100g당 1,171원) 내일(일) 새벽 도착 보장 5 (13681) 최대 246원 적립</t>
  </si>
  <si>
    <t xml:space="preserve">햇반 </t>
  </si>
  <si>
    <t>[99족발] 순살 족발</t>
  </si>
  <si>
    <t>99족발</t>
  </si>
  <si>
    <t>[레인저스벨리] 호주산 흑소MB3+ 업진안살 구이용 200g (냉장)</t>
  </si>
  <si>
    <t>업진살</t>
  </si>
  <si>
    <t>레인저스벨리</t>
  </si>
  <si>
    <t>[이어수산] 8단계 선별한 멸치 해산물 국물팩 2종 (택1)</t>
  </si>
  <si>
    <t>육수팩</t>
  </si>
  <si>
    <t>이어수산</t>
  </si>
  <si>
    <t>[데체코] 엑스트라버진 오일 750mL</t>
  </si>
  <si>
    <t>한끼톡톡 고시히카리  쌀 1.5kg</t>
  </si>
  <si>
    <t>니비시 사시미 간장, 360ml, 2개 5,780원 (100ml당 803원) 내일(일) 도착 보장 5 (10103) 최대 289원 적립</t>
  </si>
  <si>
    <t>간장</t>
  </si>
  <si>
    <t>니비시</t>
  </si>
  <si>
    <t>호텔컬렉션 에센셜 부드러운 소고기 미역국 냉장, 480g, 2개 9%10,980원 9,980원 (100g당 1,040원) 내일(일) 새벽 도착 보장 4.5 (18596) 최대 399원 적립</t>
  </si>
  <si>
    <t>호텔컬렉션</t>
  </si>
  <si>
    <t>하림 양푼김치찌개라면 컵 102g, 3개 4%5,100원 4,870원 (1개당 1,623원) 내일(일) 도착 보장 4.5 (221) 최대 244원 적립</t>
  </si>
  <si>
    <t>양푼 김치찌개 라면</t>
  </si>
  <si>
    <t>린트 엑설런스 85% 코코아 다크 초콜릿, 100g, 1개 6,260원 (10g당 626원) 내일(일) 도착 보장 5 (928) 최대 313원 적립</t>
  </si>
  <si>
    <t>[앵커] 비가염 버터 454g</t>
  </si>
  <si>
    <t>앵커</t>
  </si>
  <si>
    <t>[램테이블] 호주산 양꼬치 250g</t>
  </si>
  <si>
    <t>양고기</t>
  </si>
  <si>
    <t>양꼬치</t>
  </si>
  <si>
    <t>램테이블</t>
  </si>
  <si>
    <t>[쉐푸드] 유부초밥 (9입)</t>
  </si>
  <si>
    <t>즉석 유부초밥</t>
  </si>
  <si>
    <t>[하림] 태양초 닭볶음탕 밀키트</t>
  </si>
  <si>
    <t>[한미양행] 테이크아웃 가르시니아커피 (7일분)</t>
  </si>
  <si>
    <t>한미양행</t>
  </si>
  <si>
    <t>[Dole] 점보 아보카도 500g (2입) (칠레산)</t>
  </si>
  <si>
    <t>아보카도</t>
  </si>
  <si>
    <t>고래밥 핫 매콤양념맛, 56g, 1개 890원 (10g당 159원) 내일(일) 새벽 도착 보장 5 (799) 최대 45원 적립</t>
  </si>
  <si>
    <t>고래밥</t>
  </si>
  <si>
    <t>[채선당] 샤브샤브 밀키트(2인분)</t>
  </si>
  <si>
    <t>채선당</t>
  </si>
  <si>
    <t>동원 마시는유산균 쿨피스 복숭아맛, 350ml, 24개 14,480원 (100ml당 172원) 내일(일) 도착 보장 5 (34054) 최대 724원 적립</t>
  </si>
  <si>
    <t>[칼노트] 치킨 스톡 250g</t>
  </si>
  <si>
    <t>치킨스톡</t>
  </si>
  <si>
    <t>칼노트</t>
  </si>
  <si>
    <t>[피자로빈슨] 뉴욕 메가 슬라이스 피자 5종 (택1)</t>
  </si>
  <si>
    <t>피자로빈슨</t>
  </si>
  <si>
    <t>맑은물에 그리너리 GAP 인증 아삭한 콩나물, 300g, 2개 1,720원 (100g당 287원) 내일(일) 새벽 도착 보장 5 (31691) 최대 86원 적립</t>
  </si>
  <si>
    <t>삼립 발효버터 따베패스츄리, 80g, 4개입, 1개 3,620원 (10g당 113원) 내일(일) 새벽 도착 보장 5 (11036) 최대 181원 적립</t>
  </si>
  <si>
    <t>삼립</t>
  </si>
  <si>
    <t>국내산 친환경 양파, 800g, 2개 5,620원 (100g당 351원) 내일(일) 새벽 도착 보장 4.5 (24404) 최대 281원 적립</t>
  </si>
  <si>
    <t>고미네 볶은 아몬드분말, 500g, 1개 9,900원 (100g당 1,980원) 내일(일) 도착 보장 4.5 (160) 최대 495원 적립</t>
  </si>
  <si>
    <t>아몬드 가루</t>
  </si>
  <si>
    <t>고미네</t>
  </si>
  <si>
    <t>[마켓오] 브라우니 바이트 2종 (택1)</t>
  </si>
  <si>
    <t>브라우니</t>
  </si>
  <si>
    <t>마켓오</t>
  </si>
  <si>
    <t>[Dole] 칠레 아보카도 1kg</t>
  </si>
  <si>
    <t>[진가네반찬] 코다리간장조림</t>
  </si>
  <si>
    <t>[샘표] 국산콩 양조간장 2종 (택1)</t>
  </si>
  <si>
    <t>양조간장</t>
  </si>
  <si>
    <t>[설혜담] 제천 흑염소 진액 30포</t>
  </si>
  <si>
    <t>설혜담</t>
  </si>
  <si>
    <t>곰곰 무항생제 대란, 25구, 1개 7,990원 (1구당 320원) 내일(일) 새벽 도착 보장 4.5 (2432) 최대 400원 적립</t>
  </si>
  <si>
    <t>곰곰 오리지날 닭가슴살 슬라이스 (냉동), 100g, 1개입, 5개 49%19,900원 10,070원 (100g당 2,014원) 내일(일) 새벽 도착 보장 5 (36618) 최대 504원 적립</t>
  </si>
  <si>
    <t>[Sea to Table] 볶음밥용 손질 새우살 200g (냉동) (91/120 사이즈)</t>
  </si>
  <si>
    <t>Sea to Table</t>
  </si>
  <si>
    <t>[비움반찬] 햄감자채볶음</t>
  </si>
  <si>
    <t>감자채 볶음</t>
  </si>
  <si>
    <t>[리얼닥터] 비타민D 5000IU (120일분)</t>
  </si>
  <si>
    <t>참프레 무화과 오리훈제 슬라이스, 500g, 1개 9,620원 (100g당 1,924원) 내일(일) 새벽 도착 보장 5 (1893) 최대 481원 적립</t>
  </si>
  <si>
    <t>오리고기</t>
  </si>
  <si>
    <t>훈제오리</t>
  </si>
  <si>
    <t>참프레</t>
  </si>
  <si>
    <t>[매콤하루] 우삼겹 마라 떡볶이</t>
  </si>
  <si>
    <t>매콤하루</t>
  </si>
  <si>
    <t>[고래사] 어묵면우동</t>
  </si>
  <si>
    <t>[Dole] 특선 바나나 550g</t>
  </si>
  <si>
    <t>곰곰 광천 도시락김, 5g, 32개 19%12,900원 10,420원 (10g당 651원) 내일(일) 도착 보장 새 상품, 반품-미개봉 (2) 최저9,890원 5 (254475) 최대 521원 적립</t>
  </si>
  <si>
    <t>[뉴오리진] 이너플로라 미오이노시톨&amp;콜린 30포</t>
  </si>
  <si>
    <t>뉴오리진</t>
  </si>
  <si>
    <t>[마즈] 엠앤엠즈 500g 2종 (택1)</t>
  </si>
  <si>
    <t>엠엔엠즈</t>
  </si>
  <si>
    <t>[둥구나무] 오이소박이</t>
  </si>
  <si>
    <t>오이소박이</t>
  </si>
  <si>
    <t>둥구나무</t>
  </si>
  <si>
    <t>[안국건강] 안심 비타민C (60일분)</t>
  </si>
  <si>
    <t>안국건강</t>
  </si>
  <si>
    <t>스타벅스 다크 로스트 아메리카노 원두커피믹스, 1.1g, 30개입, 1개 10%10,900원 9,790원 (10g당 2,967원) 내일(일) 도착 보장 5 (13814) 최대 490원 적립</t>
  </si>
  <si>
    <t>[명례헌] 흑임자 인절미 1kg (한판)</t>
  </si>
  <si>
    <t>인절미</t>
  </si>
  <si>
    <t>명례헌</t>
  </si>
  <si>
    <t>비비고 토종김 5호, 1세트 37%13,900원 8,650원 (1세트당 8,650원) 내일(일) 도착 보장 4.5 (1572) 최대 433원 적립</t>
  </si>
  <si>
    <t>[우리밀] 쫀득 인절미 모나카 세트</t>
  </si>
  <si>
    <t>우리밀</t>
  </si>
  <si>
    <t>[KF365] 1+ 한우 등심 300g(냉장)</t>
  </si>
  <si>
    <t>유기농 팝콘용 옥수수 250g</t>
  </si>
  <si>
    <t>옥수수</t>
  </si>
  <si>
    <t>유기농</t>
  </si>
  <si>
    <t>[오뗄블랙라벨] 전지 베이컨</t>
  </si>
  <si>
    <t>베이컨</t>
  </si>
  <si>
    <t>오뗄블랙라벨</t>
  </si>
  <si>
    <t>더단백 드링크 커피 A, 250ml, 18개 30%34,800원 24,320원 (100ml당 540원) 내일(일) 도착 보장 5 (12302) 최대 1,216원 적립</t>
  </si>
  <si>
    <t>더단백</t>
  </si>
  <si>
    <t>해태제과 구운감자, 24g, 30개 14,890원 (10g당 207원) 내일(일) 도착 보장 5 (108318) 최대 707원 적립</t>
  </si>
  <si>
    <t>남양유업 맛있는우유GT 고소한 락토프리, 900ml, 1개 3,780원 (100ml당 420원) 내일(일) 새벽 도착 보장 5 (192140) 최대 189원 적립</t>
  </si>
  <si>
    <t>락토프리 우유</t>
  </si>
  <si>
    <t>[미자언니네 방앗간] 단호박 코코넛 인절미(200g)</t>
  </si>
  <si>
    <t>미자언니네 방앗간</t>
  </si>
  <si>
    <t>연세두유 플레인, 1L, 12개 11,640원 (100ml당 97원) 2/11(수) 도착 예정 4.5 (6673) 최대 582원 적립</t>
  </si>
  <si>
    <t>연세두유</t>
  </si>
  <si>
    <t>친환경 국내산 팽이버섯, 360g, 3개 2,960원 (100g당 274원) 내일(일) 새벽 도착 보장 5 (12739) 최대 148원 적립</t>
  </si>
  <si>
    <t>국내산 이탈리안 파슬리, 30g, 3개 5,670원 (100g당 6,300원) 내일(일) 새벽 도착 보장 5 (8400) 최대 284원 적립</t>
  </si>
  <si>
    <t>파슬리</t>
  </si>
  <si>
    <t>크라운 고소한 땅콩샌드, 279g, 1개 36%4,600원 2,930원 (10g당 105원) 내일(일) 새벽 도착 보장 5 (1696) 최대 146원 적립</t>
  </si>
  <si>
    <t>땅콩샌드</t>
  </si>
  <si>
    <t>[KF365] 애호박 1개</t>
  </si>
  <si>
    <t>애호박</t>
  </si>
  <si>
    <t>[애슐리] 쉬림프&amp;불고기 월남쌈</t>
  </si>
  <si>
    <t>[농심] 짜파게티범벅 6입</t>
  </si>
  <si>
    <t>짜파게티 범벅</t>
  </si>
  <si>
    <t>[진젠] 생강차 10개 3종 (택1)</t>
  </si>
  <si>
    <t>생강차</t>
  </si>
  <si>
    <t>진젠</t>
  </si>
  <si>
    <t>방앗간청년 압력으로 볶은 보리차, 500g, 1개입, 3개 할인51%28,900원 14,020원 (10g당 93원) 내일(일) 도착 보장 5 (13668) 최대 701원 적립</t>
  </si>
  <si>
    <t>[군산 이성당] 쌀찐빵 (100g X 4개입)</t>
  </si>
  <si>
    <t>찐빵</t>
  </si>
  <si>
    <t>군산 이성당</t>
  </si>
  <si>
    <t>[맘마밀] 안심이유식 9개월 4종 (택1)</t>
  </si>
  <si>
    <t>맘마밀</t>
  </si>
  <si>
    <t>[하이트진로] 하이트 제로 포멜로 무알콜 (350mL X 6캔)</t>
  </si>
  <si>
    <t>맥주</t>
  </si>
  <si>
    <t>하이트진로</t>
  </si>
  <si>
    <t>[기장물산] 해산 산모미역</t>
  </si>
  <si>
    <t>기장물산</t>
  </si>
  <si>
    <t>[데체코] 바질페스토 190g</t>
  </si>
  <si>
    <t>바질페스토</t>
  </si>
  <si>
    <t>[두유본색] 단호박 아침두유 (190mL X 10개)</t>
  </si>
  <si>
    <t>두유본색</t>
  </si>
  <si>
    <t>곰곰 with 덴마크 전용목장 우유, 900ml, 1개 2,780원 (100ml당 309원) 내일(일) 새벽 도착 보장 5 (52387) 최대 139원 적립</t>
  </si>
  <si>
    <t>[Dole] 파파야 1개 450g (1개)</t>
  </si>
  <si>
    <t>[ORGA] 검정콩 모닝빵 (26g X 8개입)</t>
  </si>
  <si>
    <t>ORGA</t>
  </si>
  <si>
    <t>[시룰리] 유기농 엑스트라 버진 올리브 오일 3종 (택1)</t>
  </si>
  <si>
    <t>시룰리</t>
  </si>
  <si>
    <t>[풀무원] 발사믹 올리브유 드레싱 525g</t>
  </si>
  <si>
    <t>발사믹 식초</t>
  </si>
  <si>
    <t>제주삼다수 그린 무라벨, 2L, 18개 19,440원 (100ml당 54원) 내일(일) 도착 보장 5 (729952) 최대 972원 적립</t>
  </si>
  <si>
    <t>제주삼다수</t>
  </si>
  <si>
    <t>[조선호텔] 탕수육 450g</t>
  </si>
  <si>
    <t>냉동 탕수육</t>
  </si>
  <si>
    <t>조선호텔</t>
  </si>
  <si>
    <t>[Dole] 필리핀 골드 파인애플 1.5kg (1통)</t>
  </si>
  <si>
    <t>서울우유 아침에주스 사과, 950ml, 1개 3,970원 (100ml당 418원) 내일(일) 새벽 도착 보장 5 (29935) 최대 199원 적립</t>
  </si>
  <si>
    <t>사과 주스</t>
  </si>
  <si>
    <t>엉클탁 불릴필요없는 귀리쌀, 2kg, 1개 37%7,980원 4,980원 (100g당 249원) 내일(일) 도착 보장 4.5 (6676) 최대 249원 적립</t>
  </si>
  <si>
    <t>귀리쌀</t>
  </si>
  <si>
    <t>엉클탁</t>
  </si>
  <si>
    <t>[KF365] 생 등심 돈까스 1kg (냉장)</t>
  </si>
  <si>
    <t>[한끼통살] 닭가슴살 볼 5종 (1팩) (택1)</t>
  </si>
  <si>
    <t>한끼통살</t>
  </si>
  <si>
    <t>샘표 맛간장 조림볶음용, 860ml, 1개 19%8,810원 7,070원 (100ml당 822원) 내일(일) 도착 보장 5 (35622) 최대 354원 적립</t>
  </si>
  <si>
    <t>[횡성축협한우] 1++ 한우 등심 스테이크 200g (냉장)</t>
  </si>
  <si>
    <t>횡성축협한우</t>
  </si>
  <si>
    <t>[Dole] 해금 골드키위 1kg</t>
  </si>
  <si>
    <t>키위</t>
  </si>
  <si>
    <t>남양유업 이오 요구르트, 80ml, 10개입, 1개 4,400원 (10ml당 55원) 내일(일) 새벽 도착 보장 5 (138292) 최대 220원 적립</t>
  </si>
  <si>
    <t>[올드페리도넛] 시그니처 도넛 3종 (2개입) (택1)</t>
  </si>
  <si>
    <t>도넛</t>
  </si>
  <si>
    <t>올드페리도넛</t>
  </si>
  <si>
    <t>[픽앤치즈] 미니 치즈 플래터 222g</t>
  </si>
  <si>
    <t>픽앤치즈</t>
  </si>
  <si>
    <t>오뚜기 컵밥 진짬뽕밥, 217.5g, 2개 22%6,160원 4,800원 (100g당 1,103원) 내일(일) 도착 보장 5 (3988) 최대 240원 적립</t>
  </si>
  <si>
    <t>제누 스테비아 프로틴 단백질 커피믹스, 9.8g, 60개입, 1개 44%49,900원 27,680원 (10g당 471원) 내일(일) 도착 보장 4.5 (9705) 최대 1,384원 적립</t>
  </si>
  <si>
    <t>제누</t>
  </si>
  <si>
    <t>[메종엠오] 휘낭시에 5구 세트 160g</t>
  </si>
  <si>
    <t>메종엠오</t>
  </si>
  <si>
    <t>[룩트] 아이슬란딕 요거트 100g 2종 (택1)</t>
  </si>
  <si>
    <t>룩트</t>
  </si>
  <si>
    <t>[그녀의빵공장] 소금빵 75g</t>
  </si>
  <si>
    <t>소금빵</t>
  </si>
  <si>
    <t>그녀의빵공장</t>
  </si>
  <si>
    <t>[윤고집] 맥주효모환 500g</t>
  </si>
  <si>
    <t>윤고집</t>
  </si>
  <si>
    <t>[미주라] 담백한 크래커 2종 (택1)</t>
  </si>
  <si>
    <t>주라</t>
  </si>
  <si>
    <t>[영준목장] 마스카포네 치즈 150g</t>
  </si>
  <si>
    <t>도드람한돈 앞다리 불고기용 1등급 (냉장), 500g, 1개 9,240원 (100g당 1,848원) 내일(일) 새벽 도착 보장 4.5 (50714) 최대 462원 적립</t>
  </si>
  <si>
    <t>돼지 앞다리살</t>
  </si>
  <si>
    <t>[매일] 폴바셋 어메이징 오트 커피 330ml 2종 (택1)</t>
  </si>
  <si>
    <t>[dole] 후룻볼 망고 4입팩</t>
  </si>
  <si>
    <t>과일컵</t>
  </si>
  <si>
    <t>해표 꽃소금, 1kg, 2개 3,900원 (100g당 195원) 내일(일) 새벽 도착 보장 5 (1937) 최대 195원 적립</t>
  </si>
  <si>
    <t>소금</t>
  </si>
  <si>
    <t>[큰행복] 제주 단호박 앙금이 들어간 달떡 (45g X 8개)</t>
  </si>
  <si>
    <t>큰행복</t>
  </si>
  <si>
    <t>곰곰 알찬 후랑크소시지, 500g, 2개입 11,530원 (10g당 115원) 내일(일) 새벽 도착 보장 5 (26786) 최대 576원 적립</t>
  </si>
  <si>
    <t>[이어수산] 8단계 선별한 볶음조림용 멸치 2종 (택1)</t>
  </si>
  <si>
    <t>[남다른스낵] 감태&amp;오리지널 오란다 (33g X 6개)</t>
  </si>
  <si>
    <t>오란다</t>
  </si>
  <si>
    <t>오리지널</t>
  </si>
  <si>
    <t>[피자로빈슨] 뉴욕 메가 슬라이스 피자 고르곤졸라</t>
  </si>
  <si>
    <t>[서울카스테라] 카스테라 3종 (택1)</t>
  </si>
  <si>
    <t>카스테라</t>
  </si>
  <si>
    <t>서울카스테라</t>
  </si>
  <si>
    <t>국내산 친환경 느타리버섯, 200g, 1개 1,780원 (100g당 890원) 내일(일) 새벽 도착 보장 5 (230187) 최대 89원 적립</t>
  </si>
  <si>
    <t>베지밀 비 달콤한 두유, 190ml, 16개 11,910원 (100ml당 392원) 내일(일) 새벽 도착 보장 새 상품, 반품-미개봉 (2) 최저11,310원 5 (19718) 최대 595원 적립</t>
  </si>
  <si>
    <t>도라지청</t>
  </si>
  <si>
    <t>인기 닭가슴살 12종 (택1)</t>
  </si>
  <si>
    <t>[볼제너뮬러] 유기농 시리얼 2종</t>
  </si>
  <si>
    <t>볼제너뮬러</t>
  </si>
  <si>
    <t>카푸토1924 드라이 이스트, 1개, 100g 5,800원 (100g당 5,800원) 내일(일) 도착 보장 5 (1343) 최대 290원 적립</t>
  </si>
  <si>
    <t>이스트</t>
  </si>
  <si>
    <t>해표 꽃소금, 3kg, 1개 4,900원 (100g당 163원) 내일(일) 도착 보장 5 (11031) 최대 245원 적립</t>
  </si>
  <si>
    <t>곰곰 방울토마토, 500g, 2팩 9,660원 (100g당 966원) 내일(일) 새벽 도착 보장 4.5 (44082) 최대 483원 적립</t>
  </si>
  <si>
    <t>방울토마토</t>
  </si>
  <si>
    <t>해찬들 찍장 쌈장 튜브형, 300g, 1개 44%4,060원 2,250원 (100g당 750원) 내일(일) 새벽 도착 보장 5 (656) 최대 113원 적립</t>
  </si>
  <si>
    <t>대구농산 건강한밥상 국산 현미, 2kg, 1개 46%15,900원 8,490원 (100g당 425원) 내일(일) 새벽 도착 보장 5 (4508) 최대 425원 적립</t>
  </si>
  <si>
    <t>대구농</t>
  </si>
  <si>
    <t>[마이크고메] 화이트트러플 오일 1종 (박스포함)</t>
  </si>
  <si>
    <t>트러플 오일</t>
  </si>
  <si>
    <t>[건어물상회] 국물용멸치 600g</t>
  </si>
  <si>
    <t>건어물상회</t>
  </si>
  <si>
    <t>[농협풍산김치]총각김치 3kg</t>
  </si>
  <si>
    <t>총각김치</t>
  </si>
  <si>
    <t>[Dole] 후룻컵 망고 198g</t>
  </si>
  <si>
    <t>DIAMOND 흰다리 새우살 60~79마리 (냉동), 900g(31/40), 1개 16,950원 (100g당 1,883원) 내일(일) 새벽 도착 보장 5 (5161) 최대 848원 적립</t>
  </si>
  <si>
    <t>DIAMOND</t>
  </si>
  <si>
    <t>[KF365] 미국산 돼지고기 삼겹살 구이용 2종</t>
  </si>
  <si>
    <t>[CU 픽업] 주라18년</t>
  </si>
  <si>
    <t>[전통주] 하이터치 증류소 터치진 (40도 500mL)</t>
  </si>
  <si>
    <t>진</t>
  </si>
  <si>
    <t>지도표성경 재래 전장김, 37g, 5개 32%17,000원 11,500원 (10g당 622원) 내일(일) 도착 보장 새 상품, 반품 (6) 최저10,150원 5 (37278) 최대 575원 적립</t>
  </si>
  <si>
    <t>지도표성경</t>
  </si>
  <si>
    <t>[해태] 미니 자유시간 미니 초콜릿바 380g</t>
  </si>
  <si>
    <t>[에쉬레] 프랑스 홀밀크 멸균우유 1L</t>
  </si>
  <si>
    <t>에쉬레</t>
  </si>
  <si>
    <t>[청춘농장] 정직한 도라지배즙 30포</t>
  </si>
  <si>
    <t>청춘농장</t>
  </si>
  <si>
    <t>하림 IFF 무항생제 인증 닭가슴살 다짐육 이유식용 2단계 (냉동), 300g, 2개 10,590원 (100g당 1,765원) 내일(일) 새벽 도착 보장 5 (6297) 최대 530원 적립</t>
  </si>
  <si>
    <t>못생겨도 맛있는 양송이버섯, 300g, 1개 4,540원 (100g당 1,513원) 내일(일) 새벽 도착 보장 5 (6095) 최대 227원 적립</t>
  </si>
  <si>
    <t>양송이버섯</t>
  </si>
  <si>
    <t>곰곰 동물복지 무항생제 유정란, 1개, 30구 11,950원 (1구당 398원) 내일(일) 새벽 도착 보장 4.5 (361) 최대 598원 적립</t>
  </si>
  <si>
    <t>[녹색한우] 한우 육포 (3개입)</t>
  </si>
  <si>
    <t>녹색한우</t>
  </si>
  <si>
    <t>[둥구나무] 죽순볶음</t>
  </si>
  <si>
    <t>죽순볶음</t>
  </si>
  <si>
    <t>[선물세트] 속초 세렝게티커피 티그레 6종 세트 375g</t>
  </si>
  <si>
    <t>티그레</t>
  </si>
  <si>
    <t>[풀무원] 생만두 고기 시금치 400g</t>
  </si>
  <si>
    <t>[KF365] 밥상의 진미 쌀 10kg</t>
  </si>
  <si>
    <t>[하리보] 골드베렌 젤리 1kg (대용량)</t>
  </si>
  <si>
    <t>[바름팜] 친환경 세척 당근 500g</t>
  </si>
  <si>
    <t>렌틸콩 2KG</t>
  </si>
  <si>
    <t>렌틸콩</t>
  </si>
  <si>
    <t>IQF 냉동 닭가슴살 (냉동), 2kg, 1개 26%19,490원 14,350원 (100g당 718원) 내일(일) 새벽 도착 보장 5 (2303) 최대 718원 적립</t>
  </si>
  <si>
    <t>IQF</t>
  </si>
  <si>
    <t>[비첸향] 슬라이스 육포 3종</t>
  </si>
  <si>
    <t>비첸향</t>
  </si>
  <si>
    <t>[팜에이트] 샐러드 3종</t>
  </si>
  <si>
    <t>사조참치 살코기 안심따개, 135g, 8개 11,820원 (10g당 109원) 내일(일) 도착 보장 5 (194170) 최대 591원 적립</t>
  </si>
  <si>
    <t>참치/스팸캔</t>
  </si>
  <si>
    <t>참치캔</t>
  </si>
  <si>
    <t>사조참치</t>
  </si>
  <si>
    <t>매일바이오 ZERO 요구르트, 190ml, 24개 47%24,000원 12,590원 (10ml당 28원) 내일(일) 도착 보장 5 (6077) 최대 630원 적립</t>
  </si>
  <si>
    <t>곰곰 돌돌말이 무연골 대패 삼겹살 (냉동), 500g, 1개 22%8,990원 6,950원 (100g당 1,390원) 내일(일) 새벽 도착 보장 4.5 (152015) 최대 348원 적립</t>
  </si>
  <si>
    <t>대패 삼겹살</t>
  </si>
  <si>
    <t>[도나스데이] 시그니처 크림도넛 4종 세트</t>
  </si>
  <si>
    <t>도나스데이</t>
  </si>
  <si>
    <t>조각 브로콜리 250g</t>
  </si>
  <si>
    <t>[Sea to Table] 손질 생새우살 500g (냉동)</t>
  </si>
  <si>
    <t>[튀김공방] 크림새우</t>
  </si>
  <si>
    <t>냉동 튀김</t>
  </si>
  <si>
    <t>튀김공방</t>
  </si>
  <si>
    <t>[폴 바셋] Nata 포르투갈 에그타르트 (오리지널)</t>
  </si>
  <si>
    <t>에그타르트</t>
  </si>
  <si>
    <t>[청정원] 리치부어스트 칼집 비엔나 소시지 300g</t>
  </si>
  <si>
    <t>[유기방아] 꿀떡 3종 (택1)</t>
  </si>
  <si>
    <t>꿀떡</t>
  </si>
  <si>
    <t>유기방아</t>
  </si>
  <si>
    <t>[Dole] 후룻컵 파인애플 198g</t>
  </si>
  <si>
    <t>[푸드올로지] 레드비트 진저 샷</t>
  </si>
  <si>
    <t>푸드올로지</t>
  </si>
  <si>
    <t>[라콩비에트] AOP 비가염 버터 (15gX30개입)</t>
  </si>
  <si>
    <t>레쓰비 마일드 커피, 240ml, 30개 할인5%11,380원 10,780원 (100ml당 150원) 2/10(화) 도착 예정 5 (168331) 최대 539원 적립</t>
  </si>
  <si>
    <t>레쓰비</t>
  </si>
  <si>
    <t>[키움정] 키움정 멀티비타민미네랄 구미젤리 (30일분)</t>
  </si>
  <si>
    <t>키움정</t>
  </si>
  <si>
    <t>맥심 아라비카 100 원두 커피믹스, 150g, 1개입, 1개 8,650원 (10g당 577원) 내일(일) 도착 보장 5 (25780) 최대 433원 적립</t>
  </si>
  <si>
    <t>매일유업 소화가 잘되는 우유 단백질, 930ml, 2개 8,000원 (100ml당 430원) 내일(일) 새벽 도착 보장 5 (12097) 최대 400원 적립</t>
  </si>
  <si>
    <t>[비비고] 두부듬뿍 된장찌개 460g</t>
  </si>
  <si>
    <t>이롬 황성주 박사의 국산콩 두유 검은콩 고칼슘, 190ml, 24개 49%26,900원 13,630원 (100ml당 299원) 내일(일) 도착 보장 5 (171167) 최대 681원 적립</t>
  </si>
  <si>
    <t>[해통령] 육수한알 진한 맛 (코인육수/25정)</t>
  </si>
  <si>
    <t>해통령</t>
  </si>
  <si>
    <t>동원 훈제연어 오리지널 (냉동), 180g, 1개 20%11,900원 9,450원 (100g당 5,250원) 내일(일) 새벽 도착 보장 5 (6239) 최대 425원 적립</t>
  </si>
  <si>
    <t>훈제연어</t>
  </si>
  <si>
    <t>[동원] 개성 왕만두 2종 1.2kg (택1)</t>
  </si>
  <si>
    <t>[목우촌] 주부9단 메종 콜드컷햄 비어슁켄 370g</t>
  </si>
  <si>
    <t>목우촌</t>
  </si>
  <si>
    <t>[CnF] 대파&amp;베이컨 크림치즈 100g</t>
  </si>
  <si>
    <t>크림치즈</t>
  </si>
  <si>
    <t>CnF</t>
  </si>
  <si>
    <t>[샘표] 순작 유기농 통알곡 보리차 1kg</t>
  </si>
  <si>
    <t>[비비고] 도톰 동그랑땡</t>
  </si>
  <si>
    <t>곰곰 동물복지 우유, 900ml, 1팩 3,070원 (100ml당 341원) 내일(일) 새벽 도착 보장 5 (7599) 최대 154원 적립</t>
  </si>
  <si>
    <t>[진실된손맛] 한돈 잡채 (냉동)</t>
  </si>
  <si>
    <t>잡채</t>
  </si>
  <si>
    <t>[RARE : 레어] 1++(8) 한우 불고기 200g</t>
  </si>
  <si>
    <t>불고기용 소고기</t>
  </si>
  <si>
    <t>RARE : 레어</t>
  </si>
  <si>
    <t>[레오나르디] 화이트 트러플 발사믹 콘디멘토</t>
  </si>
  <si>
    <t>레오나르디</t>
  </si>
  <si>
    <t>[트와이닝] 티백 3종 (10개) (택1)</t>
  </si>
  <si>
    <t>티백</t>
  </si>
  <si>
    <t>트와이닝</t>
  </si>
  <si>
    <t>[선물세트][전통주] 오봉도 청와대선정주세트_문배술25,이강주19,솔송주13,한산소곡주18</t>
  </si>
  <si>
    <t>증류 소주</t>
  </si>
  <si>
    <t>홈파티 치즈 플래터 더블(2-3인용)</t>
  </si>
  <si>
    <t>홈파티</t>
  </si>
  <si>
    <t>[하림] 용가리 치킨 850g</t>
  </si>
  <si>
    <t>용가리치킨</t>
  </si>
  <si>
    <t>청정원 유기농 흑설탕, 454g, 1개 4,300원 (100g당 947원) 내일(일) 도착 보장 5 (7945) 최대 215원 적립</t>
  </si>
  <si>
    <t>흑설탕</t>
  </si>
  <si>
    <t>조인 무항생제 백색대란, 30구, 1개 8,690원 (1구당 290원) 내일(일) 새벽 도착 보장 5 (94574) 최대 435원 적립</t>
  </si>
  <si>
    <t>[룰루맘] 우리아이 밝은습관 당근사과 20포</t>
  </si>
  <si>
    <t>뚜레반 국산 쌀가루, 1kg, 2개 5%10,000원 9,500원 (100g당 475원) 내일(일) 도착 보장 4.5 (4273) 최대 475원 적립</t>
  </si>
  <si>
    <t>쌀가루</t>
  </si>
  <si>
    <t>뚜레반</t>
  </si>
  <si>
    <t>일리 다크로스트 캡슐커피, 6.7g, 21개입, 1개 16,370원 (10g당 1,163원) 내일(일) 새벽 도착 보장 새 상품, 반품-미개봉 (3) 최저15,550원 5 (684) 최대 819원 적립</t>
  </si>
  <si>
    <t>[김구원선생] 수입 유부 슬라이스</t>
  </si>
  <si>
    <t>유부</t>
  </si>
  <si>
    <t>폰타나 카르니아 베이컨 앤 머쉬룸 크림 파스타 소스, 430g, 1개 43%11,980원 6,800원 (100g당 1,581원) 내일(일) 도착 보장 새 상품, 반품-미개봉 (30) 최저6,460원 5 (43356) 최대 340원 적립</t>
  </si>
  <si>
    <t>CJ명가 씨제이 재래김 12p, 48g, 1개 37%5,480원 3,450원 (10g당 719원) 내일(일) 도착 보장 5 (4777) 최대 173원 적립</t>
  </si>
  <si>
    <t>친환경 꼬마 양배추, 500g, 1개, 500g 2,190원 (100g당 438원) 내일(일) 새벽 도착 보장 4.5 (2888) 최대 110원 적립</t>
  </si>
  <si>
    <t>양배추</t>
  </si>
  <si>
    <t>[Extra No.1 등급] 비이츠 고소한 구운 아몬드, 1개, 500g 할인50%27,800원 13,900원 (100g당 2,780원) 내일(일) 도착 보장 5 (169) 최대 695원 적립</t>
  </si>
  <si>
    <t>견과류</t>
  </si>
  <si>
    <t>아몬드</t>
  </si>
  <si>
    <t>Extra No.1 등급</t>
  </si>
  <si>
    <t>[PPUL] 1++(9) 한우 로스 등심 150g (냉장)</t>
  </si>
  <si>
    <t>PPUL</t>
  </si>
  <si>
    <t>프리미엄 유기농 양배추, 1kg, 1개입, 1개 6,990원 (100g당 699원) 내일(일) 새벽 도착 보장 5 (394) 최대 350원 적립</t>
  </si>
  <si>
    <t>[G7] 퓨어블랙 라이트 2종 (택1)</t>
  </si>
  <si>
    <t>G7</t>
  </si>
  <si>
    <t>[자임] 배도라지 NFC 착즙주스 10포</t>
  </si>
  <si>
    <t>자임</t>
  </si>
  <si>
    <t>[청오건강] 유기농 쌀가루</t>
  </si>
  <si>
    <t>청오건강</t>
  </si>
  <si>
    <t>무농약 설원버섯 400g</t>
  </si>
  <si>
    <t>설원버섯</t>
  </si>
  <si>
    <t>무농약</t>
  </si>
  <si>
    <t>포스트 오곡 코코볼 시리얼, 570g, 1개 5,060원 (100g당 888원) 내일(일) 새벽 도착 보장 5 (14166) 최대 253원 적립</t>
  </si>
  <si>
    <t>코코볼</t>
  </si>
  <si>
    <t>포스트</t>
  </si>
  <si>
    <t>[고추명가] 김치찌개 소스 (150gX3팩)</t>
  </si>
  <si>
    <t>김치찌개 소스</t>
  </si>
  <si>
    <t>고추명가</t>
  </si>
  <si>
    <t>[Fairday] 공정무역 바른 건망고 150g</t>
  </si>
  <si>
    <t>망고</t>
  </si>
  <si>
    <t>Fairday</t>
  </si>
  <si>
    <t>해의락 한겨울광천 도시락김, 5g, 16개 30%7,900원 5,500원 (10g당 688원) 내일(일) 도착 보장 5 (4541) 최대 275원 적립</t>
  </si>
  <si>
    <t>해의락</t>
  </si>
  <si>
    <t>기꼬만 사시미 간장, 150ml, 1개 30%5,000원 3,490원 (100ml당 2,327원) 내일(일) 도착 보장 4.5 (7044) 최대 175원 적립</t>
  </si>
  <si>
    <t>기꼬만</t>
  </si>
  <si>
    <t>맥심 화이트골드 커피믹스, 11.7g, 160개입, 2개 49,700원 (10g당 133원) 내일(일) 도착 보장 5 (302208) 최대 2,485원 적립</t>
  </si>
  <si>
    <t>청오건강 유기농 쌀가루, 350g, 1개 3,750원 (100g당 1,071원) 내일(일) 새벽 도착 보장 5 (637) 최대 188원 적립</t>
  </si>
  <si>
    <t>미역줄기, 300g, 1개 2,530원 (100g당 843원) 내일(일) 새벽 도착 보장 5 (11527) 최대 126원 적립</t>
  </si>
  <si>
    <t>미역줄기</t>
  </si>
  <si>
    <t>[HBAF] 군옥수수맛 아몬드 190g</t>
  </si>
  <si>
    <t>HBAF</t>
  </si>
  <si>
    <t>[PPUL] 1++(9) 한우 등심 덧살 구이용 150g (냉장)</t>
  </si>
  <si>
    <t>[니아르] 브이케어 파인애플맛 28정</t>
  </si>
  <si>
    <t>니아르</t>
  </si>
  <si>
    <t>[한강식품] 닭 안창살 양념구이 300g (냉동)</t>
  </si>
  <si>
    <t>한강식품</t>
  </si>
  <si>
    <t>곰곰 촉촉 반숙란 (냉장), 20구, 1개 35%15,590원 9,980원 (1구당 499원) 내일(일) 새벽 도착 보장 4.5 (155529) 최대 499원 적립</t>
  </si>
  <si>
    <t>[해말린] 두절새우 90g</t>
  </si>
  <si>
    <t>해말린</t>
  </si>
  <si>
    <t>팜에이트 무농약 인증 스마트팜 손질 양상추, 60g, 1개입, 1개 2,390원 (100g당 3,983원) 내일(일) 새벽 도착 보장 4.5 (260) 최대 120원 적립</t>
  </si>
  <si>
    <t>양상추</t>
  </si>
  <si>
    <t>[폼포니오] 엑스트라 버진 올리브 오일 3종 (택1)</t>
  </si>
  <si>
    <t>폼포니오</t>
  </si>
  <si>
    <t>바나듐뿍쌀 4kg</t>
  </si>
  <si>
    <t>[와인앤모어픽업]쌩 클레어 파이오니어 블록 소비뇽 블랑 ((와인))</t>
  </si>
  <si>
    <t>[대흥] 서해안 갯벌에서 자란 동죽조개 1kg (생물)</t>
  </si>
  <si>
    <t>동죽조개</t>
  </si>
  <si>
    <t>대흥</t>
  </si>
  <si>
    <t>[메종드조에] 큐브 쿠키 세트 162g</t>
  </si>
  <si>
    <t>메종드조에</t>
  </si>
  <si>
    <t>[종가] 맛김치 400g</t>
  </si>
  <si>
    <t>[진실된손맛] 미나리 무생채</t>
  </si>
  <si>
    <t>오레오오즈 시리얼, 500g, 1개 12%7,900원 6,950원 (100g당 1,390원) 내일(일) 도착 보장 5 (87862) 최대 348원 적립</t>
  </si>
  <si>
    <t>오레오 오즈</t>
  </si>
  <si>
    <t>[하이트진로] 하이트 제로 무알콜 (350mL X 6캔)</t>
  </si>
  <si>
    <t>[HBAF] 넛츠앤스낵스 땅콩 120g 5종 (택1)</t>
  </si>
  <si>
    <t>땅콩</t>
  </si>
  <si>
    <t>[천지양] 녹용홍삼 진액스틱 현 30포</t>
  </si>
  <si>
    <t>천지양</t>
  </si>
  <si>
    <t>[선물세트] 그래놀라가 들어간 담백견과 4종세트 3호</t>
  </si>
  <si>
    <t>[백설] 갈색설탕 3종</t>
  </si>
  <si>
    <t>대림선 부산어묵 쫄깃한 야채사각 4장, 180g, 2개 2,380원 (100g당 661원) 내일(일) 새벽 도착 보장 5 (6037) 최대 119원 적립</t>
  </si>
  <si>
    <t>대림선</t>
  </si>
  <si>
    <t>[워커힐호텔] 총각김치 3kg</t>
  </si>
  <si>
    <t>워커힐호텔</t>
  </si>
  <si>
    <t>마이산 맥반석 구운란, 30구, 2개 13%27,900원 24,200원 (1구당 403원) 내일(일) 새벽 도착 보장 4.5 (90460) 최대 1,210원 적립</t>
  </si>
  <si>
    <t>마이산</t>
  </si>
  <si>
    <t>대상 종가 맛김치 PET, 300g, 1개 18%5,500원 4,490원 (100g당 1,497원) 내일(일) 새벽 도착 보장 5 (74215) 최대 225원 적립</t>
  </si>
  <si>
    <t>[순창성가정식품] 묵은지 청국장</t>
  </si>
  <si>
    <t>청국장</t>
  </si>
  <si>
    <t>순창성가정식품</t>
  </si>
  <si>
    <t>[RARE : 레어] 1++(8) 한우 대파 말이 150g</t>
  </si>
  <si>
    <t>[레디블룸] 저당 프로틴 그래놀라 3종 (택1)</t>
  </si>
  <si>
    <t>레디블룸</t>
  </si>
  <si>
    <t>탐사 아쿠아 스파클링 플레인 무라벨, 6개, 500ml 39%5,400원 3,290원 (100ml당 110원) 내일(일) 새벽 도착 보장 5 (1672) 최대 165원 적립</t>
  </si>
  <si>
    <t>탄산수</t>
  </si>
  <si>
    <t>탐사</t>
  </si>
  <si>
    <t>유기농 간편 청양고추 120g (냉동)</t>
  </si>
  <si>
    <t>[롯데] 몽쉘 생크림케이크 오리지널 408g</t>
  </si>
  <si>
    <t>몽쉘</t>
  </si>
  <si>
    <t>[마이어] 홀그레인 200ml</t>
  </si>
  <si>
    <t>홀그레인 머스타드</t>
  </si>
  <si>
    <t>마이어</t>
  </si>
  <si>
    <t>[비비고] 묵은지900G</t>
  </si>
  <si>
    <t>묵은지</t>
  </si>
  <si>
    <t>[선물세트] 찜부세 보리굴비 특대 세트 2.2kg (예약일 수령)</t>
  </si>
  <si>
    <t>곰곰 한돈 1등급 등갈비, 1kg, 1개 28,490원 (100g당 2,849원) 내일(일) 새벽 도착 보장 5 (964) 최대 1,425원 적립</t>
  </si>
  <si>
    <t>[사몬타나] 소르베티에라 이탈리아 아이스크림 1kg 2종</t>
  </si>
  <si>
    <t>사몬타나</t>
  </si>
  <si>
    <t>못생겨도 맛있는 청양고추, 300g, 2개 8,690원 (100g당 1,448원) 내일(일) 새벽 도착 보장 4.5 (43057) 최대 435원 적립</t>
  </si>
  <si>
    <t>[더건강한] 직화구이햄 450g</t>
  </si>
  <si>
    <t>더건강한</t>
  </si>
  <si>
    <t>[떡편] 우유 백설기</t>
  </si>
  <si>
    <t>떡편</t>
  </si>
  <si>
    <t>[HBAF] 바프 시즈닝 아몬드 세트</t>
  </si>
  <si>
    <t>하림 용가리 치킨 (냉동), 450g, 1개 7,920원 (100g당 1,760원) 내일(일) 새벽 도착 보장 5 (51711) 최대 396원 적립</t>
  </si>
  <si>
    <t>[정관장] 레네세 홍삼캔디 수 무가당 240g</t>
  </si>
  <si>
    <t>[CU 픽업] 멜로우콘위스키잔세트</t>
  </si>
  <si>
    <t>[팀홀튼] 디카페인 파인 그라인드 (분쇄) 커피 300g</t>
  </si>
  <si>
    <t>팀홀튼</t>
  </si>
  <si>
    <t>가가호호 친들쌀, 3kg, 1개, 특등급 10,400원 (100g당 347원) 내일(일) 도착 보장 새 상품, 반품-미개봉 (2) 최저10,400원 4.5 (131) 최대 520원 적립</t>
  </si>
  <si>
    <t>가가호호</t>
  </si>
  <si>
    <t>SUJIS 그릴드 닭가슴살 (냉장), 550g, 1개입, 1개 쿠폰할인3%12,900원 12,510원 (100g당 2,275원) 내일(일) 새벽 도착 보장 5 (19893) 최대 625원 적립</t>
  </si>
  <si>
    <t>SUJIS</t>
  </si>
  <si>
    <t>[노티드] 베어 케이크 2종 (택1)</t>
  </si>
  <si>
    <t>노티드</t>
  </si>
  <si>
    <t>삼육두유 달콤한 두유 B 파우치, 190ml, 30개 16,300원 (100ml당 286원) 내일(일) 도착 보장 5 (4568) 최대 815원 적립</t>
  </si>
  <si>
    <t>삼육두유</t>
  </si>
  <si>
    <t>쿠킹스토리 칼레 깔리바우트 커버춰 다크 초콜릿 2815, 100g, 1개 9,750원 (10g당 975원) 내일(일) 도착 보장 5 (585) 최대 488원 적립</t>
  </si>
  <si>
    <t>다크 초콜릿</t>
  </si>
  <si>
    <t>쿠킹스토리</t>
  </si>
  <si>
    <t>[고기반찬] 춘천식 양념닭갈비 600g</t>
  </si>
  <si>
    <t>고기반찬</t>
  </si>
  <si>
    <t>[켈로그] 오곡 첵스초코 매직팝핑볼 시리얼 400g</t>
  </si>
  <si>
    <t>첵스초코</t>
  </si>
  <si>
    <t>[백설] 명품 천일염 오천년의 신비 소금 3종 (택1)</t>
  </si>
  <si>
    <t>[HBAF] 시즈닝아몬드 파티팩 300g</t>
  </si>
  <si>
    <t>[블루보틀] 크래프트 인스턴트 커피 블랜드 놀라 (14g X 5개)</t>
  </si>
  <si>
    <t>블루보틀</t>
  </si>
  <si>
    <t>쉐프원 맛술, 2kg, 1개 4,310원 (10g당 22원) 내일(일) 새벽 도착 보장 5 (597) 최대 215원 적립</t>
  </si>
  <si>
    <t>쉐프원</t>
  </si>
  <si>
    <t>[전통주] 금이산농원 복숭아와인 (12도 375mL)</t>
  </si>
  <si>
    <t>[HBAF] 와사비맛 아몬드 190g</t>
  </si>
  <si>
    <t>와사비맛 아몬드</t>
  </si>
  <si>
    <t>국내산 찰현미, 5kg, 1개 16%23,900원 19,900원 (100g당 398원) 내일(일) 도착 보장 5 (4913) 최대 995원 적립</t>
  </si>
  <si>
    <t>[김구원선생] 국산콩 연두부 6입</t>
  </si>
  <si>
    <t>연두부</t>
  </si>
  <si>
    <t>[선물세트] 몽샹82 코인 올인원 누가 크래커 (7g X 24개)</t>
  </si>
  <si>
    <t>[La bocca] 아란시아 초코케이크 556g</t>
  </si>
  <si>
    <t>La bocca</t>
  </si>
  <si>
    <t>[백설] 맛술 생강 800ml</t>
  </si>
  <si>
    <t>[선물세트] 소하동고방 오리진 세트</t>
  </si>
  <si>
    <t>[풀무원] 지구식단 켄터키 프라이드 두부</t>
  </si>
  <si>
    <t>[농심] 인기 봉지 과자 7종 (택1)</t>
  </si>
  <si>
    <t>봉지 과자</t>
  </si>
  <si>
    <t>[어보선] 홍합살 대 300g (냉동)</t>
  </si>
  <si>
    <t>홍합</t>
  </si>
  <si>
    <t>어보선</t>
  </si>
  <si>
    <t>[선물세트] 녹색한우 무항생제 알꼬리&amp;꼬리반골 세트 7kg (냉동)</t>
  </si>
  <si>
    <t>소꼬리</t>
  </si>
  <si>
    <t>[HBAF] 허니버터 아몬드 190g</t>
  </si>
  <si>
    <t>허니버터 아몬드</t>
  </si>
  <si>
    <t>두 마리 99치킨 (에어프라이어용)</t>
  </si>
  <si>
    <t>[하인즈] 굿 마요네즈 295ml</t>
  </si>
  <si>
    <t>하인즈</t>
  </si>
  <si>
    <t>[선물세트] 지리산 꿀 선물세트 2종</t>
  </si>
  <si>
    <t>소화가 잘되는 편안한 우유, 190ml, 12개 12,800원 (100ml당 561원) 내일(일) 새벽 도착 보장 5 (4989) 최대 640원 적립</t>
  </si>
  <si>
    <t>[선물세트] 성경김 캔김 혼합 세트</t>
  </si>
  <si>
    <t>[베키아에누보] 남해마늘 4쪽 마늘빵 (97g X 3개)</t>
  </si>
  <si>
    <t>마늘빵</t>
  </si>
  <si>
    <t>베키아에누보</t>
  </si>
  <si>
    <t>[CU 픽업] 보테가골드</t>
  </si>
  <si>
    <t>청주</t>
  </si>
  <si>
    <t>[바다원] 두절새우 100g</t>
  </si>
  <si>
    <t>바다원</t>
  </si>
  <si>
    <t>[비비고] 우리아이 한입 썰은김치</t>
  </si>
  <si>
    <t>[태우한우] 한우 1+ 육전용 200g (냉장/냉동)</t>
  </si>
  <si>
    <t>육전용 소고기</t>
  </si>
  <si>
    <t>태우한우</t>
  </si>
  <si>
    <t>우리아이 튼튼 자른미역, 50g, 1개 2,390원 (100g당 4,780원) 내일(일) 새벽 도착 보장 5 (852) 최대 120원 적립</t>
  </si>
  <si>
    <t>[풀무원] 수타식 사누끼우동면 230g x 5개입 (냉동)</t>
  </si>
  <si>
    <t>우동면</t>
  </si>
  <si>
    <t>[제로베이커리] 브라우니 샌드 40g</t>
  </si>
  <si>
    <t>제로베이커리</t>
  </si>
  <si>
    <t>올품 1등급 닭볶음탕용 절단육 진공팩 (냉장), 1kg, 1개 7,280원 (100g당 728원) 내일(일) 새벽 도착 보장 4.5 (6416) 최대 364원 적립</t>
  </si>
  <si>
    <t>올품</t>
  </si>
  <si>
    <t>[잭스빈] 후무스 4종 (택1)</t>
  </si>
  <si>
    <t>잭스빈</t>
  </si>
  <si>
    <t>한수위파주쌀 일편밥심 경기미 참드림, 특등급, 10kg, 1개 24%44,900원 33,900원 (100g당 339원) 내일(일) 도착 보장 5 (4427) 최대 1,695원 적립</t>
  </si>
  <si>
    <t>[교토마블] 데니쉬 식빵 3종 (택1)</t>
  </si>
  <si>
    <t>교토마블</t>
  </si>
  <si>
    <t>베지밀 에이 담백한 두유, 190ml, 32개 21,700원 (100ml당 357원) 내일(일) 도착 보장 5 (59615) 최대 1,085원 적립</t>
  </si>
  <si>
    <t>[둥구나무 : 자연그대로] 취나물</t>
  </si>
  <si>
    <t>취나물 무침</t>
  </si>
  <si>
    <t>국내산 친환경 양파, 1.5kg, 1개 5,430원 (100g당 362원) 내일(일) 새벽 도착 보장 4.5 (4355) 최대 271원 적립</t>
  </si>
  <si>
    <t>상하치즈 후레쉬 모짜렐라 보코치니, 100g, 1개입, 1개 4,390원 (10g당 439원) 내일(일) 새벽 도착 보장 5 (2021) 최대 220원 적립</t>
  </si>
  <si>
    <t>모짜렐라 치즈</t>
  </si>
  <si>
    <t>[다미원] 촉촉한 반건조 오징어 330g</t>
  </si>
  <si>
    <t>반건조 오징어</t>
  </si>
  <si>
    <t>다미원</t>
  </si>
  <si>
    <t>[슈프레발트호프] 아삭아삭한 스위트 오이피클</t>
  </si>
  <si>
    <t>오이 피클</t>
  </si>
  <si>
    <t>슈프레발트호프</t>
  </si>
  <si>
    <t>[만선] 홍합 1kg (생물)</t>
  </si>
  <si>
    <t>만선</t>
  </si>
  <si>
    <t>[빙그레] 메로나맛 우유 (240mL X 4개)</t>
  </si>
  <si>
    <t>메로나맛 우유</t>
  </si>
  <si>
    <t>빙그레</t>
  </si>
  <si>
    <t>청양고추 슬라이스, 100g, 1개 3,390원 (100g당 3,390원) 내일(일) 새벽 도착 보장 4.5 (1084) 최대 170원 적립</t>
  </si>
  <si>
    <t>[바다원] 국물용 다시팩 90g 4종 (택1, 6입)</t>
  </si>
  <si>
    <t>다시팩</t>
  </si>
  <si>
    <t>유기농 파머스오리진 엑스트라버진 코코넛오일, 1개, 500ml 할인16%15,000원 12,510원 (100ml당 2,502원) 내일(일) 도착 보장 5 (1269) 최대 625원 적립</t>
  </si>
  <si>
    <t>[선물세트] 브로이어 벨기에 트러플 초콜릿 6P</t>
  </si>
  <si>
    <t>[KF365] 16brix이상 고당도 상주 샤인머스켓 600g</t>
  </si>
  <si>
    <t>샤인머스켓</t>
  </si>
  <si>
    <t>스테비아스위트 마일드 커피믹스, 9.6g, 100개입, 1개 15,890원 (10g당 166원) 2/11(수) 도착 예정 4.5 (40366) 최대 795원 적립</t>
  </si>
  <si>
    <t>스테비아스위트</t>
  </si>
  <si>
    <t>[담터] 통파로를 담은 16곡 곡물차 (20g X 10개)</t>
  </si>
  <si>
    <t>곡물 차</t>
  </si>
  <si>
    <t>담터</t>
  </si>
  <si>
    <t>마리브리자드 사탕수수 시럽, 700ml, 1개 22%18,000원 14,000원 (100ml당 2,000원) 내일(일) 도착 보장 5 (2378) 최대 679원 적립</t>
  </si>
  <si>
    <t>사탕수수 시럽</t>
  </si>
  <si>
    <t>마리브리자드</t>
  </si>
  <si>
    <t>햇반 현미귀리곤약밥, 150g, 3개 33%8,940원 5,980원 (100g당 1,329원) 내일(일) 새벽 도착 보장 새 상품, 반품-미개봉 (2) 최저5,680원 5 (1007) 최대 299원 적립</t>
  </si>
  <si>
    <t>즉석밥 곤약</t>
  </si>
  <si>
    <t>햇반</t>
  </si>
  <si>
    <t>[KF365] 한돈 삼겹살+목살 반반팩 700g</t>
  </si>
  <si>
    <t>돼지고기 모둠</t>
  </si>
  <si>
    <t>[백설] 참치액 진 더 풍부한 맛 900g</t>
  </si>
  <si>
    <t>참치액</t>
  </si>
  <si>
    <t>[선물세트] 포트'럭 바다를 품은 멍게&amp;전복 (생물)(예약일 수령)</t>
  </si>
  <si>
    <t>멍게</t>
  </si>
  <si>
    <t>[KF365] 16brix이상 고당도 적포도 500g</t>
  </si>
  <si>
    <t>포도</t>
  </si>
  <si>
    <t>[포트'럭] 제주 순살 은갈치 110g (냉동)</t>
  </si>
  <si>
    <t>생선</t>
  </si>
  <si>
    <t>갈치</t>
  </si>
  <si>
    <t>포트'럭</t>
  </si>
  <si>
    <t>한방선생 볶은 작두콩차, 200g, 1개입, 1개 9,650원 (10g당 483원) 내일(일) 도착 보장 5 (2556) 최대 458원 적립</t>
  </si>
  <si>
    <t>한방선생</t>
  </si>
  <si>
    <t>몽크슈 바닐라시럽 위드 알룰로스, 530g, 1개 8,450원 (100g당 1,594원) 내일(일) 도착 보장 4.5 (4928) 최대 401원 적립</t>
  </si>
  <si>
    <t>바닐라 시럽</t>
  </si>
  <si>
    <t>몽크슈</t>
  </si>
  <si>
    <t>[창화당] 납작 왕군만두 2종</t>
  </si>
  <si>
    <t>창화당</t>
  </si>
  <si>
    <t>[제주도니] 제주 흑돼지 목살 300g (냉장)</t>
  </si>
  <si>
    <t>제주도니</t>
  </si>
  <si>
    <t>[KF365] 16brix이상 고당도 청포도 500g</t>
  </si>
  <si>
    <t>청포도</t>
  </si>
  <si>
    <t>친환경 표고버섯, 150g, 1개 3,180원 (100g당 2,120원) 내일(일) 새벽 도착 보장 5 (18730) 최대 159원 적립</t>
  </si>
  <si>
    <t>표고버섯</t>
  </si>
  <si>
    <t>붐스토리 화이트초콜릿100g, 100g, 1개 6,990원 (10g당 699원) 2/11(수) 도착 예정 4.5 (370) 최대 350원 적립</t>
  </si>
  <si>
    <t>화티트 초콜릿</t>
  </si>
  <si>
    <t>붐스토리</t>
  </si>
  <si>
    <t>[동광젓갈] 웰빙창난젓</t>
  </si>
  <si>
    <t>창난젓</t>
  </si>
  <si>
    <t>동광젓갈</t>
  </si>
  <si>
    <t>오리지널그레인 2025년산 햅쌀 백미, 상등급, 3kg, 1개 7%12,900원 11,980원 (100g당 399원) 내일(일) 새벽 도착 보장 5 (2141) 최대 574원 적립</t>
  </si>
  <si>
    <t>한양식품 꽃보다 오징어, 350g, 1개 26%37,900원 27,810원 (100g당 7,946원) 내일(일) 새벽 도착 보장 5 (59239) 최대 1,390원 적립</t>
  </si>
  <si>
    <t>[KF365] 당도선별 수박 4kg 이상</t>
  </si>
  <si>
    <t>수박</t>
  </si>
  <si>
    <t>[바름팜] 유기농 양파 1.5kg</t>
  </si>
  <si>
    <t>[이목] 국내산 소고기 부채살 스테이크 200g (냉장)</t>
  </si>
  <si>
    <t>이목</t>
  </si>
  <si>
    <t>삼립 파이리의 화르륵 핫소스팡, 90g, 1개입, 2개 2,910원 (10g당 162원) 내일(일) 새벽 도착 보장 5 (9151) 최대 145원 적립</t>
  </si>
  <si>
    <t>포켓몬 빵</t>
  </si>
  <si>
    <t xml:space="preserve">삼립 </t>
  </si>
  <si>
    <t>[고메] 빅크리스피 핫도그 520g(130gX4개입)</t>
  </si>
  <si>
    <t>냉동 핫도그</t>
  </si>
  <si>
    <t>[서울카스테라] 카스테라 러스크 70g</t>
  </si>
  <si>
    <t>러스크</t>
  </si>
  <si>
    <t>곰곰 고소한 쌈장, 1kg, 1개 62%8,050원 2,990원 (100g당 299원) 내일(일) 도착 보장 4.5 (5298) 최대 150원 적립</t>
  </si>
  <si>
    <t>[닥터린] 슈퍼 글루타치온 30매</t>
  </si>
  <si>
    <t>닥터린</t>
  </si>
  <si>
    <t>[니블스] 초콜릿 9P</t>
  </si>
  <si>
    <t>니블스</t>
  </si>
  <si>
    <t>[녹차원] 사양 벌꿀 테이블허니 1.5kg</t>
  </si>
  <si>
    <t>녹차원</t>
  </si>
  <si>
    <t>비비드키친 저칼로리 스리라차소스, 275g, 1개 4,730원 (100g당 1,720원) 내일(일) 새벽 도착 보장 5 (2882) 최대 236원 적립</t>
  </si>
  <si>
    <t>스리라차 소스</t>
  </si>
  <si>
    <t>비비드키친</t>
  </si>
  <si>
    <t>[워커힐고메] 시그니처 만두 400g</t>
  </si>
  <si>
    <t>한음미가 2025년산 햅쌀 우리쌀 백미, 상등급, 2kg, 1개 8,780원 (100g당 439원) 내일(일) 도착 보장 4.5 (30827) 최대 439원 적립</t>
  </si>
  <si>
    <t>한음미</t>
  </si>
  <si>
    <t>백설 멸치디포리 육수에는 1분링 50개입, 200g, 1개 57%18,980원 8,160원 (100g당 4,080원) 내일(일) 도착 보장 5 (17727) 최대 408원 적립</t>
  </si>
  <si>
    <t>[한일관 X 백년가게] 순살갈비</t>
  </si>
  <si>
    <t>소갈비</t>
  </si>
  <si>
    <t>이디야커피연구소 핸드드립 커피 페르소나 블렌드, 8g, 7개입, 1개 28%7,700원 5,500원 (1개당 786원) 내일(일) 새벽 도착 보장 4.5 (206) 최대 275원 적립</t>
  </si>
  <si>
    <t>이디야커피연구소</t>
  </si>
  <si>
    <t>배대감 국산 들깨가루, 80g, 1개 40%9,990원 5,990원 (100g당 7,488원) 내일(일) 도착 보장 4.5 (13081) 최대 300원 적립</t>
  </si>
  <si>
    <t>배대감</t>
  </si>
  <si>
    <t>[사옹원] 호떡 6종 (택1)</t>
  </si>
  <si>
    <t>사옹원</t>
  </si>
  <si>
    <t>[CU 픽업] 오모로 15년</t>
  </si>
  <si>
    <t>[슈퍼키친] 치즈오븐파스타</t>
  </si>
  <si>
    <t>슈퍼키친</t>
  </si>
  <si>
    <t>[더파인치즈컴퍼니] 블루 스틸턴 세라믹 팟</t>
  </si>
  <si>
    <t>스틸턴 치즈</t>
  </si>
  <si>
    <t>더파인치즈컴퍼니</t>
  </si>
  <si>
    <t>[해태] 자유시간 미니 초콜릿바 2종 (택1)</t>
  </si>
  <si>
    <t>자유시간</t>
  </si>
  <si>
    <t>맛있는우유GT 멸균우유, 200ml, 24개 33%20,900원 13,980원 (100ml당 291원) 내일(일) 도착 보장 새 상품, 반품-미개봉 (20) 최저12,470원 5 (87270) 최대 699원 적립</t>
  </si>
  <si>
    <t>맛있는우유GT</t>
  </si>
  <si>
    <t>[메글레] 에멘탈 치즈 300g</t>
  </si>
  <si>
    <t>에멘탈 치즈</t>
  </si>
  <si>
    <t>메글레</t>
  </si>
  <si>
    <t>오뚜기 꼬리까지 가득찬 피자붕어빵 (냉동), 520g, 1개, 1개입 6,980원 (10g당 134원) 내일(일) 새벽 도착 보장 5 (456) 최대 349원 적립</t>
  </si>
  <si>
    <t>붕어빵</t>
  </si>
  <si>
    <t>[KF365] 당도선별 수박 5kg 이상</t>
  </si>
  <si>
    <t>[청정원] 건강생각 슬라이스햄 100g</t>
  </si>
  <si>
    <t>[포트'럭] 동해안 단새우회 120g (냉동)</t>
  </si>
  <si>
    <t>청정원 고소한 마요네즈, 300g, 1개 7%3,790원 3,500원 (100g당 1,167원) 내일(일) 새벽 도착 보장 5 (4675) 최대 175원 적립</t>
  </si>
  <si>
    <t>생생포크 한돈 안심 장조림용 (냉장), 800g, 1개 13%17,400원 15,090원 (100g당 1,886원) 내일(일) 새벽 도착 보장 5 (4871) 최대 755원 적립</t>
  </si>
  <si>
    <t>돼지 안심</t>
  </si>
  <si>
    <t>생생포크</t>
  </si>
  <si>
    <t>곰곰 깐계란, 1개 5,610원 내일(일) 새벽 도착 보장 5 (477) 최대 280원 적립</t>
  </si>
  <si>
    <t>[김구원선생] 우삼겹 순두부찌개</t>
  </si>
  <si>
    <t>[KF365] 팽이버섯 2입</t>
  </si>
  <si>
    <t>[고래사] 프리미엄 어묵탕 360g 2종 (택1)</t>
  </si>
  <si>
    <t>농심 매운새우깡, 400g, 2개 9,100원 (10g당 114원) 내일(일) 도착 보장 5 (37193) 최대 455원 적립</t>
  </si>
  <si>
    <t>새우깡</t>
  </si>
  <si>
    <t>[사미헌] 갈비탕</t>
  </si>
  <si>
    <t>사미헌</t>
  </si>
  <si>
    <t>[선물세트][김소영 아티장의 안단테] 화이트와인과 어울리는 치즈세트</t>
  </si>
  <si>
    <t>[도리깨침] 복이 한가득 떡국 세트 (2인분)</t>
  </si>
  <si>
    <t>국내산 자색 양파, 1kg, 1개 4,890원 (100g당 489원) 내일(일) 새벽 도착 보장 4.5 (17619) 최대 245원 적립</t>
  </si>
  <si>
    <t>적양파</t>
  </si>
  <si>
    <t>[오마뎅] 순살 어묵</t>
  </si>
  <si>
    <t>오마뎅</t>
  </si>
  <si>
    <t>[상하치즈] 뼈로가는 칼슘 치즈 270g</t>
  </si>
  <si>
    <t>국산 최상급 해아란 햇 고춧가루 1kg . 보통맛/최근제조/양념용, 1개 할인68%78,000원 24,900원 (100g당 2,490원) 내일(일) 도착 보장 4.5 (7616) 최대 1,245원 적립</t>
  </si>
  <si>
    <t>고춧가루</t>
  </si>
  <si>
    <t>[매일] 우유속에 딸기 락토프리 (300mL X 8개)</t>
  </si>
  <si>
    <t>[에코맘의산골이유식] 산골 떡뻥 3종 (택1)</t>
  </si>
  <si>
    <t>떡과자</t>
  </si>
  <si>
    <t>에코맘의산골이유식</t>
  </si>
  <si>
    <t>[셀렉스] 프로틴 음료 파우치 2종 (택1)</t>
  </si>
  <si>
    <t>셀렉스</t>
  </si>
  <si>
    <t>[둥구나무] 고사리 나물</t>
  </si>
  <si>
    <t>고사리 무침</t>
  </si>
  <si>
    <t>[삼립] 미니 꼬마 피자호빵</t>
  </si>
  <si>
    <t>피자 호빵</t>
  </si>
  <si>
    <t>[풀무원] 동치미냉면 2인 + 함흥냉면 2인 (총 4인분)</t>
  </si>
  <si>
    <t>[해태] 허니버터칩 미니 박스 33g x 12개입</t>
  </si>
  <si>
    <t>허니버터칩</t>
  </si>
  <si>
    <t>[KF365] 실속 바나나 2종</t>
  </si>
  <si>
    <t>[Kim's Butcher] 호주산 홍두깨 육전용200g (냉동)</t>
  </si>
  <si>
    <t>홍두깨살</t>
  </si>
  <si>
    <t>Kim's butcher</t>
  </si>
  <si>
    <t>농심 새우탕컵 67g, 12개 쿠폰할인4%11,370원 10,820원 (1개당 902원) 내일(일) 도착 보장 5 (65064) 최대 541원 적립</t>
  </si>
  <si>
    <t>새우탕</t>
  </si>
  <si>
    <t>[농협풍산김치] 맛김치 800g</t>
  </si>
  <si>
    <t>[사세] 버팔로 윙 골드 1kg</t>
  </si>
  <si>
    <t>사세</t>
  </si>
  <si>
    <t>왕의밥상 새싹 발아현미, 2kg, 1개 34%15,000원 9,900원 (100g당 495원) 내일(일) 도착 보장 4.5 (2106) 최대 495원 적립</t>
  </si>
  <si>
    <t>이츠웰 쇠고기 진한다시, 1kg, 1개 6,960원 (10g당 70원) 내일(일) 도착 보장 4.5 (7558) 최대 348원 적립</t>
  </si>
  <si>
    <t>쇠고기 다시다</t>
  </si>
  <si>
    <t>이츠웰</t>
  </si>
  <si>
    <t>샘표 회간장, 200ml, 1개 16%5,380원 4,500원 (100ml당 2,250원) 내일(일) 도착 보장 5 (3882) 최대 225원 적립</t>
  </si>
  <si>
    <t>회간장</t>
  </si>
  <si>
    <t>유기농 100% 진도산 국산 강황 가루, 1개, 150g 쿠폰할인20%19,900원 15,800원 (10g당 1,053원) 내일(일) 도착 보장 4.5 (442) 최대 790원 적립</t>
  </si>
  <si>
    <t>강황 가루</t>
  </si>
  <si>
    <t>[풀무원] 식물성 지구식단 동글떡볶이 2인분</t>
  </si>
  <si>
    <t>국내산 이탈리안 파슬리, 30g, 1개 1,990원 (100g당 6,633원) 내일(일) 새벽 도착 보장 5 (8401) 최대 100원 적립</t>
  </si>
  <si>
    <t>[예맛] 신안 곱창돌김 90g (30매)</t>
  </si>
  <si>
    <t>예맛</t>
  </si>
  <si>
    <t>[부침명장] 녹두 빈대떡 400g</t>
  </si>
  <si>
    <t>부침명장</t>
  </si>
  <si>
    <t>면사랑 밀떡볶이떡, 1kg, 1개 3,910원 (100g당 391원) 내일(일) 새벽 도착 보장 5 (8140) 최대 195원 적립</t>
  </si>
  <si>
    <t>밀떡</t>
  </si>
  <si>
    <t>[소미노] 소이요 귀족 서리태 두유 (190mL X 16개)</t>
  </si>
  <si>
    <t>소미노</t>
  </si>
  <si>
    <t>[스윗밸런스] 저당 밸런스 샐러드 5종</t>
  </si>
  <si>
    <t>스윗밸런스</t>
  </si>
  <si>
    <t>[바름팜] 친환경 당근채 200g</t>
  </si>
  <si>
    <t>국내산 못생겨도 맛있는 당근, 700g, 1개 1,690원 (100g당 241원) 내일(일) 새벽 도착 보장 4.5 (46407) 최대 85원 적립</t>
  </si>
  <si>
    <t>한돈 앞다리살 찌개용 (냉장), 500g, 1개 16%9,990원 8,310원 (100g당 1,662원) 내일(일) 새벽 도착 보장 4.5 (4681) 최대 415원 적립</t>
  </si>
  <si>
    <t xml:space="preserve">한돈 </t>
  </si>
  <si>
    <t>맛선생 멸치디포리 국물내기 한알, 100g, 1개 55%9,900원 4,410원 (100g당 4,410원) 내일(일) 새벽 도착 보장 5 (824) 최대 220원 적립</t>
  </si>
  <si>
    <t>맛선생</t>
  </si>
  <si>
    <t>[아티장 비스킷] 치즈를 위한 토스트 (데이츠&amp;헤이즐넛) 100g</t>
  </si>
  <si>
    <t>토스트</t>
  </si>
  <si>
    <t>아티장 비스킷</t>
  </si>
  <si>
    <t>[법성포참맛] 프리미엄 영광굴비 130g (냉동)</t>
  </si>
  <si>
    <t>[조선호텔김치] 오이소박이 1kg</t>
  </si>
  <si>
    <t>LUKT 아이슬란딕 요거트 띠크, 450g, 1개 13,900원 (10g당 309원) 내일(일) 새벽 도착 보장 5 (8826) 최대 695원 적립</t>
  </si>
  <si>
    <t>LUKT</t>
  </si>
  <si>
    <t>[삼호] 쫄깃해서 불지않는 꼬치어묵 324g</t>
  </si>
  <si>
    <t>삼호</t>
  </si>
  <si>
    <t>[나폴레옹] 커스터드 스폰지케이크 420g</t>
  </si>
  <si>
    <t>나폴레옹</t>
  </si>
  <si>
    <t>[굽네] 저당 소스듬뿍 통살 닭가슴살 2종</t>
  </si>
  <si>
    <t>굽네</t>
  </si>
  <si>
    <t>[청정원] 옛날 소시지 1kg</t>
  </si>
  <si>
    <t>딜 10g</t>
  </si>
  <si>
    <t>딜</t>
  </si>
  <si>
    <t>페이장브르통 브리치즈, 125g, 1개입, 3개 15,300원 (10g당 408원) 내일(일) 새벽 도착 보장 5 (6283) 최대 765원 적립</t>
  </si>
  <si>
    <t>페이장브르통</t>
  </si>
  <si>
    <t>[건어물상회] 멸치디포리 다시팩 150g (10입)</t>
  </si>
  <si>
    <t>[크렘드마롱] 부드러운 밤잼 자이언트 튜브 220g</t>
  </si>
  <si>
    <t>밤잼</t>
  </si>
  <si>
    <t>크렘드마롱</t>
  </si>
  <si>
    <t>팜에이트 무농약 인증 스마트팜 손질 양상추, 250g, 1개입, 1개 5,450원 (100g당 2,180원) 내일(일) 새벽 도착 보장 4.5 (260) 최대 273원 적립</t>
  </si>
  <si>
    <t>오뚜기옛날 미역, 250g, 2개 2%14,160원 13,740원 (100g당 2,748원) 내일(일) 도착 보장 5 (33861) 최대 687원 적립</t>
  </si>
  <si>
    <t>[CU 픽업] 산미구엘병320ml24입</t>
  </si>
  <si>
    <t>[하리보] 베스트 젤리 10종 골라담기</t>
  </si>
  <si>
    <t>올리아베 엑스트라버진 산도0.2 프랑스 아르베키나 냉압착 올리브오일, 1개, 250ml 15%12,520원 10,600원 (100ml당 4,240원) 내일(일) 도착 보장 새 상품, 반품-미개봉 (3) 최저9,860원 4.5 (1433) 최대 493원 적립</t>
  </si>
  <si>
    <t>올리아베</t>
  </si>
  <si>
    <t>[KF365] 아보카도 (1개)</t>
  </si>
  <si>
    <t>[올림푸스] 그리스 과일 요거트 150g 2종 (택1)</t>
  </si>
  <si>
    <t>올림푸스</t>
  </si>
  <si>
    <t>[CU 픽업] 글랜카담 아메리칸 오크 리저브 700ml</t>
  </si>
  <si>
    <t>[새턴버드] 콜드브루 인스턴트 커피 넘버 시리즈 3g x 24개입 6종(택1)</t>
  </si>
  <si>
    <t>새턴버드</t>
  </si>
  <si>
    <t>롯데웰푸드 에이비씨 초콜릿, 187g, 1개 쿠폰할인4%5,230원 4,980원 (10g당 266원) 내일(일) 새벽 도착 보장 5 (1024) 최대 249원 적립</t>
  </si>
  <si>
    <t>[KF365] 컷팅파인애플 1kg</t>
  </si>
  <si>
    <t>[하림] The미식 손만두 3종 (2개입) (택1)</t>
  </si>
  <si>
    <t>큐원 갈색설탕, 3kg, 1개 6,720원 (100g당 224원) 내일(일) 도착 보장 5 (67965) 최대 336원 적립</t>
  </si>
  <si>
    <t>큐원</t>
  </si>
  <si>
    <t>미쓰리 떡볶이소스 03단계 매콤한맛, 50g, 5개 쿠폰할인3%9,450원 9,160원 (100g당 3,664원) 내일(일) 도착 보장 4.5 (3361) 최대 458원 적립</t>
  </si>
  <si>
    <t>떡볶이 양념</t>
  </si>
  <si>
    <t>미쓰리</t>
  </si>
  <si>
    <t>[더본] 만능 양념장 소스</t>
  </si>
  <si>
    <t>양념</t>
  </si>
  <si>
    <t>더본</t>
  </si>
  <si>
    <t>팜스토리 국내산 소고기 잡채용 (냉장), 300g, 1개 54%21,990원 9,950원 (100g당 3,317원) 내일(일) 새벽 도착 보장 4.5 (1975) 최대 498원 적립</t>
  </si>
  <si>
    <t>잡채용 소고기</t>
  </si>
  <si>
    <t>팜스토리</t>
  </si>
  <si>
    <t>[KF365] 컷팅파인애플 원통 500g</t>
  </si>
  <si>
    <t>[KF365] 컷팅파인애플 청크 500g</t>
  </si>
  <si>
    <t>[Kurly's] 간편하게 바삭, 새우까스</t>
  </si>
  <si>
    <t>[소금집] 잠봉뵈르 샌드위치</t>
  </si>
  <si>
    <t>샌드위치</t>
  </si>
  <si>
    <t>소금집</t>
  </si>
  <si>
    <t>무순, 60g, 1개 1,170원 (100g당 1,950원) 내일(일) 새벽 도착 보장 5 (34893) 최대 59원 적립</t>
  </si>
  <si>
    <t>무순</t>
  </si>
  <si>
    <t>[서울마님] 쫀득한 떡구이 떡볶이 4종 (택1)</t>
  </si>
  <si>
    <t>카누 바리스타 머신 전용 캡슐커피 딥포레스트, 9.5g, 10개입, 6개 16%47,400원 39,410원 (10g당 691원) 내일(일) 도착 보장 5 (4642) 최대 1,970원 적립</t>
  </si>
  <si>
    <t>카누</t>
  </si>
  <si>
    <t>[파오리] 락토프리 버터 (12.5g X 10입)</t>
  </si>
  <si>
    <t>파오리</t>
  </si>
  <si>
    <t>서울우유 목장의 신선함이 살아있는 우유 저지방, 1L, 2개 6,940원 (100ml당 347원) 내일(일) 새벽 도착 보장 5 (14833) 최대 347원 적립</t>
  </si>
  <si>
    <t>[페이장 브레통] 포켓버터 3종 (10g x 20개입)</t>
  </si>
  <si>
    <t>페이장 브레통</t>
  </si>
  <si>
    <t>자유시간 쿠키앤크림 미니, 408g, 1개 8,130원 (10g당 199원) 내일(일) 도착 보장 5 (2056) 최대 406원 적립</t>
  </si>
  <si>
    <t>[대한제일미] 시월미소미 쌀10kg</t>
  </si>
  <si>
    <t>대한제일미</t>
  </si>
  <si>
    <t>스팸 동그란 햄 2개입, 320g, 1개 7%5,380원 4,970원 (10g당 155원) 내일(일) 새벽 도착 보장 5 (11046) 최대 249원 적립</t>
  </si>
  <si>
    <t>스팸 동그란 햄</t>
  </si>
  <si>
    <t>스팸</t>
  </si>
  <si>
    <t>매일우유 저지방 1% 우유, 900ml, 2개 5,450원 (100ml당 303원) 내일(일) 새벽 도착 보장 5 (68678) 최대 273원 적립</t>
  </si>
  <si>
    <t>[서울우유 x 마켓컬리] 치즈다운 치즈 (18g X 13입)</t>
  </si>
  <si>
    <t>서울우유 x 마켓컬리</t>
  </si>
  <si>
    <t>에치와이 헬리코박터 프로젝트 윌 마시는 요구르트, 1개, 1개입, 500ml 4,240원 (10ml당 85원) 내일(일) 새벽 도착 보장 5 (238) 최대 212원 적립</t>
  </si>
  <si>
    <t>에치와이</t>
  </si>
  <si>
    <t>릭 300g</t>
  </si>
  <si>
    <t>릭</t>
  </si>
  <si>
    <t>[파고 발디오스] 산 카를로 풀문 엑스트라 버진 올리브 오일 200mL</t>
  </si>
  <si>
    <t>파고 발디오스</t>
  </si>
  <si>
    <t>목우촌 국내산 소고기 불고기용 (냉장), 300g, 1개 33%19,990원 13,250원 (100g당 4,417원) 내일(일) 새벽 도착 보장 4.5 (8804) 최대 663원 적립</t>
  </si>
  <si>
    <t>[고래사] 인기 어묵 &amp; 간편식 선물세트 (냉동)</t>
  </si>
  <si>
    <t>2025년산 햅쌀 곰곰 풍요로운 우리쌀, 10kg(상등급), 1개 17%40,000원 32,890원 (100g당 329원) 내일(일) 도착 보장 4.5 (18569) 최대 1,645원 적립</t>
  </si>
  <si>
    <t>[콜린스 다이닝] 문어 보리 샐러드</t>
  </si>
  <si>
    <t>콜린스 다이닝</t>
  </si>
  <si>
    <t>[MD's pick] 고당도 삼색 과일세트3.7kg(12입)</t>
  </si>
  <si>
    <t>모둠 과일</t>
  </si>
  <si>
    <t>MD's Pick</t>
  </si>
  <si>
    <t>[Kurly's] 1++ 한우 양지 절단국거리 250g (냉장)</t>
  </si>
  <si>
    <t>양지</t>
  </si>
  <si>
    <t>[선물세트] 조선호텔 갈비탕 세트 (5개입)</t>
  </si>
  <si>
    <t>아름드레 국산 구기자차, 30g, 1개 2%5,100원 4,990원 (10g당 1,663원) 내일(일) 도착 보장 4.5 (255) 최대 250원 적립</t>
  </si>
  <si>
    <t>구기자 차</t>
  </si>
  <si>
    <t>아름드레</t>
  </si>
  <si>
    <t>[마음이가] 콩쑥개떡 600g</t>
  </si>
  <si>
    <t>쑥개떡</t>
  </si>
  <si>
    <t>[프레지덩] 프랑스 버터 200g 2종 (택1)</t>
  </si>
  <si>
    <t>[도드람한돈] 1등급 등심 스마트팩 카레용 600g(200g*3)</t>
  </si>
  <si>
    <t>카레용 돼지고기</t>
  </si>
  <si>
    <t>[애슐리] 베이컨 투움바 빠네 파스타</t>
  </si>
  <si>
    <t>[KF365] 청양고추 200g</t>
  </si>
  <si>
    <t>[아르티지아니] 미니 트러플 오일 2종</t>
  </si>
  <si>
    <t>아르티지아니</t>
  </si>
  <si>
    <t>피그인더가든 그린믹스 샐러드 키트 5개입, 1개, 400g 8,990원 (100g당 2,248원) 내일(일) 새벽 도착 보장 4.5 (31803) 최대 450원 적립</t>
  </si>
  <si>
    <t>샐러드 키트</t>
  </si>
  <si>
    <t>[선물세트] 일상味소 LA갈비 1.8kg (냉동)</t>
  </si>
  <si>
    <t>LA 갈비</t>
  </si>
  <si>
    <t>[백설] 박력 밀가루 1kg</t>
  </si>
  <si>
    <t>비비고 차돌된장찌개, 460g, 2개 34%13,960원 9,130원 (100g당 992원) 내일(일) 도착 보장 4.5 (5027) 최대 456원 적립</t>
  </si>
  <si>
    <t>foodi 양꼬치시즈닝, 130g, 1개 5,300원 (10g당 408원) 내일(일) 도착 보장 5 (4571) 최대 265원 적립</t>
  </si>
  <si>
    <t>양꼬치 시즈닝</t>
  </si>
  <si>
    <t>foodi</t>
  </si>
  <si>
    <t>반찬단지 무말랭이 무침, 1kg, 1개 쿠폰할인8%5,960원 5,460원 (10g당 55원) 내일(일) 새벽 도착 보장 4.5 (46568) 최대 273원 적립</t>
  </si>
  <si>
    <t>무말랭이 무침</t>
  </si>
  <si>
    <t>자연미가 유기농 비정제 갈색설탕, 1kg, 1개 5,280원 (100g당 528원) 내일(일) 새벽 도착 보장 새 상품, 반품 (2) 5 (1026) 최대 264원 적립</t>
  </si>
  <si>
    <t>자연미가</t>
  </si>
  <si>
    <t>[초록원] 저당 유자차 530g</t>
  </si>
  <si>
    <t>유자차</t>
  </si>
  <si>
    <t>초록원</t>
  </si>
  <si>
    <t>[콤비타] UMF10+ 퓨어 100% 마누카꿀 로젠지 6개입</t>
  </si>
  <si>
    <t>콤비타</t>
  </si>
  <si>
    <t>[상하목장] 마이리틀 유기농 짜먹는 요거트 3종 (85g X 3개) (택1)</t>
  </si>
  <si>
    <t>상하목장</t>
  </si>
  <si>
    <t>[포크밸리] 한돈 대패 삼겹/목살 (냉동) (택1)</t>
  </si>
  <si>
    <t>포크밸리</t>
  </si>
  <si>
    <t>비비고 고단백 순살 고등어구이, 60g, 3개 25%17,940원 13,400원 (100g당 7,444원) 내일(일) 새벽 도착 보장 5 (38506) 최대 670원 적립</t>
  </si>
  <si>
    <t>[선물세트] [자연다움] 간편든든 고구마 말랭이/스틱 세트</t>
  </si>
  <si>
    <t>고구마 스틱</t>
  </si>
  <si>
    <t>[만전김] 할아버지가 만든 유기김 (28입)</t>
  </si>
  <si>
    <t>유가네 순살 간장찜닭 (냉동), 1개, 400g 45%10,900원 5,890원 (100g당 1,473원) 내일(일) 새벽 도착 보장 4.5 (145) 최대 295원 적립</t>
  </si>
  <si>
    <t>유가네</t>
  </si>
  <si>
    <t>[덕화명란] MSC인증 백명란 100g (냉동)</t>
  </si>
  <si>
    <t>어란</t>
  </si>
  <si>
    <t>명란</t>
  </si>
  <si>
    <t>덕화명란</t>
  </si>
  <si>
    <t>상하목장 유기농 인증 우유, 900ml, 2개 8,200원 (100ml당 456원) 내일(일) 새벽 도착 보장 5 (37584) 최대 410원 적립</t>
  </si>
  <si>
    <t>취청오이, 2개입, 1개 3,910원 (1개당 1,955원) 내일(일) 새벽 도착 보장 4.5 (19889) 최대 195원 적립</t>
  </si>
  <si>
    <t>[25-26 햇올리브][피쿠알리아] 퍼스트 데이 하베스트 리미티드 에디션 피쿠알 엑스트라버진 500mL</t>
  </si>
  <si>
    <t>피쿠알리아</t>
  </si>
  <si>
    <t>[김구원선생] 냉동 국산 유부 슬라이스 250g</t>
  </si>
  <si>
    <t>[흑백요리사] 술 빚는 윤주모셰프 애호박찌개</t>
  </si>
  <si>
    <t>매일바이오 드링킹 블루베리, 250ml, 4개입, 1개 5,250원 (10ml당 53원) 내일(일) 새벽 도착 보장 5 (5498) 최대 263원 적립</t>
  </si>
  <si>
    <t>블루베리 요거트</t>
  </si>
  <si>
    <t>[푸드렐라] 치킨텐더 2종</t>
  </si>
  <si>
    <t>치킨텐더</t>
  </si>
  <si>
    <t>푸드렐라</t>
  </si>
  <si>
    <t>[조인] 동물복지 백색 유정 반숙란 20구</t>
  </si>
  <si>
    <t>[리하베스트] 저당 통밀식빵 350g</t>
  </si>
  <si>
    <t>리하베스트</t>
  </si>
  <si>
    <t>[켈로그] 다크 초코 프로틴 딜라이트 그래놀라 350g</t>
  </si>
  <si>
    <t>[골든허니콤] 벌집꿀 200g</t>
  </si>
  <si>
    <t>벌집꿀</t>
  </si>
  <si>
    <t>골든허니콤</t>
  </si>
  <si>
    <t>[My little recipe] 해물 짬뽕 떡볶이 (2인분)</t>
  </si>
  <si>
    <t>My little recipe</t>
  </si>
  <si>
    <t>[김재식헬스푸드] 포도씨 담은 포도즙 10포</t>
  </si>
  <si>
    <t>포도즙</t>
  </si>
  <si>
    <t>김재식헬스푸드</t>
  </si>
  <si>
    <t>백설 멸치디포리 육수에는 1분링 50개입, 200g, 1개 57%18,980원 8,160원 (100g당 4,080원) 내일(일) 새벽 도착 보장 5 (1913) 최대 408원 적립</t>
  </si>
  <si>
    <t>[온하루] 보리새우 파래자반</t>
  </si>
  <si>
    <t>새우 파래 자반</t>
  </si>
  <si>
    <t>[고메공방] 촉촉하고 바삭한 마늘바게트 240g</t>
  </si>
  <si>
    <t>마늘 바게트</t>
  </si>
  <si>
    <t>오뚜기 사과식초, 900ml, 1개 2,940원 (10ml당 33원) 내일(일) 새벽 도착 보장 5 (8676) 최대 147원 적립</t>
  </si>
  <si>
    <t>[수산곳간] 동해안 건오징어 120g (2미)</t>
  </si>
  <si>
    <t>건오징어</t>
  </si>
  <si>
    <t>[선진포크한돈] 목살 구이용 400g</t>
  </si>
  <si>
    <t>선진포크한돈</t>
  </si>
  <si>
    <t>[종가] 총각김치 850g</t>
  </si>
  <si>
    <t>곰곰 냉동 굴, 1개, 350g 37%8,990원 5,630원 (100g당 1,609원) 내일(일) 새벽 도착 보장 4.5 (549) 최대 281원 적립</t>
  </si>
  <si>
    <t>포크밸리 돈뼈 감자탕용 (냉장), 1.5kg, 1팩 10,800원 (100g당 720원) 내일(일) 새벽 도착 보장 4.5 (11326) 최대 540원 적립</t>
  </si>
  <si>
    <t>돈뼈</t>
  </si>
  <si>
    <t>요플레 블루베리 멀티 4p, 340g, 2개 7,580원 (10g당 111원) 내일(일) 새벽 도착 보장 5 (9387) 최대 379원 적립</t>
  </si>
  <si>
    <t>요플레</t>
  </si>
  <si>
    <t>[벨기에 롬바우츠] 사용이 간편한 원컵 드립 커피 7g X 10개입 5종(택1)</t>
  </si>
  <si>
    <t>벨기에 롬바우츠</t>
  </si>
  <si>
    <t>[선물세트] 나폴레옹 미니쿠키 6종 세트 566g</t>
  </si>
  <si>
    <t>[슈리어바흐] 오스트리아 유기농 미니 크림 치즈 (24g X 5개입)</t>
  </si>
  <si>
    <t>슈리어바흐</t>
  </si>
  <si>
    <t>후루룩 쌀국수 닭곰탕, 73g, 6개 19%10,256원 8,250원 (100g당 1,884원) 내일(일) 도착 보장 4.5 (7328) 최대 413원 적립</t>
  </si>
  <si>
    <t>후루룩 쌀국수 닭곰탕</t>
  </si>
  <si>
    <t>[바다해] 빠삭먹태구이세트 160g (소스증정)</t>
  </si>
  <si>
    <t>바다해</t>
  </si>
  <si>
    <t>[농심] 새우깡 400g (지퍼백)</t>
  </si>
  <si>
    <t>[올가비오] 유기농 동결건조 블루베리 분말 100g</t>
  </si>
  <si>
    <t>블루베리 분말</t>
  </si>
  <si>
    <t>[크라운] 빅파이 딸기 324g</t>
  </si>
  <si>
    <t>빅파이</t>
  </si>
  <si>
    <t>[창억] 시그니처 떡 3종 500g (택1)</t>
  </si>
  <si>
    <t>창억</t>
  </si>
  <si>
    <t>[네이처앤헬스] 볶은 아몬드가루200g</t>
  </si>
  <si>
    <t>네이처앤헬스</t>
  </si>
  <si>
    <t>사계절 쌈장, 500g, 2개 53%9,800원 4,590원 (100g당 459원) 내일(일) 새벽 도착 보장 5 (1140) 최대 230원 적립</t>
  </si>
  <si>
    <t>사계절</t>
  </si>
  <si>
    <t>맑은물에 그리너리 찜용통통 콩나물, 300g, 2개 2,710원 (100g당 452원) 내일(일) 새벽 도착 보장 4.5 (9829) 최대 135원 적립</t>
  </si>
  <si>
    <t>꼭곡 국산 찹쌀, 2kg, 1개 8,980원 (100g당 449원) 내일(일) 도착 보장 4.5 (771) 최대 449원 적립</t>
  </si>
  <si>
    <t>찹쌀</t>
  </si>
  <si>
    <t>꼭곡</t>
  </si>
  <si>
    <t>무농약 인증 맑은물에 참좋은 국산콩나물, 500g, 1개 2,400원 (100g당 480원) 내일(일) 새벽 도착 보장 4.5 (98622) 최대 120원 적립</t>
  </si>
  <si>
    <t>[MD's Pick] 조항현 생산자의 성환 왕 배 4.5kg</t>
  </si>
  <si>
    <t>배</t>
  </si>
  <si>
    <t>곰곰 맥반석 구운란, 60구, 1개 22,310원 (1구당 372원) 내일(일) 새벽 도착 보장 4.5 (143687) 최대 1,115원 적립</t>
  </si>
  <si>
    <t>[MPARK] 블랙라벨 고당도 오렌지 1.2kg (5~6입)</t>
  </si>
  <si>
    <t>오렌지</t>
  </si>
  <si>
    <t>MPARK</t>
  </si>
  <si>
    <t>남양유업 맛있는우유GT 소화가 잘되는 고소한 락토프리, 900ml, 2개 6,380원 (100ml당 354원) 내일(일) 새벽 도착 보장 5 (192140) 최대 319원 적립</t>
  </si>
  <si>
    <t>카누 마일드 로스트 아메리카노 원두커피믹스, 900mg, 30개입, 1개 7,170원 (10g당 2,656원) 내일(일) 도착 보장 5 (180735) 최대 359원 적립</t>
  </si>
  <si>
    <t>키피 믹스</t>
  </si>
  <si>
    <t>[안단잼] 과일함량 70% 복숭아잼 380g</t>
  </si>
  <si>
    <t>복숭아잼</t>
  </si>
  <si>
    <t>안단잼</t>
  </si>
  <si>
    <t>[전통주] 배혜정도가 메로니아 (4도 750mL)</t>
  </si>
  <si>
    <t>막걸리</t>
  </si>
  <si>
    <t>[일드프랑스] 몽태버 슬라이스 치즈 150g</t>
  </si>
  <si>
    <t>일드프랑스</t>
  </si>
  <si>
    <t>대천김 재래김, 22g, 10개 할인45%29,000원 15,840원 (10g당 720원) 내일(일) 도착 보장 4.5 (69157) 최대 729원 적립</t>
  </si>
  <si>
    <t>[뉴델리 :진한 인도 커리의 맛] 인도 난 2종</t>
  </si>
  <si>
    <t>난</t>
  </si>
  <si>
    <t>뉴델리 :진한 인도 커리의 맛</t>
  </si>
  <si>
    <t>[미락] 영광 법성포 참굴비 (0.9kg 10미 / 1.8kg 20미) (냉동) (택1)</t>
  </si>
  <si>
    <t>미락</t>
  </si>
  <si>
    <t>[선물세트] 법성포참맛 프리미엄 굴비 오가세트 2.0kg</t>
  </si>
  <si>
    <t>[밀크앤허니] 생크림 크로와상 (70g X 8개)</t>
  </si>
  <si>
    <t>크로와상</t>
  </si>
  <si>
    <t>밀크앤허니</t>
  </si>
  <si>
    <t>[선물세트] 자연산 민어굴비 세트 1.8kg</t>
  </si>
  <si>
    <t>민어굴비</t>
  </si>
  <si>
    <t>[고메] 소바바치킨 마쏘킥 순살 240g</t>
  </si>
  <si>
    <t>[맹가졸리] 언필터 사과식초 500ml / 1L</t>
  </si>
  <si>
    <t>맹가졸리</t>
  </si>
  <si>
    <t>[Ozen] 훈제연어 슬라이스 180g 3종 (냉장) (택1)</t>
  </si>
  <si>
    <t>Ozen</t>
  </si>
  <si>
    <t>[KF365] 통통한 그릴 비엔나 소시지 700g</t>
  </si>
  <si>
    <t>[한양식품] 꽃보다 오징어 매코미 150g</t>
  </si>
  <si>
    <t>오징어 스낵</t>
  </si>
  <si>
    <t>[MPARK][2봉구매시 1봉 9,990원] 미국산 블랙라벨 네이블 오렌지 1kg (5~6입)</t>
  </si>
  <si>
    <t>[녹차원] 제로슈가 라떼 블렌드 (10g X 7개) 4종 (택1)</t>
  </si>
  <si>
    <t>라떼</t>
  </si>
  <si>
    <t>[만토바] 선드라이드 토마토 페이스트</t>
  </si>
  <si>
    <t>토마토 페이스트</t>
  </si>
  <si>
    <t>청정원 베트남 쌀국수 소스, 370g, 1개 4,690원 (100g당 1,268원) 내일(일) 도착 보장 5 (5382) 최대 235원 적립</t>
  </si>
  <si>
    <t>쌀국수 양념</t>
  </si>
  <si>
    <t>[더오담] 고추장양념 오리불고기 200g</t>
  </si>
  <si>
    <t>더오담</t>
  </si>
  <si>
    <t>[My little recipe] 사리듬뿍 순살 닭갈비 대용량 (3~4인용)</t>
  </si>
  <si>
    <t>[피스피스] 레몬 러버스 파이 138g</t>
  </si>
  <si>
    <t>파이</t>
  </si>
  <si>
    <t>피스피스</t>
  </si>
  <si>
    <t>카누 더블샷 라떼 커피믹스 스틱, 13.5g, 30개입, 1개 12,490원 (10g당 308원) 내일(일) 새벽 도착 보장 5 (293) 최대 625원 적립</t>
  </si>
  <si>
    <t>국내산 감자(특), 1kg, 2개 12,200원 (100g당 610원) 내일(일) 새벽 도착 보장 4.5 (21699) 최대 610원 적립</t>
  </si>
  <si>
    <t>선진포크한돈 미박 뒷사태 수육용 600g + 분말스프 세트 (냉장), 1세트 8,700원 (100g당 1,279원) 내일(일) 새벽 도착 보장 4.5 (997) 최대 435원 적립</t>
  </si>
  <si>
    <t>사태</t>
  </si>
  <si>
    <t>연두 요리에센스 진, 500ml, 2개 40%19,960원 11,960원 (10ml당 120원) 내일(일) 도착 보장 5 (20321) 최대 598원 적립</t>
  </si>
  <si>
    <t>연두</t>
  </si>
  <si>
    <t>쌈다시마, 3kg, 1박스 8,900원 (100g당 297원) 내일(일) 새벽 도착 보장 4.5 (638) 최대 395원 적립</t>
  </si>
  <si>
    <t>쌈다시마</t>
  </si>
  <si>
    <t>[맹가졸리] 발사믹 모데나 식초 2종 (택1)</t>
  </si>
  <si>
    <t>[매일] 바나나는 원래 하얗다 (190mL X 6개)</t>
  </si>
  <si>
    <t>바나나 우유</t>
  </si>
  <si>
    <t>[보물섬] ASC인증 친환경 전복 2종 (생물) (택1)</t>
  </si>
  <si>
    <t>전복</t>
  </si>
  <si>
    <t>보물섬</t>
  </si>
  <si>
    <t>[삼삼물산] 통영 석화굴  2kg (생물) (가열조리용)</t>
  </si>
  <si>
    <t>삼삼물산</t>
  </si>
  <si>
    <t>맛잽이식품 매운양념닭발 (냉동), 600g, 1개 17,600원 (100g당 2,933원) 내일(일) 새벽 도착 보장 4.5 (10383) 최대 880원 적립</t>
  </si>
  <si>
    <t>맛잽이식품</t>
  </si>
  <si>
    <t>[경복궁 BLACK] 칼집 LA 갈비 600g</t>
  </si>
  <si>
    <t>궁</t>
  </si>
  <si>
    <t>덴마크 요거밀 통오트 아몬드 8개입, 85g, 8개 6,150원 (10g당 90원) 내일(일) 새벽 도착 보장 5 (234) 최대 308원 적립</t>
  </si>
  <si>
    <t>오트 요거트</t>
  </si>
  <si>
    <t>[파스퇴르] 저온살균 흰우유 900mL</t>
  </si>
  <si>
    <t>[Kurly's] 국산콩 두부 3종 (택2)</t>
  </si>
  <si>
    <t>[비비비당] 단호박 빙수 180mL</t>
  </si>
  <si>
    <t>빙수</t>
  </si>
  <si>
    <t>비비비당</t>
  </si>
  <si>
    <t>[아즈마] 무염 유기농 소립 낫또 3개입 (120g)</t>
  </si>
  <si>
    <t>낫또</t>
  </si>
  <si>
    <t>아즈마</t>
  </si>
  <si>
    <t>[TEMOLE] 아보카도칩 3종 (택1)</t>
  </si>
  <si>
    <t>아보카도칩</t>
  </si>
  <si>
    <t>TEMOLE</t>
  </si>
  <si>
    <t>[풀무원] 밀누들 국물떡볶이 2인분</t>
  </si>
  <si>
    <t>[캐시밸리] 미국 전통 치즈 4종 (택1)</t>
  </si>
  <si>
    <t>캐시밸리</t>
  </si>
  <si>
    <t>[학림다방] 드립백 2종 (택1)</t>
  </si>
  <si>
    <t>학림다방</t>
  </si>
  <si>
    <t>대천김 미니도시락김 G3240-K 6p, 2g, 10개 42%5,900원 3,400원 (10g당 1,700원) 내일(일) 도착 보장 5 (429) 최대 170원 적립</t>
  </si>
  <si>
    <t>[라빈리커픽업]신퀀타 꼴레지오네 (와인)</t>
  </si>
  <si>
    <t>라빈리커픽업</t>
  </si>
  <si>
    <t>[남도우애] 무항생제 1++ 한우 우둔 장조림용 200g (냉장)</t>
  </si>
  <si>
    <t>봄나물 샘플러 400g</t>
  </si>
  <si>
    <t>봄나물</t>
  </si>
  <si>
    <t>[존쿡 델리미트] 카나디언 베이컨</t>
  </si>
  <si>
    <t>존쿡 델리미트</t>
  </si>
  <si>
    <t>[부산어포] 우리쌀로 만든 부산어포 4종 (택1)</t>
  </si>
  <si>
    <t>부산 어포</t>
  </si>
  <si>
    <t>부산어포</t>
  </si>
  <si>
    <t>[대천김] 곱창 캔김 30g</t>
  </si>
  <si>
    <t>[올가] 우리밀 카레가루 2종 (택1)</t>
  </si>
  <si>
    <t>카레가루</t>
  </si>
  <si>
    <t>[풀무원] 동물복지 한입 쏙 팝콘 치킨 500g</t>
  </si>
  <si>
    <t>냉동 팝콘치킨</t>
  </si>
  <si>
    <t>[이웃집통통이] 블루베리크림 쫀득빵 180g</t>
  </si>
  <si>
    <t>쫀득빵</t>
  </si>
  <si>
    <t>이웃집통통이</t>
  </si>
  <si>
    <t>[광동생활건강] 배도라지쌍화스틱 (30포)+쇼핑백</t>
  </si>
  <si>
    <t>광동</t>
  </si>
  <si>
    <t>[일월상단] 청 3종 (택1)</t>
  </si>
  <si>
    <t>일월상단</t>
  </si>
  <si>
    <t>[광동생활건강] 배도라지쌍화스틱 100포</t>
  </si>
  <si>
    <t>[기장물산] 바사삭 순살 먹태 (소스 증정)</t>
  </si>
  <si>
    <t>[파스키에] 스트로베리 타르트 800g</t>
  </si>
  <si>
    <t>[오뚜기] UNO 사각피자 4종 (택1)</t>
  </si>
  <si>
    <t>냉동 돈까스</t>
  </si>
  <si>
    <t>[선물세트] 송강당 대명공진보 +(보자기 포장 및 쇼핑백 증정)</t>
  </si>
  <si>
    <t>[편스토랑X온더고] 이정현의 대파크림 파스타</t>
  </si>
  <si>
    <t>편스토랑X온더고</t>
  </si>
  <si>
    <t>[귤로장생] 제주 감귤 2.5kg (비가림)</t>
  </si>
  <si>
    <t>귤</t>
  </si>
  <si>
    <t>귤로장생</t>
  </si>
  <si>
    <t>해태htb 갈배사이다, 210ml, 30개 12,220원 (100ml당 194원) 내일(일) 도착 보장 새 상품, 반품-미개봉 (14) 최저11,600원 5 (17148) 최대 611원 적립</t>
  </si>
  <si>
    <t>갈배 사이다</t>
  </si>
  <si>
    <t>해태htb</t>
  </si>
  <si>
    <t>[팔팔호랑이] 자연벌꿀 생강청 450g</t>
  </si>
  <si>
    <t>생강청</t>
  </si>
  <si>
    <t>팔팔호랑이</t>
  </si>
  <si>
    <t>펩시 제로슈거 라임향, 210ml, 30개 14,500원 (100ml당 230원) 내일(일) 도착 보장 5 (183064) 최대 725원 적립</t>
  </si>
  <si>
    <t>펩시 제로슈거 라임</t>
  </si>
  <si>
    <t>펩시</t>
  </si>
  <si>
    <t>[귤로장생] 제주 하우스 감귤 1kg</t>
  </si>
  <si>
    <t>[그레이스] 블루베리 퓨레 100 14포</t>
  </si>
  <si>
    <t>그레이스</t>
  </si>
  <si>
    <t>[아침엔본죽] 쇠고기죽</t>
  </si>
  <si>
    <t>아침엔본죽</t>
  </si>
  <si>
    <t>[워커힐] 곰탕</t>
  </si>
  <si>
    <t>워커힐</t>
  </si>
  <si>
    <t>[씨알로] 뽀로로 오곡 초코로핀 시리얼 520g</t>
  </si>
  <si>
    <t>오곡 시리얼</t>
  </si>
  <si>
    <t>씨알로</t>
  </si>
  <si>
    <t>[KF365] 에어프라이어용 통안심카츠 280g(70g*4ea)</t>
  </si>
  <si>
    <t>[이디야]  커피믹스 4종 (택1)</t>
  </si>
  <si>
    <t>이디야</t>
  </si>
  <si>
    <t>복이네먹거리 껍질째 들깨가루 탕용, 1kg, 1개 27%12,870원 9,290원 (100g당 929원) 내일(일) 도착 보장 4.5 (281) 최대 465원 적립</t>
  </si>
  <si>
    <t>복이네먹거리</t>
  </si>
  <si>
    <t>[이차돌] 된장찌개</t>
  </si>
  <si>
    <t>이차돌</t>
  </si>
  <si>
    <t>[Chai797] 새우 듬뿍 하가우 250g</t>
  </si>
  <si>
    <t>Chai797</t>
  </si>
  <si>
    <t>평창수 무라벨 생수, 500ml, 40개 31%15,900원 10,940원 (100ml당 55원) 내일(일) 도착 보장 5 (164239) 최대 547원 적립</t>
  </si>
  <si>
    <t>평창수</t>
  </si>
  <si>
    <t>[그린너트] 구운 아몬드 1kg</t>
  </si>
  <si>
    <t>그린너트</t>
  </si>
  <si>
    <t>[오로바일렌] 엑스트라버진 올리브오일 카사델아구아 250mL</t>
  </si>
  <si>
    <t>오로바일렌</t>
  </si>
  <si>
    <t>백설 프락토 올리고당, 1.2kg, 3개 49%19,440원 9,800원 (10g당 27원) 내일(일) 도착 보장 5 (43891) 최대 490원 적립</t>
  </si>
  <si>
    <t>올리고당</t>
  </si>
  <si>
    <t>국내산 절단대파, 1kg, 1개 5,290원 (100g당 529원) 내일(일) 새벽 도착 보장 4.5 (183785) 최대 265원 적립</t>
  </si>
  <si>
    <t>대파</t>
  </si>
  <si>
    <t>[광천김] 오가닉김 도시락김 9단</t>
  </si>
  <si>
    <t>한끼 파프리카 1입 2종</t>
  </si>
  <si>
    <t>한끼</t>
  </si>
  <si>
    <t>100% 국산 어린꼬투리 해솔당 어린 꼬투리로 고소하게 볶은 작두콩차, 1개, 120g, 1개입 13%11,400원 9,900원 (10g당 825원) 내일(일) 도착 보장 5 (1052) 최대 495원 적립</t>
  </si>
  <si>
    <t>목우촌 국내산 소고기 등심 구이용 (냉장), 200g, 1개 54%25,990원 11,900원 (100g당 5,950원) 내일(일) 새벽 도착 보장 4.5 (1911) 최대 545원 적립</t>
  </si>
  <si>
    <t>곰곰 냉동 흰다리 새우살, 300g(24~33미), 1개 32%10,900원 7,390원 (100g당 2,463원) 내일(일) 새벽 도착 보장 5 (114048) 최대 370원 적립</t>
  </si>
  <si>
    <t>[전통주] 참주가 동해밤바다 증류주 (17.2도 360mL)</t>
  </si>
  <si>
    <t>곰곰 알뜰두부, 800g, 1팩 1,990원 (100g당 249원) 내일(일) 새벽 도착 보장 5 (62337) 최대 100원 적립</t>
  </si>
  <si>
    <t>맥심 아라비카 100 커피믹스, 11.8g, 100개입, 2개 34,100원 (10g당 144원) 내일(일) 도착 보장 5 (20115) 최대 1,705원 적립</t>
  </si>
  <si>
    <t>[잭링크스] 인기 육포 모아보기 5종 (택1)</t>
  </si>
  <si>
    <t>잭링크스</t>
  </si>
  <si>
    <t>100% 국산 탈피 비이츠 고소함 담은 들깨가루, 1개, 200g 할인48%26,900원 13,900원 (100g당 6,950원) 내일(일) 도착 보장 5 (2831) 최대 695원 적립</t>
  </si>
  <si>
    <t>[CU 픽업] 듀어스 캐리비안스무스 8년</t>
  </si>
  <si>
    <t>유기농 부추 150g</t>
  </si>
  <si>
    <t>부추</t>
  </si>
  <si>
    <t>올계 유기농 치킨스톡, 140g, 1개 13,700원 (100g당 9,786원) 내일(일) 도착 보장 4.5 (1479) 최대 685원 적립</t>
  </si>
  <si>
    <t>올계</t>
  </si>
  <si>
    <t>[CU 픽업] 샴페인 마이 엑스트라 브뤼</t>
  </si>
  <si>
    <t>미원 맛소금, 2kg, 1개 6,100원 (100g당 305원) 내일(일) 도착 보장 5 (82879) 최대 305원 적립</t>
  </si>
  <si>
    <t>맛소금</t>
  </si>
  <si>
    <t>미원</t>
  </si>
  <si>
    <t>[그린너트] 구운 피스타치오 500g</t>
  </si>
  <si>
    <t>피스타치오</t>
  </si>
  <si>
    <t>[내츄럴스파이스]크리스피 양파</t>
  </si>
  <si>
    <t>내츄럴스파이스</t>
  </si>
  <si>
    <t>서울우유 초코 우유, 200ml, 24개 22%20,880원 16,190원 (100ml당 337원) 내일(일) 도착 보장 5 (25891) 최대 810원 적립</t>
  </si>
  <si>
    <t>그린래빗 루꼴라 &amp; 샐러드 Kit, 180g, 1개 3,690원 (100g당 2,050원) 내일(일) 새벽 도착 보장 4.5 (1636) 최대 185원 적립</t>
  </si>
  <si>
    <t>[바름팜] 친환경 고사리 300g</t>
  </si>
  <si>
    <t>고사리</t>
  </si>
  <si>
    <t>롯데웰푸드 엄마손파이, 254g, 2개 19%10,560원 8,460원 (10g당 167원) 내일(일) 도착 보장 5 (24203) 최대 423원 적립</t>
  </si>
  <si>
    <t>엄마손 파이</t>
  </si>
  <si>
    <t>롯데웰푸드</t>
  </si>
  <si>
    <t>[그린너트] 껍질 없는 생 피스타치오 170g</t>
  </si>
  <si>
    <t>[르 와플] 길거리 와플 3종 (2개입) (택1)</t>
  </si>
  <si>
    <t>와플</t>
  </si>
  <si>
    <t>르 와플</t>
  </si>
  <si>
    <t>표고버섯 500g</t>
  </si>
  <si>
    <t>여수 건어물 시장 멸치 볶음용, 1개, 200g 6,540원 (100g당 3,270원) 내일(일) 새벽 도착 보장 4.5 (818) 최대 327원 적립</t>
  </si>
  <si>
    <t>[마더푸드]  쪽갈비 2종</t>
  </si>
  <si>
    <t>쪽갈비</t>
  </si>
  <si>
    <t>마더푸드</t>
  </si>
  <si>
    <t>순창궁 태양초 고추장, 3kg, 1개 57%19,800원 8,480원 (100g당 283원) 내일(일) 새벽 도착 보장 4.5 (2156) 최대 424원 적립</t>
  </si>
  <si>
    <t>고추장</t>
  </si>
  <si>
    <t>[롯데] 크런키 더블크런치바 미니 스트로베리 &amp; 바나나 313.5g</t>
  </si>
  <si>
    <t>크런키</t>
  </si>
  <si>
    <t>백설 고소함 가득 참기름, 450ml, 1개 55%14,400원 6,370원 (10ml당 142원) 내일(일) 도착 보장 5 (42854) 최대 319원 적립</t>
  </si>
  <si>
    <t>[그래놀라 하우스] 그래놀라 5종 (택1)</t>
  </si>
  <si>
    <t>그래놀라 하우스</t>
  </si>
  <si>
    <t>[CU 픽업] 주라 레드와인 캐스크</t>
  </si>
  <si>
    <t>햇반 잡곡밥, 130g, 6개 6,540원 (100g당 838원) 내일(일) 도착 보장 새 상품, 반품-미개봉 (2) 최저6,210원 5 (791) 최대 327원 적립</t>
  </si>
  <si>
    <t>즉석밥 잡곡</t>
  </si>
  <si>
    <t>곰곰 신선한 저지방우유, 900ml, 4개 7,380원 (100ml당 205원) 내일(일) 새벽 도착 보장 5 (54675) 최대 369원 적립</t>
  </si>
  <si>
    <t>맥심 화이트골드 커피믹스, 11.7g, 100개입, 1개 16,900원 (10g당 144원) 내일(일) 도착 보장 5 (302208) 최대 845원 적립</t>
  </si>
  <si>
    <t>청정원 찜닭 양념, 280g, 1개 3,200원 (100g당 1,143원) 내일(일) 새벽 도착 보장 5 (1656) 최대 160원 적립</t>
  </si>
  <si>
    <t>찜닭 양념</t>
  </si>
  <si>
    <t>[아그로수퍼] 수입산 돼지고기 구이용 5종 골라담기</t>
  </si>
  <si>
    <t>모듬 돼지고기</t>
  </si>
  <si>
    <t>아그로수퍼</t>
  </si>
  <si>
    <t>[포크밸리] 한돈 대패 목살 300g(냉동)</t>
  </si>
  <si>
    <t>[여왕의 논아르] 무알콜 카베르네소비뇽 350mL</t>
  </si>
  <si>
    <t>[남도2대명가] 색색 하루해초 샐러드 8g X 10입</t>
  </si>
  <si>
    <t>남도2대명가</t>
  </si>
  <si>
    <t>[언니가 숨겨놓은 과자상자] 러브베어 쿠키세트 (5개입)</t>
  </si>
  <si>
    <t>[그라놀로지] 그래놀라 시그니처 패키지 7종 (택1)</t>
  </si>
  <si>
    <t>그라놀로지</t>
  </si>
  <si>
    <t>[우드앤브릭] 호밀빵 3종 (택1)</t>
  </si>
  <si>
    <t>호밀빵</t>
  </si>
  <si>
    <t>우드앤브릭</t>
  </si>
  <si>
    <t>[Picard] 누아제뜨 감자</t>
  </si>
  <si>
    <t>누아제뜨</t>
  </si>
  <si>
    <t>Picard</t>
  </si>
  <si>
    <t>매일유업 연유, 500g, 2개 8,850원 (100g당 885원) 내일(일) 새벽 도착 보장 5 (10083) 최대 443원 적립</t>
  </si>
  <si>
    <t>연유</t>
  </si>
  <si>
    <t>[마이셰프] 알찬 고기 마파두부</t>
  </si>
  <si>
    <t>[오뚜기] 진라면 순한맛 5입</t>
  </si>
  <si>
    <t>진라면 순한맛</t>
  </si>
  <si>
    <t>[그린너트] 마르코나 아몬드 300g</t>
  </si>
  <si>
    <t>밀카 초콜릿 버블리, 90g, 2개 35%9,600원 6,160원 (10g당 342원) 내일(일) 도착 보장 5 (1392) 최대 293원 적립</t>
  </si>
  <si>
    <t>밀카 초콜릿</t>
  </si>
  <si>
    <t>밀카</t>
  </si>
  <si>
    <t>[CU 픽업] 휘틀리닐드라이진</t>
  </si>
  <si>
    <t>아이시스 8.0 ECO 생수 무라벨, 300ml, 40개 5%12,000원 11,370원 (100ml당 95원) 내일(일) 도착 보장 5 (117916) 최대 569원 적립</t>
  </si>
  <si>
    <t>[자연실록] 동물복지 소스 닭가슴살 큐브 스테이크 4종</t>
  </si>
  <si>
    <t>자연실록</t>
  </si>
  <si>
    <t>[도스타코스] 부리또 2종 (택1)</t>
  </si>
  <si>
    <t>부리또</t>
  </si>
  <si>
    <t>도스타코스</t>
  </si>
  <si>
    <t>[오뚜기] 빵가루 1KG</t>
  </si>
  <si>
    <t>빵가루</t>
  </si>
  <si>
    <t>[쉐푸드] 리코타 크랜베리 샌드위치 패밀리팩 (4입)</t>
  </si>
  <si>
    <t>[그린너트] 마카다미아 300g</t>
  </si>
  <si>
    <t>마카다미아</t>
  </si>
  <si>
    <t>[종가] 맛김치 1.7kg</t>
  </si>
  <si>
    <t>[그린너트] 바나나칩 500g</t>
  </si>
  <si>
    <t>씨그램 라임 무라벨 탄산수, 450ml, 20개 11,900원 (100ml당 132원) 내일(일) 도착 보장 5 (8659) 최대 595원 적립</t>
  </si>
  <si>
    <t>씨그램</t>
  </si>
  <si>
    <t>[피코크] 진한 육개장</t>
  </si>
  <si>
    <t>피코크</t>
  </si>
  <si>
    <t>[CJ] 주부초밥왕 롤 유부초밥 229g</t>
  </si>
  <si>
    <t>[덕화명란] 인기 명란 4종 (택1)</t>
  </si>
  <si>
    <t>[이금선명인] 갈치쌈젓 160g</t>
  </si>
  <si>
    <t>갈치쌈젓</t>
  </si>
  <si>
    <t>이금선명인</t>
  </si>
  <si>
    <t>[오설록] 제주 유채 &amp; 살구향 티백 (2g X 10개)</t>
  </si>
  <si>
    <t>[켈로그] 오곡 첵스초코 쿠키앤크림 420g</t>
  </si>
  <si>
    <t>백제 즉석쌀국수, 92g, 30개 21%36,000원 28,350원 (100g당 1,027원) 내일(일) 도착 보장 5 (62954) 최대 1,418원 적립</t>
  </si>
  <si>
    <t>백제</t>
  </si>
  <si>
    <t>[ISFI] 파슬리 12g</t>
  </si>
  <si>
    <t>ISFI</t>
  </si>
  <si>
    <t>[KF365] 1+등급 무항생제 특란 20구</t>
  </si>
  <si>
    <t>[하림] 수비드 냉장 닭가슴살 5종 (1개입/6개입)</t>
  </si>
  <si>
    <t>해찬들 사계절 쌈장, 500g, 1개 40%4,900원 2,920원 (100g당 584원) 내일(일) 새벽 도착 보장 5 (1140) 최대 146원 적립</t>
  </si>
  <si>
    <t>[Kurly's] 간편하게 바삭, 야채 김말이</t>
  </si>
  <si>
    <t>리프레쉬 꽃보다오징어 꾸이 오징어, 1개, 200g 34%17,500원 11,420원 (100g당 5,710원) 1,500원 와우 가입 쿠폰 내일(일) 도착 보장 4.5 (5502) 최대 496원 적립</t>
  </si>
  <si>
    <t>리프레쉬</t>
  </si>
  <si>
    <t>[커피화] 파우더 커피 10g 3종 (택1)</t>
  </si>
  <si>
    <t>커피화</t>
  </si>
  <si>
    <t>이클립스 피치, 34g, 3개 5,950원 (10g당 583원) 내일(일) 도착 보장 5 (31563) 최대 298원 적립</t>
  </si>
  <si>
    <t>이클립스</t>
  </si>
  <si>
    <t>워커스논서치 어쏠티드 토피스 앤드 초콜릿 에클레어, 920g, 1개 14,480원 (10g당 157원) 내일(일) 도착 보장 5 (5025) 최대 724원 적립</t>
  </si>
  <si>
    <t>에클레어</t>
  </si>
  <si>
    <t>[선물세트] 바다숲 감태 &amp; 김 세트</t>
  </si>
  <si>
    <t>[매일] 소화가 잘 되는 우유(190mL X 6팩)</t>
  </si>
  <si>
    <t>오리지널그레인 볶은 통참깨, 1kg, 1개 10,800원 (100g당 1,080원) 내일(일) 새벽 도착 보장 5 (1138) 최대 540원 적립</t>
  </si>
  <si>
    <t>참깨</t>
  </si>
  <si>
    <t>[그린너트] 볶음땅콩(분태) 500g</t>
  </si>
  <si>
    <t>땅콩 분태</t>
  </si>
  <si>
    <t>[조선호텔] 한우 불고기 500g(냉동)</t>
  </si>
  <si>
    <t>유기농 양배추 1통 (800g)</t>
  </si>
  <si>
    <t>한끼통살 닭가슴살 볼 5종 x 2개 믹스세트 (냉동), 100g, 1개입, 10개 15,900원 (100g당 1,590원) 내일(일) 새벽 도착 보장 5 (4550) 최대 795원 적립</t>
  </si>
  <si>
    <t>닭가슴살 볼</t>
  </si>
  <si>
    <t>사조참치 안심따개 살코기, 85g, 4개 40%8,990원 5,360원 (1세트당 1,340원) 내일(일) 새벽 도착 보장 5 (5724) 최대 268원 적립</t>
  </si>
  <si>
    <t>[허쉬] 콘 아이스크림 2종 (150mL X 3개)</t>
  </si>
  <si>
    <t>유동 번데기 통조림, 280g, 6개 10,380원 (10g당 62원) 내일(일) 도착 보장 4.5 (22826) 최대 519원 적립</t>
  </si>
  <si>
    <t>번데기 통조림</t>
  </si>
  <si>
    <t>[자임] 콜라겐 젤리 2종 14포</t>
  </si>
  <si>
    <t>카누 마일드 로스트 스위트 아메리카노 원두커피믹스, 2.9g, 120개입, 1개 24,490원 (10g당 704원) 내일(일) 도착 보장 5 (12778) 최대 1,225원 적립</t>
  </si>
  <si>
    <t>[고래사] 어묵말이 4종 (택1)</t>
  </si>
  <si>
    <t>[그린너트] 아몬드분태 500g</t>
  </si>
  <si>
    <t>아몬드 분태</t>
  </si>
  <si>
    <t>[훕훕베이글] 시그니처 베이글 12종 (택1)</t>
  </si>
  <si>
    <t>베이글</t>
  </si>
  <si>
    <t>훕훕베이글</t>
  </si>
  <si>
    <t>[포트'럭] 국산 바지락살 150g (생물)</t>
  </si>
  <si>
    <t>바지락</t>
  </si>
  <si>
    <t>청정원 멸치 액젓 골드, 500g, 1개 3,260원 (10g당 65원) 내일(일) 새벽 도착 보장 5 (877) 최대 163원 적립</t>
  </si>
  <si>
    <t>[도제식빵] 탕종 모닝빵 2종 (택1)</t>
  </si>
  <si>
    <t>[Chai797] 딤섬 새우 창펀 300g</t>
  </si>
  <si>
    <t>[오가닉스토리] 유기농 현미 롱롱스틱 4종</t>
  </si>
  <si>
    <t>곡물 스틱</t>
  </si>
  <si>
    <t>오가닉스토리</t>
  </si>
  <si>
    <t>담터 단호박마차, 17g, 50개입, 1개 13%15,900원 13,740원 (10g당 162원) 내일(일) 도착 보장 4.5 (18284) 최대 687원 적립</t>
  </si>
  <si>
    <t>호박차</t>
  </si>
  <si>
    <t>[팩] 밀양 깻잎, 100g, 1팩 3,590원 (100g당 3,590원) 내일(일) 새벽 도착 보장 4.5 (39591) 최대 180원 적립</t>
  </si>
  <si>
    <t>깻잎</t>
  </si>
  <si>
    <t>팩</t>
  </si>
  <si>
    <t>하선정 멸치액젓 골드, 400g, 1개 3,830원 (10g당 96원) 내일(일) 도착 보장 5 (5233) 최대 191원 적립</t>
  </si>
  <si>
    <t>멸치액젓</t>
  </si>
  <si>
    <t>하선정</t>
  </si>
  <si>
    <t>더담은 2025년산 햅쌀 고시히카리 백미, 특등급, 4kg, 1개 28%27,900원 19,900원 (100g당 498원) 내일(일) 도착 보장 4.5 (3745) 최대 995원 적립</t>
  </si>
  <si>
    <t>더담은</t>
  </si>
  <si>
    <t>삼립호빵 발효미종 듬뿍피자 호빵, 95g, 4개입, 1개 4,990원 (10g당 131원) 내일(일) 새벽 도착 보장 5 (4497) 최대 250원 적립</t>
  </si>
  <si>
    <t>해맑은푸드 제수용 황태포, 70g, 1개 15%5,900원 4,980원 (100g당 7,114원) 내일(일) 도착 보장 4.5 (7797) 최대 224원 적립</t>
  </si>
  <si>
    <t>[타쿠미야] 고급생식빵 788g</t>
  </si>
  <si>
    <t>타쿠미야</t>
  </si>
  <si>
    <t>[스웰리] 골라 먹는 샌드위치 6종 (택1)</t>
  </si>
  <si>
    <t>스웰리</t>
  </si>
  <si>
    <t>[리얼파머스] 덴마크 브리 치즈 125g</t>
  </si>
  <si>
    <t>유기가공식품 인증 웰팜넷 유기농 다진단호박 (냉동), 100g, 1개 2,690원 (100g당 2,690원) 내일(일) 새벽 도착 보장 5 (3432) 최대 135원 적립</t>
  </si>
  <si>
    <t>단호박</t>
  </si>
  <si>
    <t>[천일식품] 사누끼 우동면</t>
  </si>
  <si>
    <t>천일식품</t>
  </si>
  <si>
    <t>[난축맛돈] 목살 구이용 300g</t>
  </si>
  <si>
    <t>난축맛돈</t>
  </si>
  <si>
    <t>매일우유 추억의 자판기 우유맛 분말 스틱, 20g, 10개입, 1개 5,100원 (10g당 255원) 내일(일) 새벽 도착 보장 5 (456) 최대 255원 적립</t>
  </si>
  <si>
    <t>우유 분말</t>
  </si>
  <si>
    <t>[그린너트] 점보건포도 500g</t>
  </si>
  <si>
    <t>건포도</t>
  </si>
  <si>
    <t>[넘버원양꼬치] 북경식 통오리 밀전병</t>
  </si>
  <si>
    <t>넘버원양꼬치</t>
  </si>
  <si>
    <t>간편한 자른 미역, 100g, 1개 2,990원 (100g당 2,990원) 내일(일) 도착 보장 5 (969) 최대 150원 적립</t>
  </si>
  <si>
    <t>[매일] 바이오 요거트 8개입 (딸기&amp;백도)</t>
  </si>
  <si>
    <t>곰곰 알뜰두부, 800g, 2팩 3,860원 (100g당 241원) 내일(일) 새벽 도착 보장 5 (62337) 최대 193원 적립</t>
  </si>
  <si>
    <t>[바로생활] 아카시아꿀 500g</t>
  </si>
  <si>
    <t>바로생활</t>
  </si>
  <si>
    <t>무항생제 1등급 암퇘지 삼겹(찌개용) 2종</t>
  </si>
  <si>
    <t>삼겹살</t>
  </si>
  <si>
    <t>[널담] 쿠키 6입 (50g x 6입)</t>
  </si>
  <si>
    <t>널담</t>
  </si>
  <si>
    <t>그릭데이 플레인 요거트 오리지널, 1.8L, 1개 7,980원 내일(일) 새벽 도착 보장 5 (20157) 최대 399원 적립</t>
  </si>
  <si>
    <t>그릭데이</t>
  </si>
  <si>
    <t>[이목] 국내산 소고기 국거리용 200g 2종 (냉장)</t>
  </si>
  <si>
    <t>[아마틀러] 리프 초콜릿 틴 케이스 4종 (택1)</t>
  </si>
  <si>
    <t>아마틀러</t>
  </si>
  <si>
    <t>[풀무원] 육즙 듬뿍만두 (렌지용)</t>
  </si>
  <si>
    <t>[그린너트] 해바라기씨 1kg</t>
  </si>
  <si>
    <t>해바라기씨</t>
  </si>
  <si>
    <t>[종가] 깍두기 750g</t>
  </si>
  <si>
    <t>이롬 황성주 박사의 국산콩 두유 검은콩 고칼슘, 190ml, 20개 76%48,000원 11,360원 (100ml당 299원) 내일(일) 새벽 도착 보장 5 (23097) 최대 568원 적립</t>
  </si>
  <si>
    <t>[잔다리마을] 잔다리 전두부</t>
  </si>
  <si>
    <t>잔다리마을</t>
  </si>
  <si>
    <t>[노티드] 브라운베어 케이크 180g</t>
  </si>
  <si>
    <t>마이노멀 저당 마요네즈, 260g, 1개 37%15,900원 9,980원 (100g당 3,838원) 내일(일) 새벽 도착 보장 5 (6619) 최대 499원 적립</t>
  </si>
  <si>
    <t>파스퇴르 바른목장 산양프로틴 우유, 750ml, 1개 6,980원 (100ml당 931원) 내일(일) 새벽 도착 보장 5 (2672) 최대 349원 적립</t>
  </si>
  <si>
    <t>[그린너트] 호두 1kg</t>
  </si>
  <si>
    <t>호두</t>
  </si>
  <si>
    <t>하인즈 데미 돈까스 소스, 400g, 1개 4,380원 (100g당 1,095원) 내일(일) 도착 보장 새 상품, 반품-미개봉 (13) 최저4,160원 5 (2187) 최대 219원 적립</t>
  </si>
  <si>
    <t>돈까스 소스</t>
  </si>
  <si>
    <t>광천김 3대째 달인 재래 도시락김, 4g, 20개 6%9,500원 8,920원 (10g당 1,115원) 내일(일) 도착 보장 4.5 (11907) 최대 446원 적립</t>
  </si>
  <si>
    <t>[선물세트] 바다소리 해품은 김 세트</t>
  </si>
  <si>
    <t>[라빈리커픽업] 글렌 모렌지 18년 디 인피니타 (위스키)</t>
  </si>
  <si>
    <t>오뚜기 진라면 매운맛 120g, 20개 18%15,680원 12,800원 (1개당 640원) 내일(일) 도착 보장 5 (516825) 최대 640원 적립</t>
  </si>
  <si>
    <t>진라면 매운맛</t>
  </si>
  <si>
    <t>[비움반찬] 고추장제육볶음</t>
  </si>
  <si>
    <t>[언니가 숨겨놓은 과자상자] 하트곰돌이 쿠키세트 (16g X 6개입)</t>
  </si>
  <si>
    <t>오리온 왕고래밥 볶음양념맛, 56g, 6개 42%9,500원 5,440원 (10g당 162원) 내일(일) 도착 보장 5 (9864) 최대 272원 적립</t>
  </si>
  <si>
    <t>오리온</t>
  </si>
  <si>
    <t>갯푸른 간편 매생이 블럭, 2g, 10개 15,700원 (100g당 78,500원) 내일(일) 도착 보장 5 (2882) 최대 785원 적립</t>
  </si>
  <si>
    <t>매생이</t>
  </si>
  <si>
    <t>갯푸른</t>
  </si>
  <si>
    <t>빼빼로 샘플러 6종, 1세트, 257g 할인39%12,000원 7,260원 (10g당 282원) 내일(일) 도착 보장 5 (5422) 최대 363원 적립</t>
  </si>
  <si>
    <t>빼빼로</t>
  </si>
  <si>
    <t>[선진포크한돈] 앞다리 불고기 400g</t>
  </si>
  <si>
    <t>해표 압착 올리브유, 900ml, 2개 59%53,000원 21,540원 (100ml당 1,197원) 내일(일) 도착 보장 5 (65241) 최대 1,077원 적립</t>
  </si>
  <si>
    <t>백설 자일로스 설탕, 1kg, 1개 10%4,480원 4,010원 (100g당 401원) 내일(일) 새벽 도착 보장 5 (936) 최대 200원 적립</t>
  </si>
  <si>
    <t>해맑은푸드 맛나포 튀김쥐포, 400g, 1개 8,900원 (100g당 2,225원) 내일(일) 도착 보장 5 (5613) 최대 445원 적립</t>
  </si>
  <si>
    <t>쥐포</t>
  </si>
  <si>
    <t>[비비고] 감태김 12봉</t>
  </si>
  <si>
    <t>[미자언니네] 세멸치볶음</t>
  </si>
  <si>
    <t>멸치볶음</t>
  </si>
  <si>
    <t>타무르 데이츠 14p, 260g, 1개 16%37,900원 31,760원 (100g당 12,215원) 내일(일) 도착 보장 5 (1038) 최대 1,588원 적립</t>
  </si>
  <si>
    <t>데이츠</t>
  </si>
  <si>
    <t>미소한입 볶음분태땅콩 분말, 1kg, 1개 9,200원 (100g당 920원) 내일(일) 도착 보장 4.5 (241) 최대 460원 적립</t>
  </si>
  <si>
    <t>미소한입</t>
  </si>
  <si>
    <t>[선물세트] 메종엠오 쿠키 6종 세트 580g</t>
  </si>
  <si>
    <t>곰표 부침가루, 1kg, 5개 9,510원 (100g당 190원) 내일(일) 도착 보장 5 (17593) 최대 475원 적립</t>
  </si>
  <si>
    <t>부침가루</t>
  </si>
  <si>
    <t>배홍동 만능소스, 300g, 2개 6,810원 (100g당 1,135원) 내일(일) 도착 보장 5 (6414) 최대 340원 적립</t>
  </si>
  <si>
    <t>만능소스</t>
  </si>
  <si>
    <t>배홍동</t>
  </si>
  <si>
    <t>유기농 찰현미 1.8kg</t>
  </si>
  <si>
    <t>찰현미</t>
  </si>
  <si>
    <t>지리산처럼 행복한 정은씨의 고소한 들깨가루, 150g, 1개 10,280원 (100g당 6,853원) 내일(일) 새벽 도착 보장 5 (882) 최대 514원 적립</t>
  </si>
  <si>
    <t>[진가네반찬] 겉절이 김치</t>
  </si>
  <si>
    <t>겉절이</t>
  </si>
  <si>
    <t>[Kim'sbutcher] 미국산 목전지 칼집 양념구이용 1kg</t>
  </si>
  <si>
    <t>목전지</t>
  </si>
  <si>
    <t>Kim'sbutcher</t>
  </si>
  <si>
    <t>푸드앤픽 곡물앤픽 국산 적두 팥, 500g, 1개 9,900원 (100g당 1,980원) 내일(일) 도착 보장 4.5 (251) 최대 495원 적립</t>
  </si>
  <si>
    <t>푸드앤픽</t>
  </si>
  <si>
    <t>상하목장 유기농 인증 우유, 900ml, 1개 4,490원 (100ml당 499원) 내일(일) 새벽 도착 보장 5 (37585) 최대 225원 적립</t>
  </si>
  <si>
    <t>[키즈텐] 홍삼 젤리 (30일분)</t>
  </si>
  <si>
    <t>키즈텐</t>
  </si>
  <si>
    <t>오뚜기 참깨라면 컵 110g, 6개 7,260원 (1개당 1,210원) 내일(일) 도착 보장 5 (54173) 최대 363원 적립</t>
  </si>
  <si>
    <t>참깨라면</t>
  </si>
  <si>
    <t>은하수산 뽀로로와 함께먹는 순살 고등어구이 (냉동), 240g, 1개 13,300원 (100g당 5,542원) 내일(일) 새벽 도착 보장 5 (3903) 최대 615원 적립</t>
  </si>
  <si>
    <t>은하수산</t>
  </si>
  <si>
    <t>복음자리 딸기잼, 500g, 1개 22%8,980원 7,000원 (100g당 1,400원) 내일(일) 도착 보장 새 상품, 반품-미개봉 (38) 최저6,650원 5 (136514) 최대 350원 적립</t>
  </si>
  <si>
    <t>딸기잼</t>
  </si>
  <si>
    <t>복음자리</t>
  </si>
  <si>
    <t>몽베스트 위드어스 무라벨 생수, 500ml, 60개 16,110원 (100ml당 54원) 내일(일) 도착 보장 5 (167581) 최대 805원 적립</t>
  </si>
  <si>
    <t>[미카구토] 코로로 과일젤리 7종 골라담기</t>
  </si>
  <si>
    <t>미카구토</t>
  </si>
  <si>
    <t>[아침엔본죽] 야채죽</t>
  </si>
  <si>
    <t>미니 양배추 (브뤼셀 스프라우트) 200g</t>
  </si>
  <si>
    <t>[농심] 새우탕 소컵 6입</t>
  </si>
  <si>
    <t>[그린너트] 호두 분태 500g</t>
  </si>
  <si>
    <t>호두 분태</t>
  </si>
  <si>
    <t>[설성목장x참이맛] 한돈감자탕</t>
  </si>
  <si>
    <t>설성목장x참이맛</t>
  </si>
  <si>
    <t>담터 포켓몬 핫초코 팽도리의 무가당 오리지널, 20g, 10개입, 2개 33%11,800원 7,800원 (10g당 195원) 내일(일) 도착 보장 5 (312) 최대 390원 적립</t>
  </si>
  <si>
    <t>핫초코</t>
  </si>
  <si>
    <t>[알펜밀크] 알프스 소화가 잘되는 락토프리 우유 1L 2종 (택1)</t>
  </si>
  <si>
    <t>알펜밀크</t>
  </si>
  <si>
    <t>[제각각] 깐마늘 500g</t>
  </si>
  <si>
    <t>제각각</t>
  </si>
  <si>
    <t>국내산 애호박, 1개입, 3개 6,920원 (1개당 2,307원) 내일(일) 새벽 도착 보장 5 (657188) 최대 346원 적립</t>
  </si>
  <si>
    <t>[기획상품] 칠레산 블루베리 125g*3팩</t>
  </si>
  <si>
    <t>블루베리</t>
  </si>
  <si>
    <t>기획상품</t>
  </si>
  <si>
    <t>[만선] 남해안 바지락 500g (생물)</t>
  </si>
  <si>
    <t>[베베쿡] 순떡뻥 20g 2종</t>
  </si>
  <si>
    <t>떡뻥</t>
  </si>
  <si>
    <t>베베쿡</t>
  </si>
  <si>
    <t>CJ제일제당 습 실비김치, 800g, 1개 13,770원 (100g당 1,721원) 내일(일) 새벽 도착 보장 4.5 (1405) 최대 689원 적립</t>
  </si>
  <si>
    <t>실비 김치</t>
  </si>
  <si>
    <t>국내산 GAP 가지, 3개입, 1개 7,030원 내일(일) 새벽 도착 보장 4.5 (7762) 최대 351원 적립</t>
  </si>
  <si>
    <t>[기획상품] 칠레산 블루베리 310g*2팩</t>
  </si>
  <si>
    <t>[파스퇴르] 무항생제 인증 바른목장 우유 (125mL X 24개입)</t>
  </si>
  <si>
    <t>달콤쫀득 호박고구마 1.5kg</t>
  </si>
  <si>
    <t>호박고구마</t>
  </si>
  <si>
    <t>달콤쫀득</t>
  </si>
  <si>
    <t>[집반찬연구소] 한우 반달오이볶음</t>
  </si>
  <si>
    <t>오이볶음</t>
  </si>
  <si>
    <t>[요플레] 마시는 요거트 프로틴 2종 (210mL X 4개) (택1)</t>
  </si>
  <si>
    <t>[차려낸] 매콤 양념 낙곱새 전골</t>
  </si>
  <si>
    <t>이어수산 통영 산지 직거래 국물용 멸치 (냉동), 500g, 1봉 12,730원 (100g당 2,546원) 내일(일) 새벽 도착 보장 4.5 (6615) 최대 636원 적립</t>
  </si>
  <si>
    <t>[보난자커피] 싱글오리진 원두 250g (고고구 에티오피아)</t>
  </si>
  <si>
    <t>보난자커피</t>
  </si>
  <si>
    <t>[킨더] 초콜릿바 미니 20개입</t>
  </si>
  <si>
    <t>초코바</t>
  </si>
  <si>
    <t>킨더</t>
  </si>
  <si>
    <t>[코코리코] 프랑스 프리미엄 엑스트라 버진 오일 3종 (택1)</t>
  </si>
  <si>
    <t>코코리코</t>
  </si>
  <si>
    <t>[강창구찹쌀진순대] 찰순대 500g (슬라이스)</t>
  </si>
  <si>
    <t>강창구찹쌀진순대</t>
  </si>
  <si>
    <t>[삼진어묵] 미니 어묵꼬치 232g</t>
  </si>
  <si>
    <t>[기획상품][Dole] 스위티오 실속 파인애플 2입</t>
  </si>
  <si>
    <t>[아우름] 수제 씨앗호떡 (100g X 5개)</t>
  </si>
  <si>
    <t>아우름</t>
  </si>
  <si>
    <t>순창궁 태양초 골드 고추장, 500g, 1개 56%8,500원 3,720원 (100g당 744원) 내일(일) 도착 보장 5 (45657) 최대 186원 적립</t>
  </si>
  <si>
    <t>[스파게티스토리] 스파게티 3종 (매운까르보나라/토마토/베이컨크림) (택1)</t>
  </si>
  <si>
    <t>스파게티스토리</t>
  </si>
  <si>
    <t>[피코크] 정갈한 소고기 미역국</t>
  </si>
  <si>
    <t>[김재식헬스푸드] 포도 한송이즙 30포</t>
  </si>
  <si>
    <t>[고래사] 사각어묵 3종 (택1)</t>
  </si>
  <si>
    <t>[김정환홍삼] 홍삼 배도라지 30포 (+쇼핑백증정)</t>
  </si>
  <si>
    <t>김정환홍삼</t>
  </si>
  <si>
    <t>[도드람한돈] 대패 앞다리살 300g (냉동)</t>
  </si>
  <si>
    <t>[워커힐] 명월관 갈비탕</t>
  </si>
  <si>
    <t>곰곰 통후추, 200g, 1개 35%7,700원 4,990원 (10g당 250원) 내일(일) 도착 보장 5 (1441) 최대 250원 적립</t>
  </si>
  <si>
    <t>통후추</t>
  </si>
  <si>
    <t>[김정환홍삼] 홍삼배도라지 100포</t>
  </si>
  <si>
    <t>[YOZM] 그릭요거트 초코소보로 그래놀라 120g</t>
  </si>
  <si>
    <t>그릭요거트</t>
  </si>
  <si>
    <t>YOZM</t>
  </si>
  <si>
    <t>[진가네반찬] 메추리알 곤약장조림</t>
  </si>
  <si>
    <t>메추리알 장조림</t>
  </si>
  <si>
    <t>[선물세트] 전통주 배상면주가 오매락 세트 (40도,500mL + 25도,375mL)</t>
  </si>
  <si>
    <t>오뚜기 향긋한 들기름, 80ml, 1개 1%5,480원 5,390원 (10ml당 674원) 내일(일) 도착 보장 5 (18949) 최대 270원 적립</t>
  </si>
  <si>
    <t>[네이처빌] 국내산쌀 97% 한끼든든쌀국수 4종 (택1)</t>
  </si>
  <si>
    <t>네이처빌</t>
  </si>
  <si>
    <t>맥심 아라비카 100 원두 커피, 270g, 1개입, 1개 14,270원 (10g당 529원) 내일(일) 도착 보장 5 (25780) 최대 714원 적립</t>
  </si>
  <si>
    <t>[비비고] 메추리알장조림170G</t>
  </si>
  <si>
    <t>서림식품 프리미엄 진참치액, 500ml, 1개 10,800원 (10ml당 216원) 내일(일) 도착 보장 5 (11961) 최대 540원 적립</t>
  </si>
  <si>
    <t>서림식품</t>
  </si>
  <si>
    <t>[클래식농원] 복숭아 병조림 3종 (택1)</t>
  </si>
  <si>
    <t>백도</t>
  </si>
  <si>
    <t>클래식농원</t>
  </si>
  <si>
    <t>[진가네반찬] 열무잘박이</t>
  </si>
  <si>
    <t>열무김치</t>
  </si>
  <si>
    <t>매일바이오 플레인 저지방 요거트, 450g, 1개입, 1개 2,940원 (10g당 65원) 내일(일) 새벽 도착 보장 5 (61266) 최대 147원 적립</t>
  </si>
  <si>
    <t>[베베쿡] 처음먹는 어린이김 핑크솔트 10봉 (2단계)</t>
  </si>
  <si>
    <t>핑크소금</t>
  </si>
  <si>
    <t>국내산 파슬리, 100g, 1개 3,080원 (100g당 3,080원) 내일(일) 새벽 도착 보장 5 (5262) 최대 154원 적립</t>
  </si>
  <si>
    <t>국내산 무, 1개입, 4개 6,190원 (1개당 1,548원) 내일(일) 새벽 도착 보장 4.5 (269495) 최대 310원 적립</t>
  </si>
  <si>
    <t>[올가] 현미 건빵 150g</t>
  </si>
  <si>
    <t>건빵</t>
  </si>
  <si>
    <t>[동원] Dole 워터젤리 사과 130ml X 10개입</t>
  </si>
  <si>
    <t>[올레길] 제주 전용목장 명품우유 900mL</t>
  </si>
  <si>
    <t>올레길</t>
  </si>
  <si>
    <t>국내산 감자, 5kg, 1개 16,560원 (100g당 331원) 내일(일) 새벽 도착 보장 4.5 (350333) 최대 828원 적립</t>
  </si>
  <si>
    <t>[피쉬쉘] 자숙 칵테일 새우살 200g (냉동) (71/90 사이즈)</t>
  </si>
  <si>
    <t>피쉬쉘</t>
  </si>
  <si>
    <t>[양포어장] 과메기 초무침 (냉장)</t>
  </si>
  <si>
    <t>과메기</t>
  </si>
  <si>
    <t>양포어장</t>
  </si>
  <si>
    <t>[보물섬] 낙지 6미 850g (냉동)</t>
  </si>
  <si>
    <t>[오리온] 눈을감자 96g</t>
  </si>
  <si>
    <t>눈을감자</t>
  </si>
  <si>
    <t>[건나물] 건토란대 100g</t>
  </si>
  <si>
    <t>토란대</t>
  </si>
  <si>
    <t>건나물</t>
  </si>
  <si>
    <t>곰곰 무항생제 신선한 초란, 30구, 1개 8,590원 (1구당 286원) 내일(일) 새벽 도착 보장 4.5 (12203) 최대 430원 적립</t>
  </si>
  <si>
    <t>[넛쏘굿] 몸에 좋은 믹스넛 2종 (택1)</t>
  </si>
  <si>
    <t>넛쏘굿</t>
  </si>
  <si>
    <t>[넛츠그린] 저당 저칼로리 블루베리잼 240g</t>
  </si>
  <si>
    <t>블루베리잼</t>
  </si>
  <si>
    <t>넛츠그린</t>
  </si>
  <si>
    <t>[드시모네] 키즈 스텝1 블루베리향 유산균 50포 X 2박스 (100일분)</t>
  </si>
  <si>
    <t>드시모네</t>
  </si>
  <si>
    <t>[델리백베이글] 뉴욕 H&amp;H 베이글 패밀리팩 2종 (택1)</t>
  </si>
  <si>
    <t>델리백베이글</t>
  </si>
  <si>
    <t>[한둘] 명인이 만든 포두부</t>
  </si>
  <si>
    <t>포두부</t>
  </si>
  <si>
    <t>한둘</t>
  </si>
  <si>
    <t>[고래사어묵] 김치 우동 전골</t>
  </si>
  <si>
    <t>ISEA 갑오징어 몸통 포장횟감 20미 (냉동), 1개, 120g 5,900원 (100g당 4,917원) 내일(일) 새벽 도착 보장 4.5 (179) 최대 295원 적립</t>
  </si>
  <si>
    <t>갑오징어</t>
  </si>
  <si>
    <t>ISEA</t>
  </si>
  <si>
    <t>[넛츠앤베리스] 건블루베리 150g</t>
  </si>
  <si>
    <t>넛츠앤베리스</t>
  </si>
  <si>
    <t>[이어수산] 8단계 선별한 국물용 멸치 300g</t>
  </si>
  <si>
    <t>[만선] 국산 미더덕 200g (생물)</t>
  </si>
  <si>
    <t>미더덕</t>
  </si>
  <si>
    <t>[농심] 배홍동칼빔면 128g*4입</t>
  </si>
  <si>
    <t>배홍동 칼빔면</t>
  </si>
  <si>
    <t>[삼립] 초당옥수수 약과 2종 (택1)</t>
  </si>
  <si>
    <t>[영준목장] 구워먹는치즈 150g</t>
  </si>
  <si>
    <t>구워먹는 치즈</t>
  </si>
  <si>
    <t>[CU 픽업] 라무네사와350*24캔</t>
  </si>
  <si>
    <t>[넛츠앤베리스] 프로틴믹스넛w</t>
  </si>
  <si>
    <t>[선물세트] 미락 영광 법성포 명품굴비 1호 950g</t>
  </si>
  <si>
    <t>올리타리아 엑스트라 버진 올리브오일, 250ml, 1개 44%15,900원 8,900원 (100ml당 3,560원) 내일(일) 새벽 도착 보장 5 (1700) 최대 445원 적립</t>
  </si>
  <si>
    <t>삼계탕용 반마리 닭 2입 (냉동)(티백 포함)</t>
  </si>
  <si>
    <t>생닭</t>
  </si>
  <si>
    <t>[만선] 모시조개 400g (생물)</t>
  </si>
  <si>
    <t>모시조개</t>
  </si>
  <si>
    <t>[온더고] 고구마 함박스테이크 정식</t>
  </si>
  <si>
    <t>온더고</t>
  </si>
  <si>
    <t>[요루코글루] 카이막 치즈 180g</t>
  </si>
  <si>
    <t>카이막 치즈</t>
  </si>
  <si>
    <t>요루코글루</t>
  </si>
  <si>
    <t>[제일맞게컬리] 현미곤약 주먹밥 3종 (택1)</t>
  </si>
  <si>
    <t>제일맞게컬리</t>
  </si>
  <si>
    <t>[로아커] 베스트 비스킷 &amp; 초콜릿 틴 307.5g</t>
  </si>
  <si>
    <t>비스킷</t>
  </si>
  <si>
    <t>로아커</t>
  </si>
  <si>
    <t>[파스키에] 오페라 케이크 (65g X 4개입)</t>
  </si>
  <si>
    <t>[도드람한돈] 항정살 구이용 500g (냉장)</t>
  </si>
  <si>
    <t>곰곰 국산 찹쌀가루, 500g, 2개 23%11,140원 8,510원 (100g당 851원) 내일(일) 도착 보장 5 (2019) 최대 425원 적립</t>
  </si>
  <si>
    <t>찹쌀가루</t>
  </si>
  <si>
    <t>[HBAF] 카라멜 솔티드 프레첼 30g X 5개입</t>
  </si>
  <si>
    <t>프레첼</t>
  </si>
  <si>
    <t>알티스트 아몬드 파우더, 250g, 1개 22%10,900원 8,450원 (100g당 3,380원) 내일(일) 새벽 도착 보장 5 (2632) 최대 359원 적립</t>
  </si>
  <si>
    <t>아몬드 분말</t>
  </si>
  <si>
    <t>알티스트</t>
  </si>
  <si>
    <t>[CJ] 주부초밥왕 국산콩 유부초밥 328g</t>
  </si>
  <si>
    <t>[Kurly's] 샌드위치용 달걀 참치 샐러드 500g</t>
  </si>
  <si>
    <t>달걀 참치 샐러드</t>
  </si>
  <si>
    <t>풀무원 유기농 인증 숙주, 300g, 1개 2,060원 (100g당 687원) 내일(일) 새벽 도착 보장 5 (14298) 최대 103원 적립</t>
  </si>
  <si>
    <t>숙주나물</t>
  </si>
  <si>
    <t>오뚜기 빵가루, 1kg, 1개 20%7,580원 6,020원 (100g당 602원) 내일(일) 새벽 도착 보장 5 (1324) 최대 301원 적립</t>
  </si>
  <si>
    <t>[뉴러우멘관즈] 량멘(대만식 땅콩 비빔면) 2인분</t>
  </si>
  <si>
    <t>뉴러우멘관즈</t>
  </si>
  <si>
    <t>씨익 소반미반 찹쌀, 500g, 1개 31%5,800원 3,980원 (100g당 796원) 내일(일) 도착 보장 5 (919) 최대 199원 적립</t>
  </si>
  <si>
    <t>[둥구나무] 미역줄기볶음</t>
  </si>
  <si>
    <t>[CU 픽업] 부쉬밀16년(싱글몰트)</t>
  </si>
  <si>
    <t>다비앙 유기농 캐모마일 티백, 1.5g, 20개입, 1개 8,800원 (10g당 2,933원) 내일(일) 도착 보장 5 (5375) 최대 440원 적립</t>
  </si>
  <si>
    <t>다비앙</t>
  </si>
  <si>
    <t>곰곰 신선한 저지방우유, 2.3L, 1개 4,780원 (100ml당 208원) 내일(일) 새벽 도착 보장 5 (44382) 최대 239원 적립</t>
  </si>
  <si>
    <t>[백설] 중력밀가루 2.5kg</t>
  </si>
  <si>
    <t>중력분</t>
  </si>
  <si>
    <t>요리락 언양식 석쇠 불고기 (냉동), 1개, 400g 28%13,900원 9,900원 (100g당 2,475원) 내일(일) 새벽 도착 보장 4.5 (2744) 최대 495원 적립</t>
  </si>
  <si>
    <t>요리락</t>
  </si>
  <si>
    <t>[UCC] RTD 커피 5종(택1)</t>
  </si>
  <si>
    <t>UCC</t>
  </si>
  <si>
    <t>[버터팬트리] 허니 바닐라 버터 100g</t>
  </si>
  <si>
    <t>허니 바닐라 버터</t>
  </si>
  <si>
    <t>버터팬트리</t>
  </si>
  <si>
    <t>[건강한약속 바른] 바른 인절미효소 (30포)</t>
  </si>
  <si>
    <t>건강한약속 바른</t>
  </si>
  <si>
    <t>프레지덩 미니 버터, 200g, 2개 17,350원 (100g당 4,338원) 내일(일) 새벽 도착 보장 5 (41698) 최대 868원 적립</t>
  </si>
  <si>
    <t>페이장브르통 빼띠 버터, 200g, 1개 10,790원 (100g당 5,395원) 내일(일) 새벽 도착 보장 5 (21579) 최대 540원 적립</t>
  </si>
  <si>
    <t>건강한밥상 국산 백태, 1kg, 1개 29%15,400원 10,800원 (100g당 1,080원) 내일(일) 도착 보장 4.5 (7888) 최대 540원 적립</t>
  </si>
  <si>
    <t>백태</t>
  </si>
  <si>
    <t>건강한밥상</t>
  </si>
  <si>
    <t>모카골드 마일드 커피믹스 400T, 12g, 1개입, 400개 16%60,000원 50,290원 (10g당 105원) 2/11(수) 도착 예정 5 (177369) 최대 2,515원 적립</t>
  </si>
  <si>
    <t>슈퍼 사우어 웜즈 구미 60봉지입 대용량, 1개, 600g 할인38%20,000원 12,310원 (10g당 205원) 내일(일) 도착 보장 4.5 (1060) 최대 615원 적립</t>
  </si>
  <si>
    <t>사우어 웜즈 구미</t>
  </si>
  <si>
    <t>[라빈리커픽업][설 선물] 비네티 델 살렌토 졸라 네그로 아마로 (와인)</t>
  </si>
  <si>
    <t>비네티 델 살렌토</t>
  </si>
  <si>
    <t>대천김 재래 도시락김 DC1128, 5g, 16개 42%12,000원 6,940원 (10g당 868원) 내일(일) 새벽 도착 보장 5 (364) 최대 347원 적립</t>
  </si>
  <si>
    <t>당의신 저당지수 30곡 혼합잡곡 4kg, 1개 19,990원 (100g당 500원) 내일(일) 도착 보장 4.5 (3159) 최대 1,000원 적립</t>
  </si>
  <si>
    <t>잡곡</t>
  </si>
  <si>
    <t>당의신</t>
  </si>
  <si>
    <t>[마마리] 트러플 바질페스토</t>
  </si>
  <si>
    <t>마마리</t>
  </si>
  <si>
    <t>[선물세트] 몽샹82 누가 크래커 8개입 2종 (택1)</t>
  </si>
  <si>
    <t>우리차 작두콩차, 1g, 40개입, 1개 5,700원 (10g당 1,425원) 내일(일) 도착 보장 5 (7235) 최대 285원 적립</t>
  </si>
  <si>
    <t>우리차</t>
  </si>
  <si>
    <t>[닥터브라이언] 써니업 비타민D 파인애플 플레이버 (100일분)</t>
  </si>
  <si>
    <t>닥터브라이언</t>
  </si>
  <si>
    <t>[미트엔조이] 시즈닝 안심 스테이크 150g</t>
  </si>
  <si>
    <t>미트엔조이</t>
  </si>
  <si>
    <t>[해태] 버터링 봄 시즌 한정 딥 라즈베리 155g</t>
  </si>
  <si>
    <t>버터링</t>
  </si>
  <si>
    <t>[오마뎅] 우리 사과 떡볶이 2종</t>
  </si>
  <si>
    <t>[리터스포트] 너트 셀렉션 4종 (택1)</t>
  </si>
  <si>
    <t>칠갑농산 옥수수전분, 400g, 1개 쿠폰할인4%4,100원 3,900원 (100g당 975원) 내일(일) 도착 보장 5 (2513) 최대 195원 적립</t>
  </si>
  <si>
    <t>옥수수 전분</t>
  </si>
  <si>
    <t>칠갑농산</t>
  </si>
  <si>
    <t>햇님마을 양념이 잘 어우러지는 국산 고춧가루 보통매운맛, 110g, 1개 6,900원 (100g당 6,273원) 내일(일) 도착 보장 5 (20840) 최대 345원 적립</t>
  </si>
  <si>
    <t>햇님마을</t>
  </si>
  <si>
    <t>만능 옥수수 전분, 300g, 1개 24%2,100원 1,590원 (100g당 530원) 내일(일) 도착 보장 5 (1893) 최대 80원 적립</t>
  </si>
  <si>
    <t>만능</t>
  </si>
  <si>
    <t>[대천김] 곱창 전장김 20g X 3봉</t>
  </si>
  <si>
    <t>[횡성축협한우] 1++ 한우 안심 스테이크 200g (냉장)</t>
  </si>
  <si>
    <t>[갈비아저씨] 한돈매운갈비찜 600g (냉동)</t>
  </si>
  <si>
    <t>[수산곳간] 내이름은 오징어</t>
  </si>
  <si>
    <t>[비비고] 우리아이 한입 백김치</t>
  </si>
  <si>
    <t>백김치</t>
  </si>
  <si>
    <t>[대상웰라이프] 뉴케어 오트아몬드맛 200mL 30팩</t>
  </si>
  <si>
    <t>7일 향미 현미 4kg</t>
  </si>
  <si>
    <t>7일</t>
  </si>
  <si>
    <t>[덱스트로에너지] 제로칼로리 (20일분) (오렌지,베리,라임) 3종 택1</t>
  </si>
  <si>
    <t>덱스트로에너지</t>
  </si>
  <si>
    <t>[치즈문] HI-Five 맥앤치즈</t>
  </si>
  <si>
    <t>맥앤치즈</t>
  </si>
  <si>
    <t>치즈문</t>
  </si>
  <si>
    <t>[선물세트]온담 더커진 약용버섯 혼합세트</t>
  </si>
  <si>
    <t>오리온 쫀득쫀득 참붕어빵 12p + 호떡 품은 참붕어빵 12p 세트, 720g, 1세트 11,110원 (10g당 154원) 내일(일) 도착 보장 5 (3843) 최대 555원 적립</t>
  </si>
  <si>
    <t>참붕어빵</t>
  </si>
  <si>
    <t>대관령눈마을 황태 100g 2종 (택1)</t>
  </si>
  <si>
    <t>대관령눈마을</t>
  </si>
  <si>
    <t>[Picard] 토마토&amp;모짜렐라 뇨끼</t>
  </si>
  <si>
    <t>[정관장] 에브리타임 배 플레이버 (20일분)</t>
  </si>
  <si>
    <t>[우리농] 고수례 유기농 현미 4kg</t>
  </si>
  <si>
    <t>우리농</t>
  </si>
  <si>
    <t>[더오담] 국내산 현미 팝스틱 200g</t>
  </si>
  <si>
    <t>비비드키친 저칼로리 토마토 케첩, 1개, 280g 3,590원 (100g당 1,282원) 내일(일) 새벽 도착 보장 5 (16210) 최대 180원 적립</t>
  </si>
  <si>
    <t>케첩</t>
  </si>
  <si>
    <t>일리 다크 인텐소 볼드 로스트 캡슐 커피, 18개입, 2개 38%40,000원 24,800원 (1개당 689원) 2/10(화) 도착 예정 5 (12503) 최대 1,240원 적립</t>
  </si>
  <si>
    <t>[덴마크] 요거밀 통오트 아몬드 (85g X 8개)</t>
  </si>
  <si>
    <t>[푸드어셈블] K-투움바 파스타 밀키트 (2인)</t>
  </si>
  <si>
    <t>푸드어셈블</t>
  </si>
  <si>
    <t>[애슐리] 크사삭치킨 2종 (택1)</t>
  </si>
  <si>
    <t>[Kim's butcher] 호주산 소고기 앞다리 불고기 300g</t>
  </si>
  <si>
    <t>[KF365] 1+ 한우 등심 대용량 1kg (냉장)</t>
  </si>
  <si>
    <t>[바시론] 그린 페스토 치즈 200g</t>
  </si>
  <si>
    <t>페스토 치즈</t>
  </si>
  <si>
    <t>바시론</t>
  </si>
  <si>
    <t>[도쿄바나나] 바나나 빵 (38g X 8개)</t>
  </si>
  <si>
    <t>바나나 빵</t>
  </si>
  <si>
    <t>도쿄바나나</t>
  </si>
  <si>
    <t>[이즈니] 게랑드 씨솔트 처닝버터 250g</t>
  </si>
  <si>
    <t>처닝버터</t>
  </si>
  <si>
    <t>[엄마밥상] 대파 닭개장</t>
  </si>
  <si>
    <t>엄마밥상</t>
  </si>
  <si>
    <t>[삼삼물산] 간편하게 즐기는 매생이 450g (냉동)</t>
  </si>
  <si>
    <t>[동원] 미니 파인애플 234g</t>
  </si>
  <si>
    <t>곰곰 무항생제 신선한 왕란, 15구, 1개 6,630원 (1구당 442원) 내일(일) 새벽 도착 보장 4.5 (44988) 최대 331원 적립</t>
  </si>
  <si>
    <t>[동화약품] 부채표 배러레스트 120ml 10입</t>
  </si>
  <si>
    <t>바로 데워먹는 고구마 야채찜 180g</t>
  </si>
  <si>
    <t>모아미트 캐나다산 보리먹인 암퇘지 통목살 에어프라이어용 (냉장), 1kg, 1개 34%24,750원 16,260원 (100g당 1,626원) 내일(일) 새벽 도착 보장 5 (6288) 최대 813원 적립</t>
  </si>
  <si>
    <t>모아미트</t>
  </si>
  <si>
    <t>[소하동고방] 현미 스낵 2종 (택1)</t>
  </si>
  <si>
    <t>곡물 과자</t>
  </si>
  <si>
    <t>소하동고방</t>
  </si>
  <si>
    <t>뽀로로가 좋아하는 튼튼우유 (140mL x 24개)</t>
  </si>
  <si>
    <t>[바다양푼이동태탕] 시원 칼칼 꽃게탕</t>
  </si>
  <si>
    <t>바다양푼이동태탕</t>
  </si>
  <si>
    <t>[맑은물에] 국산 촌두부 550g</t>
  </si>
  <si>
    <t>오뚜기 옛날 조청 쌀엿, 1.2kg, 2개 11,340원 (100g당 473원) 내일(일) 도착 보장 5 (28250) 최대 567원 적립</t>
  </si>
  <si>
    <t>쌀엿</t>
  </si>
  <si>
    <t>범산목장 유기가공식품인증 우유, 1L, 1개 5,900원 (100ml당 590원) 내일(일) 새벽 도착 보장 5 (6316) 최대 295원 적립</t>
  </si>
  <si>
    <t>범산목장</t>
  </si>
  <si>
    <t>곰곰 동물복지 우유, 900ml, 2팩 5,950원 (100ml당 331원) 내일(일) 새벽 도착 보장 5 (7599) 최대 298원 적립</t>
  </si>
  <si>
    <t>스팸 25% 라이트 햄통조림, 200g, 6개 51%33,960원 16,500원 (10g당 138원) 내일(일) 도착 보장 5 (64757) 최대 825원 적립</t>
  </si>
  <si>
    <t>[니비시] 사시미 간장 360mL</t>
  </si>
  <si>
    <t>[마즈] 이클립스 쿨링 소프트 캔디 레몬민트향 585g</t>
  </si>
  <si>
    <t>[동화약품] 부채표 배러텐션 120ml 10입</t>
  </si>
  <si>
    <t>친환경 흙당근, 1개입, 1개 1,490원 (1개당 1,490원) 내일(일) 새벽 도착 보장 5 (6763) 최대 75원 적립</t>
  </si>
  <si>
    <t>국내산 청양고추, 150g, 1개 2,320원 (100g당 1,547원) 내일(일) 새벽 도착 보장 5 (298518) 최대 116원 적립</t>
  </si>
  <si>
    <t>오뚜기 진라면 컵 매운맛 65g, 6개 5%5,100원 4,840원 (1개당 807원) 내일(일) 새벽 도착 보장 5 (6958) 최대 242원 적립</t>
  </si>
  <si>
    <t>[백설] 육수에는 1분링 멸치디포리 4gx20개입</t>
  </si>
  <si>
    <t>[사조대림] 오븐구이 그릴햄 400g</t>
  </si>
  <si>
    <t>사조대림</t>
  </si>
  <si>
    <t>[오뚜기] 오뚜기밥 잡곡 3종</t>
  </si>
  <si>
    <t>[끌레도르]더단백바 4개입 2종(택1)</t>
  </si>
  <si>
    <t>끌레도르</t>
  </si>
  <si>
    <t>해표 카놀라유, 900ml, 6개 63%59,400원 21,800원 (100ml당 404원) 내일(일) 도착 보장 5 (136966) 최대 1,090원 적립</t>
  </si>
  <si>
    <t>카놀라유</t>
  </si>
  <si>
    <t>맑은물에 촌두부, 550g, 1개 1,750원 (100g당 318원) 내일(일) 새벽 도착 보장 5 (33174) 최대 88원 적립</t>
  </si>
  <si>
    <t>[천호엔케어] 배도라지청 30팩</t>
  </si>
  <si>
    <t>곰곰 아삭한 숙주나물, 1kg, 1개 3,300원 (100g당 330원) 내일(일) 새벽 도착 보장 4.5 (15483) 최대 165원 적립</t>
  </si>
  <si>
    <t>[로우키] 커피 드립백 2종 (택1)</t>
  </si>
  <si>
    <t>로우키</t>
  </si>
  <si>
    <t>[밀도] 어메이징오트 통밀식빵 350g</t>
  </si>
  <si>
    <t>광천김 3대째 달인 재래 전장김, 20g, 10개 16%15,000원 12,540원 (10g당 627원) 내일(일) 도착 보장 새 상품, 반품-미개봉 (5) 최저11,800원 4.5 (11907) 최대 621원 적립</t>
  </si>
  <si>
    <t>국내산 친환경 고기느타리버섯, 300g, 1개 2,980원 (100g당 993원) 내일(일) 새벽 도착 보장 5 (9582) 최대 149원 적립</t>
  </si>
  <si>
    <t>[도드람한돈] 훈제 족발 200g (냉장)</t>
  </si>
  <si>
    <t>던킨도너츠 에스프레소 블렌드 캡슐커피, 20개입, 1개 쿠폰할인5%9,010원 8,480원 (10g당 848원) 내일(일) 도착 보장 4.5 (7258) 최대 424원 적립</t>
  </si>
  <si>
    <t>던킨도너츠</t>
  </si>
  <si>
    <t>후르트텔라 요구르트향 츄잉캔디, 590g, 1개 7,920원 (10g당 134원) 내일(일) 도착 보장 5 (60653) 최대 396원 적립</t>
  </si>
  <si>
    <t>츄잉 캔디</t>
  </si>
  <si>
    <t>후르트텔라</t>
  </si>
  <si>
    <t>[루솔] 굿케어키즈 홍삼면역젤리 20포</t>
  </si>
  <si>
    <t>루솔</t>
  </si>
  <si>
    <t>[프로메스] 프랑스 멸균우유 1L</t>
  </si>
  <si>
    <t>프로메스</t>
  </si>
  <si>
    <t>[비움반찬] 묵은지 들기름볶음</t>
  </si>
  <si>
    <t>묵은지 볶음</t>
  </si>
  <si>
    <t>[바름팜] 친환경 절단대파 300g</t>
  </si>
  <si>
    <t>[옆집꽃님이네] 직화구이김 5g X 27봉 2종 (택1)</t>
  </si>
  <si>
    <t>옆집꽃님이네</t>
  </si>
  <si>
    <t>[두에비토리에] IGP 발사믹 (포도농축액80%)</t>
  </si>
  <si>
    <t>두에비토리에</t>
  </si>
  <si>
    <t>[부침명장] 계란옷 입은 동태전 400g</t>
  </si>
  <si>
    <t>동태전</t>
  </si>
  <si>
    <t>김구원선생 국산콩으로 만든 마파두부 2인분, 615g, 1개 8,900원 (100g당 1,447원) 내일(일) 새벽 도착 보장 5 (1244) 최대 445원 적립</t>
  </si>
  <si>
    <t>[브레드가든] 슈가파우더 210g</t>
  </si>
  <si>
    <t>슈가파우더</t>
  </si>
  <si>
    <t>브레드가든</t>
  </si>
  <si>
    <t>[대상웰라이프] 뉴케어 미니 바나나맛 24팩</t>
  </si>
  <si>
    <t>[오모가리] 수제 김치찌개 2종</t>
  </si>
  <si>
    <t>오모가리</t>
  </si>
  <si>
    <t>[Better me] 냉장 닭가슴살 4종 (1팩/4팩) (택1)</t>
  </si>
  <si>
    <t>Better me</t>
  </si>
  <si>
    <t>[미엘드] 벌꿀 no.2 선물세트</t>
  </si>
  <si>
    <t>[한생]  바로담아 국산 참기름 180mL</t>
  </si>
  <si>
    <t>바로담아</t>
  </si>
  <si>
    <t>태안군농협 2025년산 햅쌀 단일품종 삼광쌀, 상등급, 10kg, 1개 15%40,000원 33,900원 (100g당 339원) 내일(일) 도착 보장 4.5 (2362) 최대 1,695원 적립</t>
  </si>
  <si>
    <t>[김재규우리떡연구소] 쑥인절미 2종 (택1)</t>
  </si>
  <si>
    <t>김재규우리떡연구소</t>
  </si>
  <si>
    <t>[레스토랑 알렌 Allen] 라구 에그 생면 파스타</t>
  </si>
  <si>
    <t>레스토랑 알렌 Allen</t>
  </si>
  <si>
    <t>[종가] 시원한동치미 1.2kg</t>
  </si>
  <si>
    <t>동치미</t>
  </si>
  <si>
    <t>오뚜기 화이트 식초, 1.8L, 1개 3,540원 (10ml당 20원) 내일(일) 새벽 도착 보장 5 (2952) 최대 177원 적립</t>
  </si>
  <si>
    <t>화이트 식초</t>
  </si>
  <si>
    <t>오이맛고추 300g</t>
  </si>
  <si>
    <t>쿠라콘 시오 콘부 염장 다시마, 1개, 130g 11,500원 (100g당 8,846원) 내일(일) 새벽 도착 보장 5 (97) 최대 575원 적립</t>
  </si>
  <si>
    <t>쿠라콘</t>
  </si>
  <si>
    <t>오뚜기 사과식초, 900ml, 2개 22%6,360원 4,910원 (10ml당 27원) 내일(일) 도착 보장 5 (98042) 최대 245원 적립</t>
  </si>
  <si>
    <t>[그릭슈바인] 닭가슴살 비엔나</t>
  </si>
  <si>
    <t>비엔나</t>
  </si>
  <si>
    <t>그릭슈바인</t>
  </si>
  <si>
    <t>[조선호텔김치] 조선 어린이 백김치 400g</t>
  </si>
  <si>
    <t>[로아커] 버라이어티 비스킷 &amp; 초콜릿 어쏘트팩 400g</t>
  </si>
  <si>
    <t>동결건조 매생이 2g X 6입</t>
  </si>
  <si>
    <t>오뚜기 진라면 매운맛 컵 65g, 15개 14%12,750원 10,850원 (1개당 723원) 내일(일) 도착 보장 새 상품, 반품-미개봉 (40) 최저9,800원 5 (133701) 최대 543원 적립</t>
  </si>
  <si>
    <t>[드시모네] 키즈 스텝1 블루베리향 유산균 (50일분)</t>
  </si>
  <si>
    <t>맛잽이식품 춘천닭갈비 (냉동), 800g, 1봉 13,100원 (100g당 1,638원) 내일(일) 새벽 도착 보장 4.5 (30659) 최대 655원 적립</t>
  </si>
  <si>
    <t>곰곰 무항생제 인증 닭안심 다짐육 (냉동), 350g, 1개 42%10,900원 6,320원 (100g당 1,806원) 내일(일) 새벽 도착 보장 5 (471) 최대 316원 적립</t>
  </si>
  <si>
    <t>닭 안심</t>
  </si>
  <si>
    <t>[남양] 맛있는우유 GT 초코 우유 300mL</t>
  </si>
  <si>
    <t>[도리깨침] 소고기 알배추찜 (저당소스 포함)</t>
  </si>
  <si>
    <t>[정지선의 티엔미미] 홍소새우완탕면</t>
  </si>
  <si>
    <t>정지선의 티엔미미</t>
  </si>
  <si>
    <t>[소부당] 추억의 떡꼬치</t>
  </si>
  <si>
    <t>소부당</t>
  </si>
  <si>
    <t>[비스퀴테리 엠오] 스콘 90g</t>
  </si>
  <si>
    <t>스콘</t>
  </si>
  <si>
    <t>[소금집] 잠봉 프로마쥬 샌드위치</t>
  </si>
  <si>
    <t>[래핑카우] 벨큐브 스페니쉬 미니 24큐브 치즈</t>
  </si>
  <si>
    <t>래핑카우</t>
  </si>
  <si>
    <t>시장쏙 전연화 들기름, 350ml, 1개 할인64%33,990원 11,990원 (10ml당 343원) 내일(일) 도착 보장 4.5 (19506) 최대 600원 적립</t>
  </si>
  <si>
    <t>시장쏙</t>
  </si>
  <si>
    <t>[KF365] 제주토막갈치 3종 (냉동) (택1)</t>
  </si>
  <si>
    <t>[바름팜] 간편하게 손질한 무채 300g</t>
  </si>
  <si>
    <t>무채</t>
  </si>
  <si>
    <t>[이동삼명인] 손질 안동간고등어 150g (냉동)</t>
  </si>
  <si>
    <t>이동삼명인</t>
  </si>
  <si>
    <t>[밤부] 누가 크래커 140g</t>
  </si>
  <si>
    <t>밤부</t>
  </si>
  <si>
    <t>[마이디벨] 해쉬브라운 10+10(20개입)</t>
  </si>
  <si>
    <t>냉동 해쉬브라운</t>
  </si>
  <si>
    <t>마이디벨</t>
  </si>
  <si>
    <t>곰곰 흰다리 새우, 1000g, 1개 33%29,900원 19,990원 (100g당 1,999원) 내일(일) 새벽 도착 보장 5 (4463) 최대 1,000원 적립</t>
  </si>
  <si>
    <t>[진가네반찬] 계란말이</t>
  </si>
  <si>
    <t>계란말이</t>
  </si>
  <si>
    <t>[고메] 통등심 돈카츠</t>
  </si>
  <si>
    <t>[종가] 백김치 3kg</t>
  </si>
  <si>
    <t>[해통령] 육수한알 분말스틱형_깊고 진한맛</t>
  </si>
  <si>
    <t>육수 분말</t>
  </si>
  <si>
    <t>[은비갈비] 칼집 양념구이 500g (냉동)</t>
  </si>
  <si>
    <t>은비갈비</t>
  </si>
  <si>
    <t>미소한입 볶음분태땅콩 1/16, 1kg, 1개 7,550원 (100g당 755원) 내일(일) 도착 보장 5 (27) 최대 378원 적립</t>
  </si>
  <si>
    <t>[QBB] 스모크 치즈 50g</t>
  </si>
  <si>
    <t>스모크 치즈</t>
  </si>
  <si>
    <t>QBB</t>
  </si>
  <si>
    <t>[오니스트] 케라그로우 망고 28포</t>
  </si>
  <si>
    <t>오니스트</t>
  </si>
  <si>
    <t>[그릭오] 띠크 그릭요거트 100g</t>
  </si>
  <si>
    <t>그릭오</t>
  </si>
  <si>
    <t>[마담로익] 크림치즈 3종 (택1)</t>
  </si>
  <si>
    <t>마담로익</t>
  </si>
  <si>
    <t>무항생제 신선 대란 1.56kg, 30구, 2개 16,780원 (1구당 280원) 내일(일) 새벽 도착 보장 5 (14466) 최대 839원 적립</t>
  </si>
  <si>
    <t>비앙카 부라타 치즈, 125g, 1개입, 1개 6,190원 (10g당 495원) 내일(일) 새벽 도착 보장 5 (868) 최대 310원 적립</t>
  </si>
  <si>
    <t>부라타 치즈</t>
  </si>
  <si>
    <t>비앙카</t>
  </si>
  <si>
    <t>[바이탈뷰티] NEW 슈퍼콜라겐 28앰플</t>
  </si>
  <si>
    <t>[기장물산] 미역귀다리</t>
  </si>
  <si>
    <t>미역귀다리</t>
  </si>
  <si>
    <t>[KF365] 한돈 깍둑 항정 구이용 (미박) 300g (냉장)</t>
  </si>
  <si>
    <t>펩시 제로 슈거 라임향 제로 카페인, 355ml, 24개 16,240원 (100ml당 191원) 내일(일) 도착 보장 5 (3033) 최대 812원 적립</t>
  </si>
  <si>
    <t>[자연담은] 유기농 찹쌀 삼계탕 키트</t>
  </si>
  <si>
    <t>[기뜬정] 수제 오란다 부산 (24개입)</t>
  </si>
  <si>
    <t>기뜬정</t>
  </si>
  <si>
    <t>[햇살굽는집] 리얼 고구마빵 (85g X 3개입)</t>
  </si>
  <si>
    <t>고구마 빵</t>
  </si>
  <si>
    <t>햇살굽는집</t>
  </si>
  <si>
    <t>바나나킥, 75g, 6개 6,970원 (10g당 155원) 내일(일) 도착 보장 5 (14837) 최대 349원 적립</t>
  </si>
  <si>
    <t>바나나킥</t>
  </si>
  <si>
    <t>[연세두유] 고소한 두유 2종 (190mL X 6개)</t>
  </si>
  <si>
    <t>샘표 맑은 조선간장, 930ml, 1개 21%10,530원 8,240원 (100ml당 886원) 내일(일) 도착 보장 5 (30508) 최대 412원 적립</t>
  </si>
  <si>
    <t>조선간장</t>
  </si>
  <si>
    <t>루카스나인 시그니처 더블샷라떼 커피믹스, 14.9g, 50개입, 2개 11%39,800원 35,200원 (10g당 236원) 내일(일) 도착 보장 5 (69368) 최대 1,760원 적립</t>
  </si>
  <si>
    <t>아산시농협 2025년 햅쌀 아산맑은쌀 삼광미, 10kg, 1개, 특등급 15%43,900원 36,900원 (100g당 369원) 내일(일) 도착 보장 5 (6026) 최대 1,845원 적립</t>
  </si>
  <si>
    <t>[하와이안 파라다이스] 코나커피 올인원 드립백 (10g X 5개)</t>
  </si>
  <si>
    <t>하와이안 파라다이스</t>
  </si>
  <si>
    <t>[VASAK] 김부각 시그니처 7종 (택1)</t>
  </si>
  <si>
    <t>김부각</t>
  </si>
  <si>
    <t>VASAK</t>
  </si>
  <si>
    <t>[마이노멀] 국산 100% 저당 고추장 230g</t>
  </si>
  <si>
    <t>[진가네반찬] 쥐포양념볶음</t>
  </si>
  <si>
    <t>쥐포볶음</t>
  </si>
  <si>
    <t>[바릴라] 파스타면 4종</t>
  </si>
  <si>
    <t>파스타면</t>
  </si>
  <si>
    <t>바릴라</t>
  </si>
  <si>
    <t>[오설록] 유기농 가루녹차 40g</t>
  </si>
  <si>
    <t>[한스케익] 초코 생크림 롤 380g</t>
  </si>
  <si>
    <t>롤케이크</t>
  </si>
  <si>
    <t>한스케익</t>
  </si>
  <si>
    <t>첫맛 만능 멸치육수, 1.95kg, 1개 23%17,800원 13,640원 (10g당 70원) 내일(일) 도착 보장 5 (35213) 최대 648원 적립</t>
  </si>
  <si>
    <t>멸치 욱수</t>
  </si>
  <si>
    <t>첫맛</t>
  </si>
  <si>
    <t>몽크슈 헤이즐넛향 시럽 위드 알룰로스, 530g, 1개 8,900원 (100g당 1,679원) 내일(일) 도착 보장 4.5 (3360) 최대 423원 적립</t>
  </si>
  <si>
    <t>헤이즐넛 시럽</t>
  </si>
  <si>
    <t>[감코리아] 햇 둥시 곶감  10입 2종</t>
  </si>
  <si>
    <t>곶감</t>
  </si>
  <si>
    <t>감코리아</t>
  </si>
  <si>
    <t>[강훈목장] 수제 드링크 요거트 플레인 1000mL</t>
  </si>
  <si>
    <t>강훈목장</t>
  </si>
  <si>
    <t>한둘 명인이 국산콩으로 만든 한끼 두부 부침용, 120g, 6팩 8,270원 (100g당 1,149원) 내일(일) 새벽 도착 보장 5 (24549) 최대 414원 적립</t>
  </si>
  <si>
    <t>[드시모네] 키즈 스텝2 블루베리향 유산균 (30일분)</t>
  </si>
  <si>
    <t>국산 고등어살 (냉동), 600g, 1개 8,270원 (100g당 1,378원) 내일(일) 새벽 도착 보장 4.5 (186) 최대 414원 적립</t>
  </si>
  <si>
    <t>고등어</t>
  </si>
  <si>
    <t>꼬깔콘 롯데제과 군옥수수맛, 67g, 5개 5,900원 (10g당 176원) 내일(일) 도착 보장 5 (28360) 최대 295원 적립</t>
  </si>
  <si>
    <t>꼬깔콘</t>
  </si>
  <si>
    <t>해맑은푸드 바베큐 조미오징어, 300g, 1개 13%14,900원 12,870원 (10g당 429원) 내일(일) 도착 보장 4.5 (8493) 최대 592원 적립</t>
  </si>
  <si>
    <t>[전주 베테랑] 고기만두</t>
  </si>
  <si>
    <t>전주 베테랑</t>
  </si>
  <si>
    <t>해태제과 후렌치파이 사과, 384g, 1개 5,860원 (10g당 153원) 내일(일) 도착 보장 5 (6919) 최대 293원 적립</t>
  </si>
  <si>
    <t>후렌치파이</t>
  </si>
  <si>
    <t>혼식 국산 늘보리쌀, 4kg, 1개 11%13,500원 11,900원 (100g당 298원) 내일(일) 도착 보장 4.5 (2609) 최대 570원 적립</t>
  </si>
  <si>
    <t>혼식</t>
  </si>
  <si>
    <t>[미자언니네] 오징어실채볶음</t>
  </si>
  <si>
    <t>오징어채 볶음</t>
  </si>
  <si>
    <t>맥심 모카골드 마일드 원두커피, 500g, 1개입, 2개 38,260원 (10g당 383원) 내일(일) 새벽 도착 보장 5 (1880) 최대 1,913원 적립</t>
  </si>
  <si>
    <t>[KF365] 미국산 돼지고기 목전지 수육용 1kg</t>
  </si>
  <si>
    <t>폰타나 비프 굴라쉬 토마토 스튜, 250g, 6개 쿠폰할인50%29,880원 14,940원 (100g당 996원) 내일(일) 도착 보장 5 (2842) 최대 747원 적립</t>
  </si>
  <si>
    <t>에스파놀라 아보카도오일 스프레이형, 200ml, 1개 12,000원 (100ml당 6,000원) 내일(일) 도착 보장 5 (2643) 최대 600원 적립</t>
  </si>
  <si>
    <t>아보카도 오일</t>
  </si>
  <si>
    <t>에스파놀라</t>
  </si>
  <si>
    <t>비비고 소고기 미역국, 500g, 3개 46%17,940원 9,580원 (100g당 639원) 내일(일) 도착 보장 5 (45887) 최대 479원 적립</t>
  </si>
  <si>
    <t>더건강한 닭가슴살 통살구이 페퍼, 100g, 1개입, 5개 54%22,400원 10,220원 (100g당 2,044원) 내일(일) 새벽 도착 보장 5 (1063) 최대 511원 적립</t>
  </si>
  <si>
    <t>친환경 인증 프리미엄 절단대파, 500g, 1개 6,490원 (100g당 1,298원) 내일(일) 새벽 도착 보장 5 (205) 최대 325원 적립</t>
  </si>
  <si>
    <t>국내산 양파(짱아찌용), 3kg, 1개 6,990원 (100g당 233원) 내일(일) 새벽 도착 보장 4.5 (10553) 최대 350원 적립</t>
  </si>
  <si>
    <t>[떡미당] 밥알찹쌀떡 500g</t>
  </si>
  <si>
    <t>찹쌀떡</t>
  </si>
  <si>
    <t>떡미당</t>
  </si>
  <si>
    <t>친환경 반반상추 300g</t>
  </si>
  <si>
    <t>상추</t>
  </si>
  <si>
    <t>오뚜기 쇠고기 미역국라면 115g, 4개 5%5,680원 5,380원 (1개당 1,345원) 내일(일) 도착 보장 4.5 (22158) 최대 269원 적립</t>
  </si>
  <si>
    <t>미역국 라면</t>
  </si>
  <si>
    <t>[라라스윗] 파인트 오렌지앤라즈베리 474mL</t>
  </si>
  <si>
    <t>라라스윗</t>
  </si>
  <si>
    <t>탐사 아쿠아 스파클링 플레인 무라벨, 12개, 500ml 46%10,800원 5,790원 (100ml당 97원) 내일(일) 새벽 도착 보장 5 (1672) 최대 290원 적립</t>
  </si>
  <si>
    <t>오뚜기 사과식초, 1.8L, 2개 1%7,560원 7,460원 (10ml당 21원) 내일(일) 새벽 도착 보장 5 (8677) 최대 373원 적립</t>
  </si>
  <si>
    <t>한미 완전두유 국산콩 검은콩 저당, 190ml, 16개 43%16,000원 9,100원 (100ml당 299원) 내일(일) 새벽 도착 보장 5 (1010) 최대 455원 적립</t>
  </si>
  <si>
    <t>한미</t>
  </si>
  <si>
    <t>[오넛티] 아몬드 스프레드 (카카오) 230g</t>
  </si>
  <si>
    <t>아몬드 스프레드</t>
  </si>
  <si>
    <t>오넛티</t>
  </si>
  <si>
    <t>[미자언니네] 프리미엄 맛간장</t>
  </si>
  <si>
    <t>맛간장</t>
  </si>
  <si>
    <t>무말랭이 200g</t>
  </si>
  <si>
    <t>[이목 무항생제] 국내산 소고기 등심 구이용 200g (냉장)</t>
  </si>
  <si>
    <t>이목 무항생제</t>
  </si>
  <si>
    <t>[매일] 아몬드 브리즈 2종 (190mL X 24팩)</t>
  </si>
  <si>
    <t>아몬드브리즈</t>
  </si>
  <si>
    <t>상하치즈 리코타 치즈, 1kg, 1개입, 1개 14,480원 (10g당 145원) 내일(일) 새벽 도착 보장 5 (17402) 최대 724원 적립</t>
  </si>
  <si>
    <t>[서울우유] 서울 요구르트 오리지널 1.7L</t>
  </si>
  <si>
    <t>엄마밥줘 40곡 혼합잡곡, 1개, 10kg 26,990원 (100g당 270원) 내일(일) 도착 보장 4.5 (2885) 최대 1,350원 적립</t>
  </si>
  <si>
    <t>엄마밥줘</t>
  </si>
  <si>
    <t>농심 신라면 120g x 5p + 안성탕면 125g x 5p + 얼큰 너구리 120g x 5p + 짜파게티 140g x 5p, 20개 17,550원 (1개당 878원) 내일(일) 도착 보장 5 (222924) 최대 878원 적립</t>
  </si>
  <si>
    <t>농심라면</t>
  </si>
  <si>
    <t>[라빈리커픽업] 닛카 프롬 더 배럴 (위스키)</t>
  </si>
  <si>
    <t>[CU 픽업] 퍼플 오리지널 말벡</t>
  </si>
  <si>
    <t>오뚜기 진라면 매운맛 120g, 5개 3,950원 (1개당 790원) 내일(일) 새벽 도착 보장 5 (43544) 최대 198원 적립</t>
  </si>
  <si>
    <t>하이트진로 블랙보리 오리지널, 520ml, 20개 16,370원 (100ml당 157원) 내일(일) 도착 보장 5 (95301) 최대 819원 적립</t>
  </si>
  <si>
    <t>[Picard] 냉동 알감자</t>
  </si>
  <si>
    <t>냉동 알감자</t>
  </si>
  <si>
    <t>[KF365] 적상추 150g</t>
  </si>
  <si>
    <t>적상추</t>
  </si>
  <si>
    <t>[KF365] 한돈 목살 구이용 600g~ (냉장)</t>
  </si>
  <si>
    <t>타야스 엑스원 타르트, 480g, 1박스 33%7,200원 4,800원 (10g당 100원) 내일(일) 도착 보장 4.5 (3091) 최대 240원 적립</t>
  </si>
  <si>
    <t>타야스</t>
  </si>
  <si>
    <t>[빙그레] 뽀로로 요구르트 2종 (80mL X 10개) (택1)</t>
  </si>
  <si>
    <t>[김정환홍삼] 홍삼배도라지 100포 (+보자기포장)</t>
  </si>
  <si>
    <t>샘표 토장 찌개양념, 450g, 1개 43%9,480원 5,400원 (100g당 1,200원) 내일(일) 도착 보장 5 (8504) 최대 270원 적립</t>
  </si>
  <si>
    <t>[듀록마루] 듀록 한돈 미박 앞다리살 500g (냉장)</t>
  </si>
  <si>
    <t>듀록마루</t>
  </si>
  <si>
    <t>오뚜기 마포식 차돌된장찌개, 500g, 2개 7,890원 (100g당 789원) 내일(일) 새벽 도착 보장 5 (688) 최대 395원 적립</t>
  </si>
  <si>
    <t>[천호엔케어] 흑마늘프리미엄 30팩</t>
  </si>
  <si>
    <t>백산수 생수 무라벨, 12개, 2L 12%13,676원 12,000원 (100ml당 50원) 내일(일) 도착 보장 4.5 (37) 최대 600원 적립</t>
  </si>
  <si>
    <t>백산수</t>
  </si>
  <si>
    <t>[사노셀] 유기농 애플사이다비니거 스틱 18ml x 20포</t>
  </si>
  <si>
    <t>사노셀</t>
  </si>
  <si>
    <t>[강성은 명과] 수제과자 8종 (택1)</t>
  </si>
  <si>
    <t>수제 과자</t>
  </si>
  <si>
    <t>강성은 명과</t>
  </si>
  <si>
    <t>[로우키] 클라시코 액상 커피 (11mL X 13개)</t>
  </si>
  <si>
    <t>커피액상</t>
  </si>
  <si>
    <t>[라빈리커픽업] 일라이저 크레이그 스몰배치 + 증정잔 1P (위스키)</t>
  </si>
  <si>
    <t>국내산 바질, 3개, 20g 5,970원 (100g당 9,950원) 내일(일) 새벽 도착 보장 4.5 (28160) 최대 299원 적립</t>
  </si>
  <si>
    <t>바질</t>
  </si>
  <si>
    <t>[햇반] 라이스플랜 현미귀리곤약밥 150g*3입</t>
  </si>
  <si>
    <t>[진가네반찬] 깍두기</t>
  </si>
  <si>
    <t>감칠맛 상주왕곶감 9입 (냉동), 500g, 1팩 15,710원 (100g당 3,142원) 내일(일) 새벽 도착 보장 4.5 (1737) 최대 725원 적립</t>
  </si>
  <si>
    <t>감칠맛</t>
  </si>
  <si>
    <t>[제각각] 무 2입(1.4kg)</t>
  </si>
  <si>
    <t>[목우촌] 뽀로로와 친구들 비엔나소시지 270gX2개</t>
  </si>
  <si>
    <t>대용량 프리미엄 손질 생새우살 800g (냉동) (26/30 사이즈)</t>
  </si>
  <si>
    <t>[CU 픽업] 알렉산더오가닉보드카</t>
  </si>
  <si>
    <t>보드카</t>
  </si>
  <si>
    <t>[수산곳간] 추억의 오징어다리</t>
  </si>
  <si>
    <t>숏다리</t>
  </si>
  <si>
    <t>동해물, 우리콩 두부 380g (2개입)</t>
  </si>
  <si>
    <t>동해물</t>
  </si>
  <si>
    <t>[모모스커피] 에스쇼콜라 브루백 (10g X 7개)</t>
  </si>
  <si>
    <t>모모스커피</t>
  </si>
  <si>
    <t>남양유업 맛있는 우유 GT, 4개, 200ml 4,100원 (100ml당 513원) 내일(일) 새벽 도착 보장 5 (504) 최대 205원 적립</t>
  </si>
  <si>
    <t>비비고 갈치구이, 70g, 1개 18%5,480원 4,480원 (100g당 6,400원) 내일(일) 새벽 도착 보장 4.5 (9116) 최대 224원 적립</t>
  </si>
  <si>
    <t>바다자리 국산 생물 홍합, 3kg, 1개 11,990원 (100g당 400원) 내일(일) 새벽 도착 보장 4 (944) 최대 600원 적립</t>
  </si>
  <si>
    <t>바다자리</t>
  </si>
  <si>
    <t>[롯데] 가나 프리미엄 랑드샤 쿠키 치즈 베리 91g</t>
  </si>
  <si>
    <t>가나 랑드샤 쿠키</t>
  </si>
  <si>
    <t>[낫띵베럴] 럽티 호박차 (1.5g X 15개)</t>
  </si>
  <si>
    <t>낫띵베럴</t>
  </si>
  <si>
    <t>[마음이가] 쑥 영양떡 300g</t>
  </si>
  <si>
    <t>쑥떡</t>
  </si>
  <si>
    <t>김치사발면 소컵 86g, 12개 10,440원 (1개당 870원) 내일(일) 새벽 도착 보장 5 (8483) 최대 522원 적립</t>
  </si>
  <si>
    <t>[동원]김치찌개용 참치 250g</t>
  </si>
  <si>
    <t>[임실치즈마을] 리코타치즈 150g</t>
  </si>
  <si>
    <t>임실치즈마을</t>
  </si>
  <si>
    <t>[디델리] 추억의 라볶이</t>
  </si>
  <si>
    <t>디델리</t>
  </si>
  <si>
    <t>[CJ] 동치미 물냉면 1,816g (4인분)</t>
  </si>
  <si>
    <t>곰곰 맥반석 구운란, 6구, 1팩 3,590원 (1구당 598원) 내일(일) 새벽 도착 보장 5 (9873) 최대 180원 적립</t>
  </si>
  <si>
    <t>맥심 모카골드 마일드 커피믹스, 12g, 50개입, 1개 8,760원 (10g당 146원) 내일(일) 새벽 도착 보장 5 (5118) 최대 438원 적립</t>
  </si>
  <si>
    <t>해태제과 후렌치파이 딸기, 384g, 1개 5,520원 (10g당 144원) 내일(일) 도착 보장 4.5 (11375) 최대 276원 적립</t>
  </si>
  <si>
    <t>[발트하이젠] 네덜란드 고다/에담/체다 미니 치즈 (20g X 5입) 3종 (택1)</t>
  </si>
  <si>
    <t>발트하이젠</t>
  </si>
  <si>
    <t>[티아시아] 인도식 난 3종 (택1)</t>
  </si>
  <si>
    <t>티아시아</t>
  </si>
  <si>
    <t>[라빈리커픽업]배비치 블랙라벨 소비뇽블랑 (와인)</t>
  </si>
  <si>
    <t>[선물세트] 미국산 프라임 LA꽃갈비 1.4kg</t>
  </si>
  <si>
    <t>[풀무원] 유기농 콩나물 270g</t>
  </si>
  <si>
    <t>베지밀 달콤한 비 두유, 190ml, 32개 19%26,900원 21,700원 (100ml당 357원) 내일(일) 새벽 도착 보장 5 (19718) 최대 1,085원 적립</t>
  </si>
  <si>
    <t>[기장물산] 기장산 뿌리다시마</t>
  </si>
  <si>
    <t>[동원] 김치찌개용 참치 135g x 4캔</t>
  </si>
  <si>
    <t>[26년 설] [CU 픽업] 달모어18년</t>
  </si>
  <si>
    <t>오뚜기 진라면 컵 매운맛 65g, 6개 5%5,100원 4,840원 (1개당 807원) 내일(일) 도착 보장 새 상품, 반품-미개봉 (50) 최저3,000원 5 (133699) 최대 242원 적립</t>
  </si>
  <si>
    <t>[멘푸소] 유기농 필드 토마토 (홀 토마토)2개입/ 번들</t>
  </si>
  <si>
    <t>토마토</t>
  </si>
  <si>
    <t>멘푸소</t>
  </si>
  <si>
    <t>이롬 황성주 박사의 국산콩 두유 검은콩 고칼슘, 190ml, 24개 49%26,900원 13,630원 (100ml당 299원) 내일(일) 도착 보장 5 (171169) 최대 681원 적립</t>
  </si>
  <si>
    <t>[선물세트] 성경김 종합김 세트</t>
  </si>
  <si>
    <t>이디야 아이스아메리카노 스틱커피, 1g, 100개입, 1개 17%16,900원 13,900원 (10g당 1,390원) 내일(일) 도착 보장 4.5 (7423) 최대 695원 적립</t>
  </si>
  <si>
    <t>[녹색한우] 무항생제 1+ 한우 등심 구이용 200g (냉장)</t>
  </si>
  <si>
    <t>[토레온] 이베리코 베요타 하몽 핸드컷 슬라이스 60g</t>
  </si>
  <si>
    <t>토레온</t>
  </si>
  <si>
    <t>[비움반찬] 천사채 샐러드</t>
  </si>
  <si>
    <t>천사채 샐러드</t>
  </si>
  <si>
    <t>[자연에찬] 시래기 된장국 700g</t>
  </si>
  <si>
    <t>자연에찬</t>
  </si>
  <si>
    <t>[요미요미] 튼튼 시리얼 2종 (택1)</t>
  </si>
  <si>
    <t>요미요미</t>
  </si>
  <si>
    <t>굿프랜즈 물만두 (냉동), 2.7kg, 1개 15,950원 (100g당 591원) 내일(일) 새벽 도착 보장 5 (5765) 최대 798원 적립</t>
  </si>
  <si>
    <t>굿프랜즈</t>
  </si>
  <si>
    <t>닥터유 투바이트 에너지바 저당, 468g, 1개 10,860원 (100g당 2,321원) 내일(일) 도착 보장 5 (1825) 최대 543원 적립</t>
  </si>
  <si>
    <t>에너지바</t>
  </si>
  <si>
    <t>닥터유</t>
  </si>
  <si>
    <t>[브리델] 프랑스 브르타뉴 버터 200g 2종 (택1)</t>
  </si>
  <si>
    <t>브리델</t>
  </si>
  <si>
    <t>[풀무원] 지구식단 메밀두유면</t>
  </si>
  <si>
    <t>[미미네] 대구 판밀떡볶이</t>
  </si>
  <si>
    <t>미미네</t>
  </si>
  <si>
    <t>[테라로사] 클래식 아메리칸 피칸파이 1000g</t>
  </si>
  <si>
    <t>피칸파이</t>
  </si>
  <si>
    <t>테라로사</t>
  </si>
  <si>
    <t>[로우바잇츠] 오'망고 100g</t>
  </si>
  <si>
    <t>로우바잇츠</t>
  </si>
  <si>
    <t>[우리두] 산양삼 두유 (190mL X 15포)</t>
  </si>
  <si>
    <t>우리두</t>
  </si>
  <si>
    <t>[로로멜로] 두바이 쫀득 쿠키 (55g X 2개입)</t>
  </si>
  <si>
    <t>두바이 쫀득 쿠키</t>
  </si>
  <si>
    <t>로로멜로</t>
  </si>
  <si>
    <t>동원 꼬마사각 유부초밥, 150g, 2개 28%6,960원 4,980원 (100g당 1,660원) 내일(일) 새벽 도착 보장 5 (2412) 최대 249원 적립</t>
  </si>
  <si>
    <t>[청오] 국산 발아 들깨가루 200g</t>
  </si>
  <si>
    <t>청오</t>
  </si>
  <si>
    <t>[피코크] 생크림 카스텔라 150g</t>
  </si>
  <si>
    <t>카스텔라</t>
  </si>
  <si>
    <t>[포트'럭] 자연에 말린 영광 참굴비 50g (냉동)</t>
  </si>
  <si>
    <t>[온하루] 들깨 토란대나물</t>
  </si>
  <si>
    <t>토란대 나물</t>
  </si>
  <si>
    <t>[디 바르베로] 솔티드 카라멜 초콜릿 블루 틴 105g</t>
  </si>
  <si>
    <t>[밀도] 스콘 4종 (택1)</t>
  </si>
  <si>
    <t>[해태] 프리츠 발효버터 34g</t>
  </si>
  <si>
    <t>발효 버터</t>
  </si>
  <si>
    <t>[팜에이트] 엔다이브 보트 샐러드 키트</t>
  </si>
  <si>
    <t>[KF365] 춘천식 닭갈비 2종 (냉장) (택1)</t>
  </si>
  <si>
    <t>햇반 솥반 꿀약밥, 210g, 6개 58%26,880원 11,120원 (100g당 883원) 내일(일) 도착 보장 5 (9478) 최대 556원 적립</t>
  </si>
  <si>
    <t>즉석 약밥</t>
  </si>
  <si>
    <t>국내산 흙당근, 3kg, 1개 7,260원 (100g당 242원) 내일(일) 새벽 도착 보장 4.5 (296841) 최대 363원 적립</t>
  </si>
  <si>
    <t>[메종엠오] 브리오슈 낭테르 360g</t>
  </si>
  <si>
    <t>브리오슈</t>
  </si>
  <si>
    <t>건국목장 1964 우유, 2개, 1L 6,400원 (100ml당 320원) 내일(일) 새벽 도착 보장 5 (251) 최대 320원 적립</t>
  </si>
  <si>
    <t>건국목장</t>
  </si>
  <si>
    <t>[종가] 파김치 300g</t>
  </si>
  <si>
    <t>파김치</t>
  </si>
  <si>
    <t>[백설] 자일로스 설탕 2종</t>
  </si>
  <si>
    <t>자일로스 설탕</t>
  </si>
  <si>
    <t>[풀무원] 새콤달콤유부초밥</t>
  </si>
  <si>
    <t>가농 1+등급란으로 만든 오메가 구운란, 20구, 1개 2%12,900원 12,600원 (1구당 630원) 내일(일) 새벽 도착 보장 5 (64700) 최대 630원 적립</t>
  </si>
  <si>
    <t>가농</t>
  </si>
  <si>
    <t>[선물세트] 히스파수르 골드 엑스트라버진 올리브오일&amp;비네거 세트</t>
  </si>
  <si>
    <t>[Picard] 버섯 고르곤졸라 타르트 310g</t>
  </si>
  <si>
    <t>아이시스 8.0 ECO 생수 무라벨, 2L, 12개 14%11,200원 9,600원 (100ml당 40원) 내일(일) 도착 보장 5 (117915) 최대 480원 적립</t>
  </si>
  <si>
    <t>매일우유 오리지널, 900ml, 4개 11,090원 (100ml당 308원) 내일(일) 새벽 도착 보장 5 (239437) 최대 555원 적립</t>
  </si>
  <si>
    <t>[상하농원] 수제 그릴드 치즈 125g</t>
  </si>
  <si>
    <t>상하농원</t>
  </si>
  <si>
    <t>[하코야] 미니 어묵바 2종</t>
  </si>
  <si>
    <t>어묵바</t>
  </si>
  <si>
    <t>하코야</t>
  </si>
  <si>
    <t>[덴마크] 구워먹는 치즈 오리지널 125g</t>
  </si>
  <si>
    <t>[네이처빌] 국내산 쌀 97% 한끼든든쌀국수 소컵 3종</t>
  </si>
  <si>
    <t>한끼든든 쌀국수</t>
  </si>
  <si>
    <t>[시루조아] 달콤한 꿀 백설기 2종 (택1)</t>
  </si>
  <si>
    <t>[세미계] 소금 닭목순살 직화구이 200g</t>
  </si>
  <si>
    <t>세미계</t>
  </si>
  <si>
    <t>요플레 라이트 슈퍼베리, 80g, 4개입, 2개 6,940원 (10g당 108원) 내일(일) 새벽 도착 보장 5 (3221) 최대 347원 적립</t>
  </si>
  <si>
    <t>VISONHO 용융소금 불순물 Zero, 250g, 1개 할인43%21,900원 12,280원 (100g당 4,912원) 내일(일) 도착 보장 4.5 (3535) 최대 614원 적립</t>
  </si>
  <si>
    <t>VISONHO</t>
  </si>
  <si>
    <t>[마이노멀] 저당 머스타드 소스</t>
  </si>
  <si>
    <t>머스타드</t>
  </si>
  <si>
    <t>[한스케익] 달콤 오렌지 파운드 300g</t>
  </si>
  <si>
    <t>파운드 케이크</t>
  </si>
  <si>
    <t>곰곰 실속 스모크햄, 1kg, 1개 5,290원 (10g당 53원) 내일(일) 새벽 도착 보장 4.5 (1021) 최대 265원 적립</t>
  </si>
  <si>
    <t>스모크 햄</t>
  </si>
  <si>
    <t>[김소형원방] 유황먹은 민물장어진액 30포</t>
  </si>
  <si>
    <t>김소형원방</t>
  </si>
  <si>
    <t>혼식 국산 찰보리쌀, 4kg, 1개 12,980원 (100g당 325원) 내일(일) 도착 보장 4.5 (3598) 최대 624원 적립</t>
  </si>
  <si>
    <t>찰보리쌀</t>
  </si>
  <si>
    <t>[풀무원] 대만식 두유 푸딩 두화 2입 (흑당소스 포함)</t>
  </si>
  <si>
    <t>푸딩</t>
  </si>
  <si>
    <t>[6다이닝] 이베리코 목살 구이용 250g</t>
  </si>
  <si>
    <t>6다이닝</t>
  </si>
  <si>
    <t>[올반] 김치볶음밥 (2개입)</t>
  </si>
  <si>
    <t>올반</t>
  </si>
  <si>
    <t>[쉐푸드] 치즈스틱</t>
  </si>
  <si>
    <t>냉동 치즈스틱</t>
  </si>
  <si>
    <t>[THIJS] 벨지안 와플 (55g X 10개입)</t>
  </si>
  <si>
    <t>THIJS</t>
  </si>
  <si>
    <t>[Kim's butcher] 미국산 부채살 대패 돌돌말이 500g</t>
  </si>
  <si>
    <t>팔탄농협 GAP 인증 수향미 쌀, 특등급, 5kg, 1개 27,900원 (100g당 558원) 내일(일) 도착 보장 5 (15550) 최대 1,395원 적립</t>
  </si>
  <si>
    <t>하림 치킨 스테이크 다리살 (냉장), 320g, 2개 9,600원 (100g당 1,500원) 내일(일) 새벽 도착 보장 5 (2163) 최대 480원 적립</t>
  </si>
  <si>
    <t>닭다리살</t>
  </si>
  <si>
    <t>[대흥] IQF 남해안 굴 500g (냉동) (가열조리용)</t>
  </si>
  <si>
    <t>설탕대신 스테비아, 1.2kg, 1개 22%14,900원 11,570원 (100g당 964원) 내일(일) 도착 보장 5 (68245) 최대 579원 적립</t>
  </si>
  <si>
    <t>[선물세트] 영광 법성포 명품굴비 1호 950g (예약일 수령)</t>
  </si>
  <si>
    <t>[프로상] 유기농 옥수수콘</t>
  </si>
  <si>
    <t>프로상</t>
  </si>
  <si>
    <t>[상하농원] 황토고구마칩 오리지널 40g</t>
  </si>
  <si>
    <t>고구마칩</t>
  </si>
  <si>
    <t>[롯데] 가나 프리미엄 마카다미아 쉐어팩 144g</t>
  </si>
  <si>
    <t>[녹색한우] 무항생제 1+ 한우 삼각살 구이용 200g (냉장)</t>
  </si>
  <si>
    <t>삼각살</t>
  </si>
  <si>
    <t>[수산곳간] 그시절 빠삭어포튀김 200g</t>
  </si>
  <si>
    <t>어포 스낵</t>
  </si>
  <si>
    <t>[둥구나무] 산채나물 비빔밥 세트</t>
  </si>
  <si>
    <t>황실미가 국내산 누룽지, 3kg, 1개 15,900원 (100g당 530원) 내일(일) 도착 보장 4.5 (28488) 최대 795원 적립</t>
  </si>
  <si>
    <t>황실미가</t>
  </si>
  <si>
    <t>스키피 수퍼 청크 피넛 버터, 462g, 1개 31%10,900원 7,500원 (100g당 1,623원) 내일(일) 도착 보장 5 (42203) 최대 375원 적립</t>
  </si>
  <si>
    <t>오설록 스틱형 찬물녹차, 2g, 20개입, 1개 27%9,500원 6,880원 (10g당 1,720원) 내일(일) 도착 보장 5 (6777) 최대 344원 적립</t>
  </si>
  <si>
    <t>[조선델리] 조선호텔 로맨틱블라썸 케이크 750g</t>
  </si>
  <si>
    <t>조선델리</t>
  </si>
  <si>
    <t>[에버비키니] 커피맛 다이어트 빠질라카노 (14일분)</t>
  </si>
  <si>
    <t>에버비키니</t>
  </si>
  <si>
    <t>저탄소 유기농 호박고구마 1kg</t>
  </si>
  <si>
    <t>영양부추, 100g, 1개 4,890원 (100g당 4,890원) 내일(일) 새벽 도착 보장 5 (8666) 최대 245원 적립</t>
  </si>
  <si>
    <t>국내산 저민마늘, 150g, 1개 4,590원 (100g당 3,060원) 내일(일) 새벽 도착 보장 5 (12038) 최대 230원 적립</t>
  </si>
  <si>
    <t>[롯데] 아몬드 팔각 빼빼로 132g</t>
  </si>
  <si>
    <t>아몬드 빼빼로</t>
  </si>
  <si>
    <t>[롯데] 아몬드초코볼 46g</t>
  </si>
  <si>
    <t>초코볼</t>
  </si>
  <si>
    <t>[해마루] 파주 장단콩 팥소빵 (5개입)</t>
  </si>
  <si>
    <t>팥빵</t>
  </si>
  <si>
    <t>해마루</t>
  </si>
  <si>
    <t>[롯데] 프리미엄 가나 마카다미아 63g</t>
  </si>
  <si>
    <t>가나 초콜릿</t>
  </si>
  <si>
    <t>[UCC] 쇼쿠닝 커피 드립백 7gX 16개입 3종(택1)</t>
  </si>
  <si>
    <t>[강봉석 명인조청] 콩범벅 강정 (10g X 8개)</t>
  </si>
  <si>
    <t>강봉석 명인조청</t>
  </si>
  <si>
    <t>페를레디솔레 레몬 캔디, 200g, 1개 8,300원 (10g당 415원) 내일(일) 도착 보장 5 (17691) 최대 415원 적립</t>
  </si>
  <si>
    <t>레몬 캔디</t>
  </si>
  <si>
    <t>페를레디솔레</t>
  </si>
  <si>
    <t>한우물 통새우 볶음밥 7개입 (냉동), 2.1kg, 1개 14,650원 (100g당 698원) 내일(일) 새벽 도착 보장 5 (629) 최대 733원 적립</t>
  </si>
  <si>
    <t>한우물</t>
  </si>
  <si>
    <t>[Make you Healthy] 엑스트라버진 올리브오일 캡슐 (14포, 28포) 2종 (택1)</t>
  </si>
  <si>
    <t>Make you Healthy</t>
  </si>
  <si>
    <t>알배기 배추 1봉</t>
  </si>
  <si>
    <t>배추</t>
  </si>
  <si>
    <t>알배기</t>
  </si>
  <si>
    <t>[라벨리] 빙수 4종 (택1)</t>
  </si>
  <si>
    <t>라벨리</t>
  </si>
  <si>
    <t>참크래커, 280g, 2개 24%7,900원 6,000원 (10g당 107원) 내일(일) 새벽 도착 보장 5 (7707) 최대 300원 적립</t>
  </si>
  <si>
    <t>[압구정포차] IQF 닭 오도독 연골 양념구이 400g</t>
  </si>
  <si>
    <t>압구정포차</t>
  </si>
  <si>
    <t>[더브레드블루] 치아바타 2개 4종 (택1)</t>
  </si>
  <si>
    <t>더브레드블루</t>
  </si>
  <si>
    <t>농협 2025년 햅쌀 강화섬쌀 고시히카리 백미, 상등급, 10kg, 1개 8%49,900원 45,700원 (100g당 457원) 내일(일) 도착 보장 4.5 (23745) 최대 2,285원 적립</t>
  </si>
  <si>
    <t>[켈로그] 담백한 현미 후레이크 550g</t>
  </si>
  <si>
    <t>현미 후레이크</t>
  </si>
  <si>
    <t>[루솔] 홍삼 배도라지즙 20포</t>
  </si>
  <si>
    <t>[김수사] 국산 게로 만든 게장 4종 (택1)</t>
  </si>
  <si>
    <t>게장</t>
  </si>
  <si>
    <t>김수사</t>
  </si>
  <si>
    <t>[고래사] 스페셜 어묵 4종 (택1)</t>
  </si>
  <si>
    <t>한음미가 2025년산 햅쌀 우리쌀 백미, 상등급, 1kg, 1개 4,580원 (100g당 458원) 내일(일) 도착 보장 4.5 (30827) 최대 229원 적립</t>
  </si>
  <si>
    <t>알새우칩, 68g, 4개 5,360원 (10g당 197원) 내일(일) 도착 보장 5 (8165) 최대 268원 적립</t>
  </si>
  <si>
    <t>알새우칩</t>
  </si>
  <si>
    <t>[둥구나무 : 자연그대로] 옛날청국장</t>
  </si>
  <si>
    <t>전두유 검은콩 17곡 고칼슘, 190ml, 24개 35%15,360원 9,900원 (100ml당 217원) 내일(일) 도착 보장 5 (33426) 최대 495원 적립</t>
  </si>
  <si>
    <t>전두유</t>
  </si>
  <si>
    <t>[김구원선생] 콩나물국 키트 2종</t>
  </si>
  <si>
    <t>[CU 픽업] 알렉산더보드카레몬</t>
  </si>
  <si>
    <t>[다시다] 명품 골드 쇠고기 96G</t>
  </si>
  <si>
    <t>다시다</t>
  </si>
  <si>
    <t>오바다 국내산 손질오징어 (냉동), 700g(5~6미), 1개 17%23,900원 19,600원 (100g당 2,800원) 내일(일) 새벽 도착 보장 4.5 (46066) 최대 925원 적립</t>
  </si>
  <si>
    <t>오바다</t>
  </si>
  <si>
    <t>청정원 천일염 가는 소금, 1kg, 1개 7,210원 (100g당 721원) 내일(일) 도착 보장 5 (28340) 최대 360원 적립</t>
  </si>
  <si>
    <t>천일염</t>
  </si>
  <si>
    <t>[이목] 국내산 소고기 안심 찹스테이크 200g (냉장)</t>
  </si>
  <si>
    <t>서울우유 A2플러스 우유, 1개, 900ml 3,780원 (100ml당 420원) 내일(일) 새벽 도착 보장 5 (1356) 최대 189원 적립</t>
  </si>
  <si>
    <t>[콜린스 다이닝] 구운 채소 샐러드</t>
  </si>
  <si>
    <t>[백설] 중력 밀가루 1kg</t>
  </si>
  <si>
    <t>조인 국내산 100% 계란 살균 전란액 1kg, 1개 9,990원 내일(일) 새벽 도착 보장 5 (75) 최대 500원 적립</t>
  </si>
  <si>
    <t>[메르바] 네덜란드 전통 쿠키 5종 (택1)</t>
  </si>
  <si>
    <t>메르바</t>
  </si>
  <si>
    <t>해태제과 얼초 자동차만들기 36g, 2개 5,000원 (1세트당 2,500원) 내일(일) 도착 보장 5 (44) 최대 250원 적립</t>
  </si>
  <si>
    <t>[룰루맘] 우리아이 맑은습관 도라지배 2종 (택1)</t>
  </si>
  <si>
    <t>연세키짱 어린이맞춤 발효유 요구르트, 80ml, 10개입, 1박스 6,280원 (10ml당 79원) 내일(일) 새벽 도착 보장 5 (681) 최대 314원 적립</t>
  </si>
  <si>
    <t>양상추 1입(200g)</t>
  </si>
  <si>
    <t>[부산 몽실종가] 진한 사골 돼지국밥</t>
  </si>
  <si>
    <t>부산 몽실종가</t>
  </si>
  <si>
    <t>[존쿡 델리미트] 컨츄리베이컨 120g</t>
  </si>
  <si>
    <t>[도제식빵] 리코타 치즈 윈터 후르츠 산도 (시즌한정)</t>
  </si>
  <si>
    <t>산도</t>
  </si>
  <si>
    <t>[KF365] 1+ 한우 양지 덩어리/세절 2종 300g (냉동)</t>
  </si>
  <si>
    <t>[마즈] 이클립스 플러스 2종 (택1)</t>
  </si>
  <si>
    <t>[농협풍산김치] 깍두기 3kg</t>
  </si>
  <si>
    <t>[올림푸스] 그리스 페타 치즈 150g</t>
  </si>
  <si>
    <t>페타 치즈</t>
  </si>
  <si>
    <t>[하선정] 멸치 액젓 800g</t>
  </si>
  <si>
    <t>[애슐리] 대파 제육 볶음밥 (2개입)</t>
  </si>
  <si>
    <t>[리버퀸] 스패니쉬 땅콩 368g</t>
  </si>
  <si>
    <t>리버퀸</t>
  </si>
  <si>
    <t>[하림] 참진 토종닭 백숙용 1.1kg (냉장)</t>
  </si>
  <si>
    <t>토종닭</t>
  </si>
  <si>
    <t>[드니그리스] 유기농 사과식초 스틱형 (15gx20개입)</t>
  </si>
  <si>
    <t>드니그리스</t>
  </si>
  <si>
    <t>[크놀라] 그래놀라 6종 (택1)</t>
  </si>
  <si>
    <t>크놀라</t>
  </si>
  <si>
    <t>건국유업 무항생제 인증 착한목장 우유, 750ml, 2개 6,600원 (100ml당 440원) 내일(일) 새벽 도착 보장 5 (21605) 최대 330원 적립</t>
  </si>
  <si>
    <t>건국유</t>
  </si>
  <si>
    <t>[김소영 아티장의 안단테] 사토리 오리지널 벨라비타노</t>
  </si>
  <si>
    <t>벨라비타노 치즈</t>
  </si>
  <si>
    <t>김소영 아티장의 안단테</t>
  </si>
  <si>
    <t>[상하목장] 유기농 우유 저지방 900mL</t>
  </si>
  <si>
    <t>[청숨] 통째로 갈아만든 청귤</t>
  </si>
  <si>
    <t>청귤청</t>
  </si>
  <si>
    <t>청숨</t>
  </si>
  <si>
    <t>[농심] 신라면 더레드 4입</t>
  </si>
  <si>
    <t>[건어물상회] 국민 간식 마른오징어 230g (5마리)</t>
  </si>
  <si>
    <t>[CJ] 특등급 국산콩 친환경 콩나물 340g</t>
  </si>
  <si>
    <t>[동원] Dole 컵젤리 200g 7종</t>
  </si>
  <si>
    <t>[마이셰프] 찹스테이크</t>
  </si>
  <si>
    <t>[마루산] 도쿄바나나의 연인</t>
  </si>
  <si>
    <t>도쿄 바나나</t>
  </si>
  <si>
    <t>동원 롤유부초밥 고소한맛, 254g, 2개 50%15,960원 7,960원 내일(일) 새벽 도착 보장 5 (15899) 최대 398원 적립</t>
  </si>
  <si>
    <t>유기농 인증 프리미엄 이유식용 양배추, 200g, 1개입, 1개 3,480원 (100g당 1,740원) 내일(일) 새벽 도착 보장 4.5 (427) 최대 174원 적립</t>
  </si>
  <si>
    <t>[던킨도너츠] 미니 도넛 3종(택1)</t>
  </si>
  <si>
    <t>[룩트] 크리스프 크래커 150g</t>
  </si>
  <si>
    <t>[슈퍼키친] 무생채</t>
  </si>
  <si>
    <t>무생채 나물</t>
  </si>
  <si>
    <t>[잇츠베러] 잇츠베러 크래커 5종</t>
  </si>
  <si>
    <t>잇츠베러</t>
  </si>
  <si>
    <t>평창수 생수 무라벨, 500ml, 60개 31%23,850원 16,410원 (100ml당 55원) 내일(일) 도착 보장 5 (164234) 최대 820원 적립</t>
  </si>
  <si>
    <t>유기농 다진 시금치 90g x 2입</t>
  </si>
  <si>
    <t>시금치</t>
  </si>
  <si>
    <t>비비고 물만두 (냉동), 315g, 2개 50%14,960원 7,480원 (100g당 1,187원) 내일(일) 새벽 도착 보장 5 (49416) 최대 374원 적립</t>
  </si>
  <si>
    <t>[홍루이젠] 대만 샌드위치 3개입 3종 (택1)</t>
  </si>
  <si>
    <t>홍루이젠</t>
  </si>
  <si>
    <t>[젠틸레] IGP 그라냐노 숏 파스타 면 7종 (택1)</t>
  </si>
  <si>
    <t>젠틸레</t>
  </si>
  <si>
    <t>[Fage] 파예 요거트 150g 2종 (택1)</t>
  </si>
  <si>
    <t>Fage</t>
  </si>
  <si>
    <t>[참조은숯불김] 100% 숯불에 구운김 맛있는김, 5개, 30g 4%10,400원 9,900원 (10g당 660원) 2/11(수) 도착 예정 4.5 (282) 최대 495원 적립</t>
  </si>
  <si>
    <t>스타벅스 하우스 블렌드 캡슐커피, 8.5g, 12개입, 2개 15,680원 (10g당 769원) 내일(일) 도착 보장 5 (64632) 최대 784원 적립</t>
  </si>
  <si>
    <t>[원에이커팜] 친환경 GAP 이탈리안 파슬리 50g</t>
  </si>
  <si>
    <t>원에이커팜</t>
  </si>
  <si>
    <t>[제이키친] 순한짜장 떡볶이 2종</t>
  </si>
  <si>
    <t>[쌜모네키친] 허브페퍼 생연어 스테이크 150g (냉장)</t>
  </si>
  <si>
    <t>쌜모네키친</t>
  </si>
  <si>
    <t>[천호엔케어] 흑마늘 더 블랙 70mL 30포</t>
  </si>
  <si>
    <t>[핀카듀에르나스 X Kurly] 아르베키나 엑스트라 버진 올리브오일 500mL</t>
  </si>
  <si>
    <t>핀카듀에르나스 X Kurly</t>
  </si>
  <si>
    <t>[진가네반찬] 닭가슴살 겨자소스 냉채</t>
  </si>
  <si>
    <t>냉채</t>
  </si>
  <si>
    <t>풀무원 와사비 무쌈, 300g, 1개 3,020원 (100g당 1,007원) 내일(일) 새벽 도착 보장 5 (8549) 최대 151원 적립</t>
  </si>
  <si>
    <t>쌈무</t>
  </si>
  <si>
    <t>[샘표] 홍게 간장 830ml</t>
  </si>
  <si>
    <t>해물 간장</t>
  </si>
  <si>
    <t>[마즈] 엠앤엠즈 블록 아몬드 45g</t>
  </si>
  <si>
    <t>웅진빅토리아 더빅토리아 탄산음료 자몽, 500ml, 20개 쿠폰할인45%20,000원 10,900원 (100ml당 109원) 내일(일) 도착 보장 5 (48416) 최대 545원 적립</t>
  </si>
  <si>
    <t>더빅토리아 자몽</t>
  </si>
  <si>
    <t>웅진빅토리아</t>
  </si>
  <si>
    <t>[만나다] 사과포도방울 250g</t>
  </si>
  <si>
    <t>만나다</t>
  </si>
  <si>
    <t>[풀무원다논] YoPRO 블루베리 (150g X 2개)</t>
  </si>
  <si>
    <t>풀무원다논</t>
  </si>
  <si>
    <t>[펄세스] 스테비아 디카페인 커피 믹스 (9g X 30개)</t>
  </si>
  <si>
    <t>펄세스</t>
  </si>
  <si>
    <t>[와인앤모어픽업]에반 윌리엄스 1783 스몰배치 750mL ((미국위스키))</t>
  </si>
  <si>
    <t>곰곰 동물복지 무항생제 유정란, 1개, 20구 8,820원 (1구당 441원) 내일(일) 새벽 도착 보장 4.5 (361) 최대 441원 적립</t>
  </si>
  <si>
    <t>[삼육두유] 검은콩 두유 파우치 (190mL X 20개)</t>
  </si>
  <si>
    <t>[CJ] 맛군밤 4개입</t>
  </si>
  <si>
    <t>[수산곳간] 오징어 맥반석 통다리</t>
  </si>
  <si>
    <t>[청우] 왕찹쌀 모나카 240g</t>
  </si>
  <si>
    <t>모나카</t>
  </si>
  <si>
    <t>청우</t>
  </si>
  <si>
    <t>[포스트] 콘푸라이트 시리얼 600g</t>
  </si>
  <si>
    <t>콘푸라이트</t>
  </si>
  <si>
    <t>[초록원] 유기농 딸기잼 580g</t>
  </si>
  <si>
    <t>곰곰 한끼 쌈무, 150g, 1개 1,830원 (100g당 1,220원) 내일(일) 새벽 도착 보장 5 (9300) 최대 91원 적립</t>
  </si>
  <si>
    <t>[오뚜기] UNO 떠먹는 컵피자 3종 (택3)</t>
  </si>
  <si>
    <t>컵피자</t>
  </si>
  <si>
    <t>[올가] 유기농 부침가루 350g</t>
  </si>
  <si>
    <t>[종가] 배추속 겉절이 500g</t>
  </si>
  <si>
    <t>[아티제] 버터 랑그드샤 10개 3종 (택1)</t>
  </si>
  <si>
    <t>아티제</t>
  </si>
  <si>
    <t>[바오담] 한입도라지정과 180g</t>
  </si>
  <si>
    <t>정과</t>
  </si>
  <si>
    <t>[팝잇] 믹스젤리 150g</t>
  </si>
  <si>
    <t>팝잇</t>
  </si>
  <si>
    <t>[A.C. 퍼치스] 버라이어티 티백 선물세트</t>
  </si>
  <si>
    <t>라라스윗 생우유 아이스밀크 (냉동), 474ml, 1개입, 1개 6,320원 (10ml당 133원) 내일(일) 새벽 도착 보장 5 (3024) 최대 316원 적립</t>
  </si>
  <si>
    <t>[소담소담] 한돈 한입 쪽갈비 500g (냉동)</t>
  </si>
  <si>
    <t>소담소담</t>
  </si>
  <si>
    <t>[비비고] 김치볶음 150g</t>
  </si>
  <si>
    <t>볶음김치</t>
  </si>
  <si>
    <t>무농약 냉동 연근채 300g</t>
  </si>
  <si>
    <t>연근</t>
  </si>
  <si>
    <t>[CU 픽업] 건파우더진오리지널</t>
  </si>
  <si>
    <t>해표 카놀라유, 500ml, 1개 38%5,900원 3,610원 (100ml당 722원) 내일(일) 새벽 도착 보장 5 (1148) 최대 180원 적립</t>
  </si>
  <si>
    <t>[매일유업] 바이오 요거트 딸기 400g</t>
  </si>
  <si>
    <t>[만나다] 유기농 바나나 1.3kg내외</t>
  </si>
  <si>
    <t>[미자언니네] 녹두전 반죽 (냉동)</t>
  </si>
  <si>
    <t>[도제식빵] 리코타 치즈 딸기 산도 (시즌한정)</t>
  </si>
  <si>
    <t>[풍림푸드] 바로먹는 깐 반숙란 (2입x3팩)</t>
  </si>
  <si>
    <t>풍림푸드</t>
  </si>
  <si>
    <t>코다노 쫄깃 고소한 구워먹는 치즈 (냉동), 250g, 1개입, 1개 5,580원 (10g당 223원) 내일(일) 새벽 도착 보장 5 (3148) 최대 279원 적립</t>
  </si>
  <si>
    <t>코다노</t>
  </si>
  <si>
    <t>[비비고] 갓김치 300g</t>
  </si>
  <si>
    <t>갓김치</t>
  </si>
  <si>
    <t>[네이처빌] 우리쌀 97% 쌀소면 300g</t>
  </si>
  <si>
    <t>소면</t>
  </si>
  <si>
    <t>[안원당] 우거지 감자탕</t>
  </si>
  <si>
    <t>안원당</t>
  </si>
  <si>
    <t>국내산 애호박, 1개입, 5개 11,310원 (1개당 2,262원) 내일(일) 새벽 도착 보장 5 (657168) 최대 565원 적립</t>
  </si>
  <si>
    <t>[제각각] 청상추 200g</t>
  </si>
  <si>
    <t>청상추</t>
  </si>
  <si>
    <t>[그라나롤로] 부라타 치즈 100g (냉동)</t>
  </si>
  <si>
    <t>그라나롤로</t>
  </si>
  <si>
    <t>[농심] 매운새우깡 400g (지퍼백)</t>
  </si>
  <si>
    <t>[만나다] 유기농 바나나 600g</t>
  </si>
  <si>
    <t>[자연에찬] 건파래무침</t>
  </si>
  <si>
    <t>건파래무침</t>
  </si>
  <si>
    <t>[ORGA] 검정콩 식빵 240g</t>
  </si>
  <si>
    <t>[풀무원] 동치미육수 1kg</t>
  </si>
  <si>
    <t>동치미 육수</t>
  </si>
  <si>
    <t>[KC] 군옥수수 더블콘</t>
  </si>
  <si>
    <t>KC</t>
  </si>
  <si>
    <t>[상하목장] 마시는 유기농 요구르트 (100mL X 5개)</t>
  </si>
  <si>
    <t>[미스티브루] 액상차 (25mL X 20개입) 2종 택1</t>
  </si>
  <si>
    <t>미스티브루</t>
  </si>
  <si>
    <t>[만나다] 파인포도방울 250g</t>
  </si>
  <si>
    <t>[도리깨침] 7가지 채소찜 시즌 1 (2인분/저당소스 포함)</t>
  </si>
  <si>
    <t>[김구원선생] 장수 콩나물 600g</t>
  </si>
  <si>
    <t>[이목] 국내산 소고기 등심 구이용 200g (냉장)</t>
  </si>
  <si>
    <t>곰곰 햄야채 볶음밥 (냉동), 300g, 6개 35%15,000원 9,690원 (100g당 538원) 내일(일) 새벽 도착 보장 4.5 (54618) 최대 485원 적립</t>
  </si>
  <si>
    <t>글루텐 프리 비이츠 아몬드가루 100%, 1개, 300g 할인54%21,800원 9,900원 (100g당 3,300원) 내일(일) 도착 보장 5 (110) 최대 495원 적립</t>
  </si>
  <si>
    <t>풀무원 오리엔탈 드레싱, 115g, 1개 1%2,200원 2,160원 (100g당 1,878원) 내일(일) 새벽 도착 보장 5 (1344) 최대 108원 적립</t>
  </si>
  <si>
    <t>오리엔탈 소스</t>
  </si>
  <si>
    <t>[ISFI] 핑크(레드) 페퍼홀</t>
  </si>
  <si>
    <t>레드페퍼</t>
  </si>
  <si>
    <t>[듀록마루] 듀록 한돈 목살 500g (냉장)</t>
  </si>
  <si>
    <t>[티아시아키친] 베트남 쌀국수 소스</t>
  </si>
  <si>
    <t>쌀국수 소스</t>
  </si>
  <si>
    <t>티아시아키친</t>
  </si>
  <si>
    <t>곰곰 고소한 큰두부, 1kg, 2개 4,810원 (100g당 241원) 내일(일) 새벽 도착 보장 5 (12155) 최대 240원 적립</t>
  </si>
  <si>
    <t>만전김 어린이 공룡김 10p, 20g, 1개 38%6,500원 3,990원 (10g당 1,995원) 내일(일) 도착 보장 5 (559) 최대 200원 적립</t>
  </si>
  <si>
    <t>카누 다크로스트 아메리카노 원두커피스틱, 1.6g, 70개입, 1개 22,300원 (10g당 1,991원) 내일(일) 새벽 도착 보장 5 (354) 최대 1,115원 적립</t>
  </si>
  <si>
    <t>커피 스틱</t>
  </si>
  <si>
    <t>[만나다] 프레시 조각 오렌지 2종</t>
  </si>
  <si>
    <t>[KF365] 1+등급 무항생제 대란 15구</t>
  </si>
  <si>
    <t>자연닮음 국산 건식 쌀가루, 2kg, 1개 73%32,000원 8,600원 (100g당 430원) 내일(일) 도착 보장 4.5 (732) 최대 430원 적립</t>
  </si>
  <si>
    <t>자연닮음</t>
  </si>
  <si>
    <t>[Better me] 닭가슴살 큐브 3종 (1팩/4팩) (택1)</t>
  </si>
  <si>
    <t>닭가슴살 큐브</t>
  </si>
  <si>
    <t>베지밀 비 달콤한 검은콩 두유, 145ml, 24개 17,400원 (100ml당 500원) 내일(일) 도착 보장 5 (47262) 최대 870원 적립</t>
  </si>
  <si>
    <t>청정원 진한 토마토케찹, 930g, 1개 할인8%4,620원 4,250원 (100g당 457원) 내일(일) 도착 보장 5 (51782) 최대 213원 적립</t>
  </si>
  <si>
    <t>케찹</t>
  </si>
  <si>
    <t>[라티브] 클린프로틴 쉐이크 7포 2종 (택1)</t>
  </si>
  <si>
    <t>라티브</t>
  </si>
  <si>
    <t>제주올레길 명품우유, 2개, 900ml 5,290원 (100ml당 294원) 내일(일) 새벽 도착 보장 5 (5675) 최대 265원 적립</t>
  </si>
  <si>
    <t>제주올레길</t>
  </si>
  <si>
    <t>베트남산 흰다리새우살 (냉동), 1개, 200g(71 / 90) 3,880원 (100g당 1,940원) 내일(일) 새벽 도착 보장 5 (548) 최대 194원 적립</t>
  </si>
  <si>
    <t>[와인앤모어픽업]에반 윌리엄스 싱글 배럴 750mL ((미국위스키))</t>
  </si>
  <si>
    <t>청정원 찰진 생칼국수, 450g, 1개 2,640원 (100g당 587원) 내일(일) 새벽 도착 보장 5 (30406) 최대 132원 적립</t>
  </si>
  <si>
    <t>[덴마크] 드링킹 요구르트 포스트 바이오틱스 베리믹스 750mL</t>
  </si>
  <si>
    <t>[Kurly's] 1++ 한우 안심 구이 250g (냉장)</t>
  </si>
  <si>
    <t>곰곰 1등급 국산콩 두부, 300g, 2팩 3,800원 (100g당 633원) 내일(일) 새벽 도착 보장 5 (16819) 최대 190원 적립</t>
  </si>
  <si>
    <t>[페이브] 싱글오리진 에티오피아 원두 200g</t>
  </si>
  <si>
    <t>원두</t>
  </si>
  <si>
    <t>페이브</t>
  </si>
  <si>
    <t>[메글레] 파인 포션버터 (10g X 20개)</t>
  </si>
  <si>
    <t>[삼삼물산] 남해에서 온 바지락살 120g (생물)</t>
  </si>
  <si>
    <t>곰곰 한돈 1등급 갈비찜용 (냉장), 1kg, 1팩 18%19,590원 15,890원 (100g당 1,589원) 내일(일) 새벽 도착 보장 4.5 (5380) 최대 795원 적립</t>
  </si>
  <si>
    <t>갈비찜용 돼지고기</t>
  </si>
  <si>
    <t>[하와이안호스트] 맥스 초콜릿 컬렉션 2종 (택1)</t>
  </si>
  <si>
    <t>하와이안호스트</t>
  </si>
  <si>
    <t>[스팸] 동그란 스팸 160g</t>
  </si>
  <si>
    <t>동그란 스팸</t>
  </si>
  <si>
    <t>프리고 치즈헤드 스트링 치즈 아이스박스 포장, 1.36kg, 1개 할인4%21,440원 20,440원 (10g당 150원) 2/11(수) 도착 예정 4.5 (7683) 최대 1,022원 적립</t>
  </si>
  <si>
    <t>스트링 치즈</t>
  </si>
  <si>
    <t>프리고</t>
  </si>
  <si>
    <t>[바름팜] 친환경 저민 마늘 50g</t>
  </si>
  <si>
    <t>무순, 60g, 1개 1,170원 (100g당 1,950원) 내일(일) 새벽 도착 보장 5 (34892) 최대 59원 적립</t>
  </si>
  <si>
    <t>국내산 친환경 양배추, 1통, 1개 3,450원 (1개당 3,450원) 내일(일) 새벽 도착 보장 4.5 (98486) 최대 173원 적립</t>
  </si>
  <si>
    <t>맑은물에 촌두부, 500g, 2개 3,190원 (100g당 319원) 내일(일) 새벽 도착 보장 5 (28719) 최대 160원 적립</t>
  </si>
  <si>
    <t>[떡미당] 구슬꿀떡 500g</t>
  </si>
  <si>
    <t>[CU 픽업] 키쿠마사무네 준마이코우</t>
  </si>
  <si>
    <t>인도산 흰다리 새우살 꼬리 없음 (냉동), 1개, 300g(31~50) 6,990원 (100g당 2,330원) 내일(일) 새벽 도착 보장 5 (352) 최대 350원 적립</t>
  </si>
  <si>
    <t>[남양] 맛있는우유 GT 고소한 락토프리 900mL X 2개</t>
  </si>
  <si>
    <t>[농협풍산김치] 무말랭이 1kg</t>
  </si>
  <si>
    <t>무말랭이</t>
  </si>
  <si>
    <t>[남양] 유기농 이오 요구르트 80mL X 5입</t>
  </si>
  <si>
    <t>[KF365] IQF 닭다리살 (냉동) 1kg</t>
  </si>
  <si>
    <t>갈바니 리코타 치즈, 425g, 1개입, 1개 10,940원 (10g당 257원) 내일(일) 새벽 도착 보장 4.5 (21756) 최대 547원 적립</t>
  </si>
  <si>
    <t>갈바니</t>
  </si>
  <si>
    <t>갓밀크 멸균우유, 1L, 12개 1%17,000원 16,800원 (100ml당 140원) 2/10(화) 도착 예정 5 (20666) 최대 840원 적립</t>
  </si>
  <si>
    <t>갓밀크</t>
  </si>
  <si>
    <t>곰곰 감자전분이 99% 들어간 쫄깃한 감자가루, 550g, 1개 24%3,900원 2,930원 (100g당 533원) 내일(일) 새벽 도착 보장 5 (150) 최대 146원 적립</t>
  </si>
  <si>
    <t>맥심 모카골드 마일드 커피, 175g, 1개입, 1개 13,100원 (10g당 749원) 내일(일) 도착 보장 5 (17978) 최대 655원 적립</t>
  </si>
  <si>
    <t>[SEMIWON] 새우 완탕</t>
  </si>
  <si>
    <t>SEMIWON</t>
  </si>
  <si>
    <t>[농협] [25년산 햇곡] 강원 신림농협 국산 청차조 (차좁쌀), 1개, 500g 9%11,500원 10,430원 (100g당 2,086원) 내일(일) 도착 보장 4.5 (79) 최대 449원 적립</t>
  </si>
  <si>
    <t>햇반 컵반 치킨마요 덮밥, 233g, 2개 41%9,960원 5,800원 (100g당 1,245원) 내일(일) 새벽 도착 보장 5 (535) 최대 290원 적립</t>
  </si>
  <si>
    <t>즉석 컵밥</t>
  </si>
  <si>
    <t>스타벅스 돌체구스토 베란다 블렌드 캡슐커피, 8.5g, 12개입, 1개 7,990원 (10g당 783원) 내일(일) 도착 보장 5 (25818) 최대 400원 적립</t>
  </si>
  <si>
    <t>[남양] 맛있는우유 GT (200mL X 24개)</t>
  </si>
  <si>
    <t>[풀무원] 납작지짐만두 350g X 2개입</t>
  </si>
  <si>
    <t>코카콜라 제로 무라벨, 370ml, 6개 10%8,900원 7,980원 (100ml당 359원) 내일(일) 도착 보장 5 (11705) 최대 399원 적립</t>
  </si>
  <si>
    <t>코카콜라 제로</t>
  </si>
  <si>
    <t>코카콜라</t>
  </si>
  <si>
    <t>카누 바리스타 머신 전용 캡슐커피 케어링스타 디카페인, 9.5g, 10개입, 1개 12%7,900원 6,900원 (10g당 726원) 내일(일) 도착 보장 5 (4376) 최대 345원 적립</t>
  </si>
  <si>
    <t>[동원] 그릴리 직화 델리햄 450g</t>
  </si>
  <si>
    <t>곰곰 볶음 땅콩분태, 1kg, 1개 37%13,900원 8,740원 (100g당 874원) 내일(일) 도착 보장 5 (615) 최대 437원 적립</t>
  </si>
  <si>
    <t>대림선 알뜰 어묵사각, 1kg, 1개 4,500원 (100g당 450원) 내일(일) 새벽 도착 보장 4.5 (1803) 최대 225원 적립</t>
  </si>
  <si>
    <t>[지리산처럼] 행복한 정은씨의 검은 볶음참깨 150g</t>
  </si>
  <si>
    <t>DIAMOND 냉동 흰다리 새우살 30마리 (냉동), 300g, 3팩 19,850원 (100g당 2,206원) 내일(일) 새벽 도착 보장 5 (6329) 최대 993원 적립</t>
  </si>
  <si>
    <t>꽃게랑 오리지널, 70g, 4개 4,800원 (10g당 171원) 내일(일) 도착 보장 5 (8050) 최대 240원 적립</t>
  </si>
  <si>
    <t>꽃게랑</t>
  </si>
  <si>
    <t>[감코리아] 곶감 쏙 5종 디저트 샘플러</t>
  </si>
  <si>
    <t>오뚜기 고소한 쌀 또띠아 지름 20cm, 40g, 6개입, 1개 3,810원 (10g당 159원) 내일(일) 새벽 도착 보장 5 (26595) 최대 190원 적립</t>
  </si>
  <si>
    <t>[만나다] 프레시 조각 오렌지 600g</t>
  </si>
  <si>
    <t>유기농 잡곡 서리태 500g</t>
  </si>
  <si>
    <t>서리태</t>
  </si>
  <si>
    <t>백설 중력 밀가루, 1kg, 2개 16%3,680원 3,060원 (100g당 153원) 내일(일) 도착 보장 5 (27223) 최대 153원 적립</t>
  </si>
  <si>
    <t>[딥트 3일] 피치맛 번 (30일분)</t>
  </si>
  <si>
    <t>딥트 3일</t>
  </si>
  <si>
    <t>[선물세트] 숙성도 한돈 흑돼지 구이 세트 1.4kg (갈치속젓 증정)</t>
  </si>
  <si>
    <t>제주 올레길 명품 우유, 900ml, 2개 5,900원 (100ml당 328원) 내일(일) 새벽 도착 보장 5 (9855) 최대 295원 적립</t>
  </si>
  <si>
    <t>제주</t>
  </si>
  <si>
    <t>해태제과 오예스 쿠키앤크림, 360g, 1개 4,400원 (10g당 122원) 내일(일) 새벽 도착 보장 5 (610) 최대 220원 적립</t>
  </si>
  <si>
    <t>[올레길] 제주 모짜렐라 스트링 치즈 (100g X 2개)</t>
  </si>
  <si>
    <t>[선물세트] 전통주 대대로 진도홍주_3년숙성 (40도 700mL)</t>
  </si>
  <si>
    <t>오뚜기 향긋한 들기름, 320ml, 1개 27%15,880원 11,450원 (10ml당 358원) 내일(일) 도착 보장 5 (18949) 최대 573원 적립</t>
  </si>
  <si>
    <t>곰곰 한돈 등심 카레용 (냉장), 600g, 2팩 33%28,380원 18,770원 (100g당 1,564원) 내일(일) 새벽 도착 보장 5 (36895) 최대 939원 적립</t>
  </si>
  <si>
    <t>씨그램 플레인 탄산수 무라벨, 350ml, 24개 11,870원 (100ml당 141원) 내일(일) 도착 보장 5 (10239) 최대 594원 적립</t>
  </si>
  <si>
    <t>[하이포크] 무항생제 한돈 뒷다리 제육용 300g (냉장)</t>
  </si>
  <si>
    <t>뒷다리살</t>
  </si>
  <si>
    <t>[석관동 떡볶이] 오리지널 떡볶이 1봉/2봉(택1)</t>
  </si>
  <si>
    <t>[닥터브라이언] 복숭아맛구미 비타민C&amp;D 3000 (33일분)</t>
  </si>
  <si>
    <t>[그릭데이] 시나몬 그래놀라 150g</t>
  </si>
  <si>
    <t>고래사어묵 국탕용 종합 어묵, 450g, 1팩 8,500원 (100g당 1,889원) 내일(일) 새벽 도착 보장 5 (35146) 최대 380원 적립</t>
  </si>
  <si>
    <t>스팸 닭가슴살, 200g, 3개 58%16,980원 7,130원 (10g당 119원) 내일(일) 새벽 도착 보장 5 (454) 최대 356원 적립</t>
  </si>
  <si>
    <t>스팸 닭가슴살</t>
  </si>
  <si>
    <t>[셰프초이스] 동그랑땡 1kg (냉장)</t>
  </si>
  <si>
    <t>셰프초이스</t>
  </si>
  <si>
    <t>[브레댄코] 생제르맹 쿠키 6종 세트 640g</t>
  </si>
  <si>
    <t>[CJ] 명가 파래김 16봉</t>
  </si>
  <si>
    <t>한음미가 현미, 3kg, 1개 10,800원 (100g당 360원) 내일(일) 도착 보장 4.5 (2151) 최대 540원 적립</t>
  </si>
  <si>
    <t>한음미가</t>
  </si>
  <si>
    <t>[마르티네즈] 세라노 초리조 250g</t>
  </si>
  <si>
    <t>초리조</t>
  </si>
  <si>
    <t>마르티네즈</t>
  </si>
  <si>
    <t>친환경 깐양파, 300g, 1개 2,930원 (100g당 977원) 내일(일) 새벽 도착 보장 5 (12864) 최대 146원 적립</t>
  </si>
  <si>
    <t>[일리] 볼드 로스트 스틱커피 4종 (택1)</t>
  </si>
  <si>
    <t>농심 양파링 오리지널, 80g, 3개 3,960원 (10g당 165원) 내일(일) 새벽 도착 보장 5 (2221) 최대 198원 적립</t>
  </si>
  <si>
    <t>양파링</t>
  </si>
  <si>
    <t>[베지밀] 고단백 두유 검은콩 (190mL X 16개)</t>
  </si>
  <si>
    <t>[더 샤퀴테리아] 프로슈토</t>
  </si>
  <si>
    <t>프로슈토</t>
  </si>
  <si>
    <t>[CJ] 맛밤 4개입</t>
  </si>
  <si>
    <t>저탄소 유기농 하이아미 쌀 4kg</t>
  </si>
  <si>
    <t>[오다다] 슈가컷피티 (3g X 24개)</t>
  </si>
  <si>
    <t>오다다</t>
  </si>
  <si>
    <t>[모두의식단] 닭가슴살 가성비 대용량 통 닭가슴살 5종</t>
  </si>
  <si>
    <t>모두의식단</t>
  </si>
  <si>
    <t>[고래주방] 동글동글 모양 떡볶이</t>
  </si>
  <si>
    <t>고래주방</t>
  </si>
  <si>
    <t>한양식품 오징어 숏다리, 20g, 10개 26%19,900원 14,550원 (100g당 7,275원) 내일(일) 새벽 도착 보장 5 (5396) 최대 728원 적립</t>
  </si>
  <si>
    <t>[동화약품] 부채표 배러레스트 딥(Deep) 10정</t>
  </si>
  <si>
    <t>[8도포차] 대구식 매운 연탄돼지불고기</t>
  </si>
  <si>
    <t>8도포차</t>
  </si>
  <si>
    <t>한우맘 한우 안심 1등급 구이용 (냉장), 200g, 1개 29%35,760원 25,330원 (100g당 12,665원) 1,000원 와우 가입 쿠폰 내일(일) 새벽 도착 보장 4.5 (331) 최대 1,216원 적립</t>
  </si>
  <si>
    <t>한우맘</t>
  </si>
  <si>
    <t>[김구원선생] 장단콩으로 만든 청국장</t>
  </si>
  <si>
    <t>덴마크 소화가 잘되는 우유, 2.3L, 1개 6,650원 (100ml당 289원) 내일(일) 새벽 도착 보장 5 (36598) 최대 333원 적립</t>
  </si>
  <si>
    <t>[만토바] 아보카도 오일 스프레이 200mL</t>
  </si>
  <si>
    <t>[속초해품] 오징어젓 2종 (택1)</t>
  </si>
  <si>
    <t>오징어젓갈</t>
  </si>
  <si>
    <t>속초해품</t>
  </si>
  <si>
    <t>상하목장 유기농인증 우유, 750ml, 2개 9,630원 (100ml당 642원) 내일(일) 새벽 도착 보장 5 (66263) 최대 481원 적립</t>
  </si>
  <si>
    <t>제주어부 제주 간고등어 (냉동), 5팩, 120g 14,900원 (100g당 2,483원) 내일(일) 새벽 도착 보장 4.5 (3698) 최대 695원 적립</t>
  </si>
  <si>
    <t>제주어부</t>
  </si>
  <si>
    <t>가가호호 2025년산 햅쌀 우포 따오기쌀 백미, 3kg, 1개, 상등급 10,800원 (100g당 360원) 내일(일) 도착 보장 4.5 (20482) 최대 540원 적립</t>
  </si>
  <si>
    <t>[진가네반찬] 참치김치찌개</t>
  </si>
  <si>
    <t>[포트'럭] 서해안 손질 동죽조개살 200g (냉동)</t>
  </si>
  <si>
    <t>순창궁 태양초 골드 고추장, 500g, 1개 56%8,500원 3,720원 (100g당 744원) 내일(일) 새벽 도착 보장 5 (7055) 최대 186원 적립</t>
  </si>
  <si>
    <t>[매일] 아몬드브리즈 950mL 2종 (택1)</t>
  </si>
  <si>
    <t>착한상점 구수하게 끓여먹는 솥뚜껑 누룽지, 3kg, 1개 14%21,000원 17,900원 (100g당 597원) 내일(일) 새벽 도착 보장 4.5 (15767) 최대 895원 적립</t>
  </si>
  <si>
    <t>착한상점</t>
  </si>
  <si>
    <t>[정미소] 비단쌀 2kg</t>
  </si>
  <si>
    <t>[달구지막창] 마늘훈제막창</t>
  </si>
  <si>
    <t>달구지막창</t>
  </si>
  <si>
    <t>[노아베이커리] 앙금품은 모카빵 280g</t>
  </si>
  <si>
    <t>모카빵</t>
  </si>
  <si>
    <t>노아베이커리</t>
  </si>
  <si>
    <t>맥심 디카페인 커피믹스, 11.8g, 100개입, 1개 19,770원 (10g당 168원) 내일(일) 새벽 도착 보장 5 (1298) 최대 989원 적립</t>
  </si>
  <si>
    <t>[스윗밸런스] 데워먹는 온샐러드 4종 (택1)</t>
  </si>
  <si>
    <t>[매일] 아몬드브리즈 아몬드&amp;오트 (190mL X 24개)</t>
  </si>
  <si>
    <t>농심 누룽지팝, 142g, 2개 5,160원 (10g당 182원) 내일(일) 새벽 도착 보장 5 (1245) 최대 258원 적립</t>
  </si>
  <si>
    <t>[매일유업] 바나나는 원래 맛있다 (190mL X 6개)</t>
  </si>
  <si>
    <t>[제주마미] 제주산 비온뒤 고사리 200g X 2입</t>
  </si>
  <si>
    <t>제주마미</t>
  </si>
  <si>
    <t>[올리] 명인 유기쌀조청 480g (국내산 유기농쌀)</t>
  </si>
  <si>
    <t>수향미 진공미 3kg</t>
  </si>
  <si>
    <t>수향미</t>
  </si>
  <si>
    <t>마 500g</t>
  </si>
  <si>
    <t>마</t>
  </si>
  <si>
    <t>[슈퍼키친] 알마늘</t>
  </si>
  <si>
    <t>[셀렉스] 프로틴 음료 2종 (택1)</t>
  </si>
  <si>
    <t>[미트엔조이] 미국산 프라임 등심 스테이크 300g(냉장)</t>
  </si>
  <si>
    <t>프리미엄 인기 육포 비첸향 모아보기 8종 (택1)</t>
  </si>
  <si>
    <t>[바다해] 자연건조 황태채 2종</t>
  </si>
  <si>
    <t>곰곰 돌돌이 무연골 대패 삼겹살 (냉동), 500g, 1개 26%8,990원 6,590원 (100g당 1,318원) 내일(일) 새벽 도착 보장 4.5 (3460) 최대 330원 적립</t>
  </si>
  <si>
    <t>[오늘바다] 전복게우장 솥밥</t>
  </si>
  <si>
    <t>오늘바다</t>
  </si>
  <si>
    <t>[하코야] 오리지널 어묵 우동(2인)</t>
  </si>
  <si>
    <t>[선물세트] 포트'럭 완도 활전복 26~28마리 1.4kg (중,생물)(예약일 수령)</t>
  </si>
  <si>
    <t>곰곰 알뜰두부, 800g, 1팩 1,990원 (100g당 249원) 내일(일) 새벽 도착 보장 5 (62334) 최대 100원 적립</t>
  </si>
  <si>
    <t>[미자언니네] 미역줄기볶음</t>
  </si>
  <si>
    <t>[전통주]압구정막걸리 원 김재중막걸리(14도 375mL)</t>
  </si>
  <si>
    <t>[올반] 새우볶음밥 (4개입)</t>
  </si>
  <si>
    <t>더미식 오징어라면 130g, 4개 21%8,800원 6,880원 (1개당 1,720원) 내일(일) 도착 보장 4.5 (8692) 최대 344원 적립</t>
  </si>
  <si>
    <t>오징어라면</t>
  </si>
  <si>
    <t>더미식</t>
  </si>
  <si>
    <t>[부르본] 페투치네 젤리 3종</t>
  </si>
  <si>
    <t>부르본</t>
  </si>
  <si>
    <t>[자연실록] 무항생제 생닭 850g</t>
  </si>
  <si>
    <t>요플레 ONLY 3 플레인 요거트 대용량, 1.8L, 1개입, 1개 18%8,980원 7,350원 (10ml당 41원) 내일(일) 새벽 도착 보장 5 (29446) 최대 368원 적립</t>
  </si>
  <si>
    <t>[우주] 킹점보 생새우살 200g (냉동) (16/20 사이즈)</t>
  </si>
  <si>
    <t>우주</t>
  </si>
  <si>
    <t>[메디트리] 콤부 파인애플 효소 30포</t>
  </si>
  <si>
    <t>메디트리</t>
  </si>
  <si>
    <t>[하림] 아이로운 팝콘치킨 500g</t>
  </si>
  <si>
    <t>[메종드조에] 크리스마스 쿠키 세트 2종 (택1)</t>
  </si>
  <si>
    <t>미원 맛소금, 1kg, 1개 1%4,180원 4,120원 (100g당 412원) 내일(일) 도착 보장 5 (82879) 최대 206원 적립</t>
  </si>
  <si>
    <t>하리보 메가파티 젤리 14개입, 250g, 1개 4,900원 (10g당 196원) 내일(일) 도착 보장 5 (2836) 최대 245원 적립</t>
  </si>
  <si>
    <t>맥심 모카골드 라이트 커피믹스, 11.8g, 160개입, 1개 25,110원 (10g당 133원) 내일(일) 도착 보장 5 (23534) 최대 1,255원 적립</t>
  </si>
  <si>
    <t>오징어짬뽕 컵 67g, 6개 5,700원 (1개당 950원) 내일(일) 도착 보장 5 (35164) 최대 285원 적립</t>
  </si>
  <si>
    <t>오징어 짬뽕</t>
  </si>
  <si>
    <t>오징어짬뽕</t>
  </si>
  <si>
    <t>둥지냉면 동치미 물냉면 161g, 4개 3,060원 (1개당 765원) 2/13(금) 도착 예정 5 (21073) 최대 153원 적립</t>
  </si>
  <si>
    <t>둥지냉면</t>
  </si>
  <si>
    <t>가치지은 국내산 백옥 찹쌀, 3kg, 1개 10,800원 (100g당 360원) 내일(일) 도착 보장 4.5 (3407) 최대 540원 적립</t>
  </si>
  <si>
    <t>가치지은</t>
  </si>
  <si>
    <t>[차알] 차돌 마라탕면</t>
  </si>
  <si>
    <t>차알</t>
  </si>
  <si>
    <t>[풀무원] 노엣지 페퍼로니 콤비네이션피자</t>
  </si>
  <si>
    <t>[CU 픽업] 봄베이사파이어</t>
  </si>
  <si>
    <t>사조프레시미트 수입 돈갈비 찜용 3 x 3 x 3 cm (냉동), 1kg, 3개 29,910원 (100g당 997원) 내일(일) 새벽 도착 보장 4.5 (3831) 최대 1,495원 적립</t>
  </si>
  <si>
    <t>사조프레시미트</t>
  </si>
  <si>
    <t>[서울마님] 간편 떡구이 (2개입/4개입) 6종 (택1)</t>
  </si>
  <si>
    <t>떡구이</t>
  </si>
  <si>
    <t>[트리투바] 내츄럴 태블릿 초콜릿 5종 (택1)</t>
  </si>
  <si>
    <t>트리투바</t>
  </si>
  <si>
    <t>[메이준뉴트리] 파인애플효소 브로멜라인 업 80만 역가수치 30포</t>
  </si>
  <si>
    <t>메이준뉴트리</t>
  </si>
  <si>
    <t>[바름팜] 수분 가득 프레시 가든 샐러드 150g</t>
  </si>
  <si>
    <t>[슈퍼키친] 연근흑임자버무리</t>
  </si>
  <si>
    <t>연근 무침</t>
  </si>
  <si>
    <t>[로얄오차드] 차 선물세트 3종 (택1)</t>
  </si>
  <si>
    <t>설성목장 한돈 고추장 제육볶음, 1개, 600g 8,900원 (100g당 1,483원) 내일(일) 새벽 도착 보장 4.5 (1130) 최대 395원 적립</t>
  </si>
  <si>
    <t>[엑스텐드] BCAA 글레이셜 그레이프 포도맛 30회분</t>
  </si>
  <si>
    <t>엑스텐드</t>
  </si>
  <si>
    <t>[햇살굽는집] 우리야채식빵 280g</t>
  </si>
  <si>
    <t>국내산 깻잎, 60g, 1팩 1,980원 (100g당 3,300원) 내일(일) 새벽 도착 보장 4.5 (30343) 최대 99원 적립</t>
  </si>
  <si>
    <t>삼립 로만밀 통밀식빵, 420g, 2개입, 1세트 6,300원 (10g당 75원) 내일(일) 새벽 도착 보장 5 (209228) 최대 315원 적립</t>
  </si>
  <si>
    <t>[KF365] 노르웨이 생연어회 200g (냉장)</t>
  </si>
  <si>
    <t>[페레로] 로쉐 초콜릿바 3종 (택1)</t>
  </si>
  <si>
    <t>페레로</t>
  </si>
  <si>
    <t>[미카쿠토] 푸쵸 쥬시미라클 젤리 후르츠믹스맛 대용량 800g</t>
  </si>
  <si>
    <t>미카쿠토</t>
  </si>
  <si>
    <t>[로이타이] 코코넛 밀크 2종 (250ml/1L, 코코넛함량 99.6%)</t>
  </si>
  <si>
    <t>코코넛 밀크</t>
  </si>
  <si>
    <t>로이타이</t>
  </si>
  <si>
    <t>[앙상블] 맛있는 큐브 치즈 2종 (7g X 18입)</t>
  </si>
  <si>
    <t>앙상블</t>
  </si>
  <si>
    <t>프렌치카페 커피믹스 스틱 마일드, 11.1g, 20개입, 2개 6,400원 (10g당 144원) 내일(일) 도착 보장 5 (148550) 최대 320원 적립</t>
  </si>
  <si>
    <t>프렌치카페</t>
  </si>
  <si>
    <t>[마마리] 연근 닭강정 450g</t>
  </si>
  <si>
    <t>냉동 닭강정</t>
  </si>
  <si>
    <t>풀무원 무항생제 1+ 등급 대란, 25구, 1개 13,300원 (1구당 532원) 내일(일) 새벽 도착 보장 5 (13059) 최대 665원 적립</t>
  </si>
  <si>
    <t>오뚜기 오쉐프 돈까스 소스, 2kg, 1개 4,390원 (100g당 220원) 내일(일) 도착 보장 5 (4748) 최대 220원 적립</t>
  </si>
  <si>
    <t>일리 다크 인텐소 볼드 로스트 캡슐 커피, 18개입, 3개 43,000원 (1개당 796원) 2/11(수) 도착 예정 5 (12503) 최대 2,150원 적립</t>
  </si>
  <si>
    <t>[워커힐고메] 고기 만두 400g</t>
  </si>
  <si>
    <t>[자연담은] 국내산 유기농 누룽지 500g</t>
  </si>
  <si>
    <t>발렌타인 스프레더블 버터, 160g, 1개 8,030원 (100g당 5,019원) 내일(일) 새벽 도착 보장 5 (11252) 최대 401원 적립</t>
  </si>
  <si>
    <t>발렌타인</t>
  </si>
  <si>
    <t>[오희숙부각] 명인 찹쌀부각 2종 (택1)</t>
  </si>
  <si>
    <t>쌀 부각</t>
  </si>
  <si>
    <t>오희숙부각</t>
  </si>
  <si>
    <t>유기농 씻어나온 찹쌀, 1.3kg, 1통 10,800원 (100g당 831원) 내일(일) 새벽 도착 보장 5 (5628) 최대 540원 적립</t>
  </si>
  <si>
    <t>[카르보넬] 엑스트라 버진 올리브 오일 2종</t>
  </si>
  <si>
    <t>카르보넬</t>
  </si>
  <si>
    <t>[샘표] 명품구운소금 2종 (택1)</t>
  </si>
  <si>
    <t>[다담] 냉이된장찌개 양념 2종 (택1)</t>
  </si>
  <si>
    <t>된장찌개 양념</t>
  </si>
  <si>
    <t>다담</t>
  </si>
  <si>
    <t>[일일곡식] 국산 서리태로 더욱 고소해진 귀리쉐이크 1kg</t>
  </si>
  <si>
    <t>곡물 쉐이크</t>
  </si>
  <si>
    <t>일일곡식</t>
  </si>
  <si>
    <t>엉클탁 씻어나온 현미, 4kg, 1통 20,800원 (100g당 520원) 내일(일) 새벽 도착 보장 5 (2384) 최대 1,040원 적립</t>
  </si>
  <si>
    <t>[풀무원] 반듯한식 1분즉석국 계란북엇국_6g*5입</t>
  </si>
  <si>
    <t>[선물세트] MSC인증 명란 혼합 세트</t>
  </si>
  <si>
    <t>[햇살듬뿍] 양배추스틱 30포</t>
  </si>
  <si>
    <t>햇살듬뿍</t>
  </si>
  <si>
    <t>[배대감] 국산 감자전분 350g</t>
  </si>
  <si>
    <t>유기농 현미칩 60g</t>
  </si>
  <si>
    <t>[진가네반찬] 총각김치</t>
  </si>
  <si>
    <t>[요플레] 후루츠 플레이버 요거트 3종 (85mL X 4개) (택1)</t>
  </si>
  <si>
    <t>[파볼] 호두가 들어있는 사과 잼 110g</t>
  </si>
  <si>
    <t>사과잼</t>
  </si>
  <si>
    <t>파볼</t>
  </si>
  <si>
    <t>유기농 다진 단호박 100g</t>
  </si>
  <si>
    <t>네스카페 돌체구스토 캡슐커피 초코치노, 16g, 16개입, 1개 9,490원 (10g당 371원) 내일(일) 도착 보장 4.5 (6606) 최대 475원 적립</t>
  </si>
  <si>
    <t>네스카페</t>
  </si>
  <si>
    <t>[김소형원방] 알부민 진액스틱 30포 (+쇼핑백증정)</t>
  </si>
  <si>
    <t>[메종엠오] 땅콩 밀크초코 마들렌 35g</t>
  </si>
  <si>
    <t>마들렌</t>
  </si>
  <si>
    <t>[바다원] 남해안 볶음용멸치 150g</t>
  </si>
  <si>
    <t>[리치몬드 과자점] 갈레트 데 루와 220g</t>
  </si>
  <si>
    <t>리치몬드 과자점</t>
  </si>
  <si>
    <t>덴마크 테이크 얼라이브 블러드오렌지 주스, 120ml, 48개 14,900원 (100ml당 259원) 내일(일) 도착 보장 5 (8389) 최대 745원 적립</t>
  </si>
  <si>
    <t>오렌지 주스</t>
  </si>
  <si>
    <t>[오뚜기] 사과식초 900ml</t>
  </si>
  <si>
    <t>[선물세트] 나폴레옹 쿠키 3종 세트 282g</t>
  </si>
  <si>
    <t>동원 슬라이스 유부 (냉동), 500g, 1개 13%9,280원 8,070원 (100g당 1,614원) 내일(일) 새벽 도착 보장 5 (20062) 최대 404원 적립</t>
  </si>
  <si>
    <t>[HBAF] 다크초코 프레첼 30g X 5개입</t>
  </si>
  <si>
    <t>[테라로사 : 겨울] 윈터 드림 블렌드 커피 2종(택1)</t>
  </si>
  <si>
    <t>테라로사 : 겨울</t>
  </si>
  <si>
    <t>스타벅스 디카프 블론드 에스프레소 로스트 캡슐커피, 5.5g, 10개입, 1개 12%7,990원 6,990원 (10g당 1,271원) 내일(일) 도착 보장 5 (1041) 최대 350원 적립</t>
  </si>
  <si>
    <t>사조참치 살코기 안심따개, 135g, 4개 6,660원 (10g당 123원) 내일(일) 도착 보장 5 (194170) 최대 333원 적립</t>
  </si>
  <si>
    <t>[KF365] 한돈 생 갈비 600g(냉장)</t>
  </si>
  <si>
    <t>[오마뎅] 순살 어묵바</t>
  </si>
  <si>
    <t>[가토미작] 그릭요거트 보틀 케이크 3종 (택1)</t>
  </si>
  <si>
    <t>가토미작</t>
  </si>
  <si>
    <t>[사미헌] 우거지 갈비탕</t>
  </si>
  <si>
    <t>[마마리] 바질페스토 파스타 샐러드</t>
  </si>
  <si>
    <t>[몸애쏙쏙] 유기농 배도라지청</t>
  </si>
  <si>
    <t>몸애쏙쏙</t>
  </si>
  <si>
    <t>[리모데나] IGP유기농 발사믹 그린라벨 (포도농축85%)</t>
  </si>
  <si>
    <t>리모데나</t>
  </si>
  <si>
    <t>[우리밀] 빵가루 190g</t>
  </si>
  <si>
    <t>잔다리 전두부, 310g, 2개 7,800원 (100g당 1,258원) 내일(일) 새벽 도착 보장 5 (5044) 최대 390원 적립</t>
  </si>
  <si>
    <t>잔다리</t>
  </si>
  <si>
    <t>삼립 더블치즈 후레쉬팡, 98g, 1개입, 2개 2,710원 (10g당 138원) 내일(일) 새벽 도착 보장 5 (8730) 최대 135원 적립</t>
  </si>
  <si>
    <t>치즈빵</t>
  </si>
  <si>
    <t>지하암반해수로 씻어낸 가열조리용 생굴 (냉장), 500g, 1개 할인12%13,500원 11,770원 (100g당 2,354원) 내일(일) 새벽 도착 보장 4.5 (34095) 최대 589원 적립</t>
  </si>
  <si>
    <t>하선정 한입쌈무 새콤한맛, 200g, 1개 1,720원 (100g당 860원) 내일(일) 새벽 도착 보장 5 (3098) 최대 86원 적립</t>
  </si>
  <si>
    <t>[르루] 유기농 치커리 대체커피100g</t>
  </si>
  <si>
    <t>르루</t>
  </si>
  <si>
    <t>[락티브] 미오이노시톨 앤 콜린 4000mg 14포</t>
  </si>
  <si>
    <t>락티브</t>
  </si>
  <si>
    <t>[비비고] 순살고등어구이</t>
  </si>
  <si>
    <t>[다시다] 쇠고기 다시다 300g</t>
  </si>
  <si>
    <t>황금이네 국내산 갈아만든 배도라지청, 600g, 1개입, 1개 43%26,200원 14,900원 (10g당 248원) 내일(일) 도착 보장 5 (1478) 최대 655원 적립</t>
  </si>
  <si>
    <t>[몸애쏙쏙] 유기농 어린이 배도라지즙 2종 (100mL X 10포)</t>
  </si>
  <si>
    <t>복이네먹거리 탈피 들깨가루, 100g, 1개 23%4,410원 3,390원 (100g당 3,390원) 내일(일) 도착 보장 4.5 (2447) 최대 170원 적립</t>
  </si>
  <si>
    <t>[우주] 손질 생새우살 200g (냉동) (31/50 사이즈)</t>
  </si>
  <si>
    <t>[더오담] 한입 현미 강정 100g</t>
  </si>
  <si>
    <t>곰곰 국산 우리콩두부, 300g, 2팩 3,980원 (100g당 663원) 내일(일) 새벽 도착 보장 5 (59329) 최대 199원 적립</t>
  </si>
  <si>
    <t>[진가네반찬] 실비 겉절이 김치</t>
  </si>
  <si>
    <t>실비 겉절이</t>
  </si>
  <si>
    <t>건강한밥상 국산 찰보리쌀, 2kg, 1개 10,500원 (100g당 525원) 내일(일) 도착 보장 4.5 (30715) 최대 525원 적립</t>
  </si>
  <si>
    <t>[모던구루] 그래놀라 6종 (택1)</t>
  </si>
  <si>
    <t>모던구루</t>
  </si>
  <si>
    <t>[이목 무항생제] 국내산 소고기 양지 국거리용 200g 2종 (냉장)</t>
  </si>
  <si>
    <t>대림선 어묵 빨간 오뎅꼬치 (냉동), 409g, 1개 5,980원 (100g당 1,462원) 내일(일) 새벽 도착 보장 5 (4498) 최대 299원 적립</t>
  </si>
  <si>
    <t>국내산 찹쌀, 5kg, 1개 16%23,900원 19,900원 (100g당 398원) 내일(일) 도착 보장 4.5 (11411) 최대 995원 적립</t>
  </si>
  <si>
    <t>양송이버섯 140g</t>
  </si>
  <si>
    <t>[곱창파는청년들] 소곱창</t>
  </si>
  <si>
    <t>곱창파는청년들</t>
  </si>
  <si>
    <t>[동원] 양반 진국 사골곰탕 500g</t>
  </si>
  <si>
    <t>동원샘물 생수 무라벨, 1.1L, 24개 27%15,960원 11,500원 (100ml당 44원) 내일(일) 도착 보장 5 (160875) 최대 552원 적립</t>
  </si>
  <si>
    <t>[쉐푸드] 디럭스 샌드위치 패밀리팩 (4입)</t>
  </si>
  <si>
    <t>[VIP] 프리미엄 제주 은갈치 800g (냉동)</t>
  </si>
  <si>
    <t>VIP</t>
  </si>
  <si>
    <t>설성목장 한돈 무항생제 목심 구이용 (냉장), 400g, 1개 41%16,800원 9,750원 (100g당 2,438원) 내일(일) 새벽 도착 보장 5 (4063) 최대 488원 적립</t>
  </si>
  <si>
    <t>[유유제약] 아이튼 퓨어 키즈프로폴리스 젤리 (15일분)</t>
  </si>
  <si>
    <t>유유제약</t>
  </si>
  <si>
    <t>목우촌 국내산 소고기 양지 미절단 국거리용 (냉장), 300g, 1개 18,900원 (100g당 6,300원) 내일(일) 새벽 도착 보장 4.5 (4034) 최대 945원 적립</t>
  </si>
  <si>
    <t>[CU 픽업] 그로브밀샤도네이</t>
  </si>
  <si>
    <t>거창군농협 2025년산 햅쌀 거창한 메뚜기쌀, 상등급, 10kg, 1개 15%39,900원 33,900원 (100g당 339원) 내일(일) 도착 보장 5 (4301) 최대 1,695원 적립</t>
  </si>
  <si>
    <t>[설성목장] 한우 어린이 육포</t>
  </si>
  <si>
    <t>[DIMES] 석류 착즙주스 1L</t>
  </si>
  <si>
    <t>석류주스</t>
  </si>
  <si>
    <t>DIMES</t>
  </si>
  <si>
    <t>하림 팝콘치킨 (냉동), 1.2kg, 1개 쿠폰할인32%16,900원 11,430원 (100g당 953원) 내일(일) 새벽 도착 보장 5 (29979) 최대 571원 적립</t>
  </si>
  <si>
    <t>리프레쉬 바베큐 오징어, 300g, 1개 35%19,980원 12,890원 (10g당 430원) 내일(일) 도착 보장 4.5 (8139) 최대 645원 적립</t>
  </si>
  <si>
    <t>[사조대림] 한돈 두툼 살코기햄 350g</t>
  </si>
  <si>
    <t>단디프레시 직접 손으로 채취한 서해안 갯벌 동죽조개, 800g, 1봉 7,500원 (100g당 938원) 내일(일) 새벽 도착 보장 4.5 (14336) 최대 375원 적립</t>
  </si>
  <si>
    <t>단디프레시</t>
  </si>
  <si>
    <t>[CJ] 자메이카 Style 치킨 350g</t>
  </si>
  <si>
    <t>데니그리스 유기농 사과 식초, 1L, 1개 52%22,000원 10,400원 (10ml당 104원) 내일(일) 새벽 도착 보장 5 (4623) 최대 520원 적립</t>
  </si>
  <si>
    <t>[모나미] 프렌치 버터 2종 (냉동)</t>
  </si>
  <si>
    <t>프렌치 버터</t>
  </si>
  <si>
    <t>모나미</t>
  </si>
  <si>
    <t>[가농바이오] 비타플러스에그 무항생제 1+등급 특란 10구</t>
  </si>
  <si>
    <t>가농바이오</t>
  </si>
  <si>
    <t>샘표 양조 간장 701, 860ml, 2개 15,720원 (100ml당 914원) 내일(일) 도착 보장 5 (33497) 최대 786원 적립</t>
  </si>
  <si>
    <t>크노르 치킨파우더 시즈닝, 120g, 2개 쿠폰할인27%11,800원 8,500원 (100g당 3,542원) 내일(일) 도착 보장 5 (2721) 최대 425원 적립</t>
  </si>
  <si>
    <t>치킨파우더</t>
  </si>
  <si>
    <t>크노르</t>
  </si>
  <si>
    <t>[자연에찬] 메추리알 장조림</t>
  </si>
  <si>
    <t>[CU 픽업] 오프리 화이트 포트</t>
  </si>
  <si>
    <t>파스퇴르 건강한 저온살균 우유 후레쉬, 2.3L, 2개 16,240원 (100ml당 353원) 내일(일) 새벽 도착 보장 5 (173286) 최대 812원 적립</t>
  </si>
  <si>
    <t>파스퇴</t>
  </si>
  <si>
    <t>[워커힐호텔] 백김치 3kg</t>
  </si>
  <si>
    <t>[엉클베리하우스] 짜먹는 유기농 생강도라지 진액 스틱</t>
  </si>
  <si>
    <t>엉클베리하우스</t>
  </si>
  <si>
    <t>[Picard] 페스토 로쏘 페스츄리 타르트 310g</t>
  </si>
  <si>
    <t>[밀가루대신] 아몬드 가루 250g</t>
  </si>
  <si>
    <t>밀가루대신</t>
  </si>
  <si>
    <t>대림선 유부 (냉동), 500g, 1개 7,230원 내일(일) 새벽 도착 보장 5 (924) 최대 361원 적립</t>
  </si>
  <si>
    <t>리솔라 멸균우유, 250ml, 12개 8,500원 (100ml당 283원) 내일(일) 도착 보장 새 상품, 반품-미개봉 (3) 최저8,070원 5 (12236) 최대 425원 적립</t>
  </si>
  <si>
    <t>리솔라</t>
  </si>
  <si>
    <t>[해머스] 수제 햄 레베케제 4종</t>
  </si>
  <si>
    <t>해머스</t>
  </si>
  <si>
    <t>[튀김공방] 칠리새우</t>
  </si>
  <si>
    <t>[마이노멀 x YOZM] 저당 그릭요거트 애플시나몬 130g</t>
  </si>
  <si>
    <t>백설 옥수수유, 1.8L, 1개 26%10,800원 7,900원 (100ml당 439원) 내일(일) 도착 보장 5 (20619) 최대 395원 적립</t>
  </si>
  <si>
    <t>옥수수유</t>
  </si>
  <si>
    <t>[KF365] 메추리알 오리지날 카츠 500g</t>
  </si>
  <si>
    <t>[프레지덩] 마이딥 스프레더블 치즈 125g 2종 (택1)</t>
  </si>
  <si>
    <t>[유기방아] 쑥오쟁이떡 600g</t>
  </si>
  <si>
    <t>오쟁이떡</t>
  </si>
  <si>
    <t>[만전김] 일회조 만전곱창돌김 도시락김 2종 (택1)</t>
  </si>
  <si>
    <t>[바로생활] 유기농 양배추환 스틱 50포</t>
  </si>
  <si>
    <t>세브란스에이투 전용목장 단백우유 딸기, 125ml, 12개 33%14,900원 9,950원 (100ml당 663원) 내일(일) 도착 보장 5 (484) 최대 498원 적립</t>
  </si>
  <si>
    <t>세브란스에이투</t>
  </si>
  <si>
    <t>오징어짬뽕 124g, 10개 9,500원 (1개당 950원) 내일(일) 도착 보장 5 (58304) 최대 475원 적립</t>
  </si>
  <si>
    <t>자연건조 덕장명인 용대리 황태채 (냉동), 150g, 1개 11,900원 (100g당 7,933원) 내일(일) 새벽 도착 보장 4.5 (6531) 최대 545원 적립</t>
  </si>
  <si>
    <t>[서울우유] 저탄소인증 우유 900mL</t>
  </si>
  <si>
    <t>[널담] 완전영양식빵 (100g X 4개)</t>
  </si>
  <si>
    <t>[종가] 현명한주부 맛김치3kg</t>
  </si>
  <si>
    <t>[바름팜] 가늘고 투명한 일식집 양배추채 (0.7mm)</t>
  </si>
  <si>
    <t>[바름팜] 간편하게 손질한 절단 배추 300g</t>
  </si>
  <si>
    <t>[신키네도] 오렌지 스타롤 2종 (택1)</t>
  </si>
  <si>
    <t>신키네도</t>
  </si>
  <si>
    <t>[양포어장] 짜지 않은 반건조오징어 200g</t>
  </si>
  <si>
    <t>[집반찬연구소] 애호박나물</t>
  </si>
  <si>
    <t>애호박 나물</t>
  </si>
  <si>
    <t>[왕애밥상] 총각김치 2kg</t>
  </si>
  <si>
    <t>왕애밥상</t>
  </si>
  <si>
    <t>[바름팜] 제주 양배추 1통 (900g)</t>
  </si>
  <si>
    <t>오뚜기 빵가루, 1kg, 1개 20%7,580원 6,020원 (100g당 602원) 내일(일) 도착 보장 5 (7508) 최대 301원 적립</t>
  </si>
  <si>
    <t>[대상웰라이프] 뉴케어 올프로틴 바나나맛 245ml (24일분)</t>
  </si>
  <si>
    <t>[샐러드판다] 누들 샐러드 5종 (택1)</t>
  </si>
  <si>
    <t>누들 샐러드</t>
  </si>
  <si>
    <t>샐러드판다</t>
  </si>
  <si>
    <t>마이카페라떼 원데이 로어슈거 클래식라떼, 210ml, 10개 19%13,900원 11,200원 (100ml당 533원) 내일(일) 도착 보장 새 상품, 반품-미개봉 (2) 최저10,640원 5 (2184) 최대 560원 적립</t>
  </si>
  <si>
    <t>마이카페라떼</t>
  </si>
  <si>
    <t>[ISFI] 바질</t>
  </si>
  <si>
    <t>국내산 오징어슬라이스 (냉동), 300g, 2개 14,780원 (100g당 2,463원) 내일(일) 새벽 도착 보장 5 (19837) 최대 739원 적립</t>
  </si>
  <si>
    <t>대한다업 보성에서 자란 블랙 보리차, 1.5g, 60개입, 1개 7,980원 (10g당 887원) 내일(일) 도착 보장 4.5 (3143) 최대 399원 적립</t>
  </si>
  <si>
    <t>프렌치카페 스테비아 디카페인 커피믹스, 10.3g, 20개입, 1개 5%7,580원 7,140원 (10g당 347원) 내일(일) 도착 보장 5 (53) 최대 357원 적립</t>
  </si>
  <si>
    <t>[바리스타룰스] 컵커피 250mL 5종 (택1)</t>
  </si>
  <si>
    <t>컵커피</t>
  </si>
  <si>
    <t>바리스타룰스</t>
  </si>
  <si>
    <t>[KF365] 고소한 재래도시락김 16봉</t>
  </si>
  <si>
    <t>[석관동 떡볶이] 로제 떡볶이</t>
  </si>
  <si>
    <t>석관동 떡볶이</t>
  </si>
  <si>
    <t>[에밀리아] 유기농 화이트 와인 비니거</t>
  </si>
  <si>
    <t>화이트 와인 비니거</t>
  </si>
  <si>
    <t>에밀리아</t>
  </si>
  <si>
    <t>[바다소리] 완도 자른미역 80g</t>
  </si>
  <si>
    <t>바다소리</t>
  </si>
  <si>
    <t>[칠갑농산] 감자수제비 800g</t>
  </si>
  <si>
    <t>수제비</t>
  </si>
  <si>
    <t>[롯데웰푸드] 저당 아이스크림 골라담기 6종 (택1)</t>
  </si>
  <si>
    <t>[동원] 양반 용기죽 7종 (택1)</t>
  </si>
  <si>
    <t>[바름팜] 제주에서 온 친환경 사각 컷 양배추 300g</t>
  </si>
  <si>
    <t>[바름팜] 친환경 양배추 슬라이스 300g</t>
  </si>
  <si>
    <t>[메종조] 빠떼 드 깜빠뉴 100g (냉장)</t>
  </si>
  <si>
    <t>깜빠뉴</t>
  </si>
  <si>
    <t>메종조</t>
  </si>
  <si>
    <t>간편한 손질 오징어 (냉동), 1개, 500g 23%12,000원 9,240원 (100g당 1,848원) 내일(일) 새벽 도착 보장 4 (1083) 최대 462원 적립</t>
  </si>
  <si>
    <t>[마즈] 이클립스 6종 (택1)</t>
  </si>
  <si>
    <t>[라빈리커픽업] 부쉬밀 10년 (위스키)</t>
  </si>
  <si>
    <t>오뎅식당 의정부 부대찌개 밀키트 2인분, 630g, 1개 13,900원 (100g당 2,206원) 내일(일) 새벽 도착 보장 4.5 (523) 최대 625원 적립</t>
  </si>
  <si>
    <t>[샘표] 국산100% 쌀소면 400g</t>
  </si>
  <si>
    <t>[동원] 동원맛참 마요참기름 90g x 4캔</t>
  </si>
  <si>
    <t>제주삼다수 그린 무라벨, 2L, 12개 12,960원 (100ml당 54원) 내일(일) 도착 보장 5 (729945) 최대 648원 적립</t>
  </si>
  <si>
    <t>[서울우유] 고소한 버터 450g</t>
  </si>
  <si>
    <t>[페이장브레통] 르 까망베르 치즈 125g</t>
  </si>
  <si>
    <t>까망베르 치즈</t>
  </si>
  <si>
    <t>페이장브레통</t>
  </si>
  <si>
    <t>대림선 부산 어묵 풍년마당, 1kg, 1개 5,700원 (100g당 570원) 내일(일) 새벽 도착 보장 4.5 (49737) 최대 285원 적립</t>
  </si>
  <si>
    <t>[빔스터] 110년 전통 고다치즈 3종</t>
  </si>
  <si>
    <t>고다 치즈</t>
  </si>
  <si>
    <t>빔스터</t>
  </si>
  <si>
    <t>국내산 무, 1개입, 6개 9,100원 (1개당 1,517원) 내일(일) 새벽 도착 보장 4.5 (269495) 최대 455원 적립</t>
  </si>
  <si>
    <t>[조은보담] 여주 &amp; 돼지감자 30포</t>
  </si>
  <si>
    <t>돼지감자</t>
  </si>
  <si>
    <t>조은보담</t>
  </si>
  <si>
    <t>대림선 부산어묵 쫄깃한 야채사각 4장, 180g, 2개 2,380원 (100g당 661원) 내일(일) 새벽 도착 보장 5 (6038) 최대 119원 적립</t>
  </si>
  <si>
    <t>다하다 늙은 호박차, 1g, 100개입, 1개 10,900원 (10g당 1,090원) 내일(일) 도착 보장 5 (2337) 최대 545원 적립</t>
  </si>
  <si>
    <t>다하다</t>
  </si>
  <si>
    <t>[롯데웰푸드] 제로 아이스크림 스틱 바 2종 (80mL X 6개) (택1)</t>
  </si>
  <si>
    <t>[Kurly's] 동물복지 비빔 반숙 계란장 매운맛</t>
  </si>
  <si>
    <t>계란장</t>
  </si>
  <si>
    <t>[바름팜] 친환경 한통 양배추 (800g)</t>
  </si>
  <si>
    <t>[참프레] 버팔로윙 1kg</t>
  </si>
  <si>
    <t>제주삼다수 그린 무라벨, 1L, 9개 52%13,900원 6,630원 (100ml당 74원) 내일(일) 도착 보장 5 (729945) 최대 331원 적립</t>
  </si>
  <si>
    <t>펩시 제로슈거 라임향 제로카페인 탄산음료, 210ml, 30개 15,490원 (100ml당 246원) 내일(일) 도착 보장 새 상품, 반품-미개봉 (29) 최저10,560원 5 (3033) 최대 775원 적립</t>
  </si>
  <si>
    <t>[유기농 생강청 1OO%] 향토미가 유기농 생강청 국산 100% 무농약, 1개, 1개입, 600g 할인52%37,900원 17,900원 (10g당 298원) 내일(일) 도착 보장 5 (601) 최대 895원 적립</t>
  </si>
  <si>
    <t>유기농 생강청 1OO%</t>
  </si>
  <si>
    <t>[오뚜기] 진라면 순한맛 큰컵 6입</t>
  </si>
  <si>
    <t>[존쿡 델리미트] 롱 스모크 소시지</t>
  </si>
  <si>
    <t>[비비고] 묵은지 1.5kg</t>
  </si>
  <si>
    <t>[랩노쉬] 단백쿠키 4종 골라담기 (택3)</t>
  </si>
  <si>
    <t>랩노쉬</t>
  </si>
  <si>
    <t>[삼호] 부산어묵 골드 중봉 360g</t>
  </si>
  <si>
    <t>[삼립] 젤리뽀 제로 560g</t>
  </si>
  <si>
    <t>[풀무원] 오이지 500g</t>
  </si>
  <si>
    <t>오이지</t>
  </si>
  <si>
    <t>[원파디] 에브리띵 베이글 시즈닝 240g</t>
  </si>
  <si>
    <t>원파디</t>
  </si>
  <si>
    <t>[베베쿡] 통통바나나 30g</t>
  </si>
  <si>
    <t>오뚜기 돈까스 소스, 470g, 2개 22%6,760원 5,260원 (100g당 560원) 내일(일) 도착 보장 5 (5712) 최대 263원 적립</t>
  </si>
  <si>
    <t>모위 노르웨이산 생연어 스테이크 (냉장), 1개, 250g 11,840원 (100g당 4,736원) 내일(일) 새벽 도착 보장 5 (112) 최대 570원 적립</t>
  </si>
  <si>
    <t>연어</t>
  </si>
  <si>
    <t xml:space="preserve">모위 </t>
  </si>
  <si>
    <t>[벨레이] 유기농 모데나 발사믹 비네거 브라운 (밀도 1.33/ 포도농축80%)</t>
  </si>
  <si>
    <t>벨레이</t>
  </si>
  <si>
    <t>[가시제거연구소] 고등어밥상 핑크라벨 800g (5개입)</t>
  </si>
  <si>
    <t>가시제거연구소</t>
  </si>
  <si>
    <t>[야바] 그래놀라 바이트 3종 125g</t>
  </si>
  <si>
    <t>야바</t>
  </si>
  <si>
    <t>바른곡물 국산 찹쌀, 1kg, 1개 5,980원 (100g당 598원) 내일(일) 새벽 도착 보장 5 (3658) 최대 299원 적립</t>
  </si>
  <si>
    <t>바른곡물</t>
  </si>
  <si>
    <t>청정원순창 초고추장, 300g, 1개 21%3,800원 3,000원 (100g당 1,000원) 내일(일) 새벽 도착 보장 5 (1665) 최대 150원 적립</t>
  </si>
  <si>
    <t>청정원순창</t>
  </si>
  <si>
    <t>[선물세트] 포천이동갈비 한입 LA갈비 세트 2kg (예약일 수령)</t>
  </si>
  <si>
    <t>목우촌 무항생제 순살 닭고기 닭볶음탕용 (냉장), 600g, 2개 24,500원 (100g당 2,042원) 1,440원 와우 가입 쿠폰 내일(일) 새벽 도착 보장 5 (6799) 최대 1,153원 적립</t>
  </si>
  <si>
    <t>순살 닭고기</t>
  </si>
  <si>
    <t>[Kurly's] 동물복지 유정란 10구</t>
  </si>
  <si>
    <t>[몸애쏙쏙] 유기농 배도라지액 스틱 10포</t>
  </si>
  <si>
    <t>이유식 재료 친환경 양배추 1/4통</t>
  </si>
  <si>
    <t>이유식</t>
  </si>
  <si>
    <t>[선물세트] 프리미엄 영광 굴비 세트 2.0kg (예약일 수령)</t>
  </si>
  <si>
    <t>[덴마크] 대니쉬 The 건강한 우유 2.3L</t>
  </si>
  <si>
    <t>유기농 무말랭이 150g</t>
  </si>
  <si>
    <t>[리틀스푼] 옥수수팡 2종</t>
  </si>
  <si>
    <t>옥수수 과자</t>
  </si>
  <si>
    <t>리틀스푼</t>
  </si>
  <si>
    <t>[홈앤키즈] 사르르 쏙 동결건조 요거트 4종 (택1)</t>
  </si>
  <si>
    <t>[티젠] 콤부차 피치 50개입</t>
  </si>
  <si>
    <t>콤부차</t>
  </si>
  <si>
    <t>티젠</t>
  </si>
  <si>
    <t>[선물세트] 조선호텔 전복장 세트(예약일 수령)</t>
  </si>
  <si>
    <t>전복장</t>
  </si>
  <si>
    <t>아이시스 8.0 ECO 생수 무라벨, 300ml, 40개 5%12,000원 11,370원 (100ml당 95원) 내일(일) 도착 보장 5 (117915) 최대 569원 적립</t>
  </si>
  <si>
    <t>[둥구나무] 한돈김치찜</t>
  </si>
  <si>
    <t>[켈로그] 그래놀라 6종 골라담기 (택1)</t>
  </si>
  <si>
    <t>서울우유 딸기, 300ml, 8개 11,720원 (100ml당 488원) 내일(일) 새벽 도착 보장 5 (2615) 최대 586원 적립</t>
  </si>
  <si>
    <t>[수산곳간] 맥반석 오징어</t>
  </si>
  <si>
    <t>[CU 픽업] 디카이퍼카시스</t>
  </si>
  <si>
    <t>그릴리 직화 델리햄, 300g, 1개 18%5,480원 4,480원 (10g당 149원) 내일(일) 새벽 도착 보장 5 (34200) 최대 224원 적립</t>
  </si>
  <si>
    <t>그릴리</t>
  </si>
  <si>
    <t>[복음자리] 토스트용 스위트 키위소스 320g</t>
  </si>
  <si>
    <t>키위소스</t>
  </si>
  <si>
    <t>백설 통밀밀가루, 1kg, 2개 10%5,100원 4,580원 (100g당 229원) 내일(일) 도착 보장 5 (2666) 최대 229원 적립</t>
  </si>
  <si>
    <t>곰곰 치킨스톡, 330g, 1개 35%6,990원 4,490원 (100g당 1,361원) 내일(일) 도착 보장 4.5 (755) 최대 225원 적립</t>
  </si>
  <si>
    <t>유기농 오이맛고추 150g</t>
  </si>
  <si>
    <t>[Project H] 고단백 저당 모닝빵 150g</t>
  </si>
  <si>
    <t>Project H</t>
  </si>
  <si>
    <t>[선물세트] 겐츠베이커리 쿠키 6종 세트 260g</t>
  </si>
  <si>
    <t>임금님표 이천쌀 알찬미 쌀 4kg</t>
  </si>
  <si>
    <t>임금님표</t>
  </si>
  <si>
    <t>[엄마의정성] 구수해 누룽지 2종 (국내산)</t>
  </si>
  <si>
    <t>엄마의정성</t>
  </si>
  <si>
    <t>국내산 감자, 1kg, 1개 4,890원 (100g당 489원) 내일(일) 새벽 도착 보장 4.5 (350333) 최대 245원 적립</t>
  </si>
  <si>
    <t>[메디웰] 구수한 누룽지맛 200mL 18개입</t>
  </si>
  <si>
    <t>메디웰</t>
  </si>
  <si>
    <t>[뉴오리진] A2 멸균우유(200mL X 6개입)</t>
  </si>
  <si>
    <t>[KF365] 1+등급 무항생제 특란 10구</t>
  </si>
  <si>
    <t>냠냠바다 미역줄기, 1개, 1kg 4,280원 (100g당 428원) 내일(일) 새벽 도착 보장 4.5 (172) 최대 193원 적립</t>
  </si>
  <si>
    <t>냠냠바다</t>
  </si>
  <si>
    <t>[하림] 닭한마리 칼국수 밀키트</t>
  </si>
  <si>
    <t>이더스 바삭한 고구마스틱, 3개, 300g 15,000원 (10g당 167원) 내일(일) 도착 보장 4.5 (1066) 최대 750원 적립</t>
  </si>
  <si>
    <t>이더스</t>
  </si>
  <si>
    <t>[웨스턴베이글] 100% 통밀 화덕 베이글 85gX4개입</t>
  </si>
  <si>
    <t>웨스턴베이글</t>
  </si>
  <si>
    <t>맥심 아이스 커피믹스, 13g, 110개입, 1개 20,550원 (10g당 144원) 내일(일) 도착 보장 5 (22420) 최대 1,028원 적립</t>
  </si>
  <si>
    <t>한끼통살 오븐 순살 닭다리 간장닭꼬치맛 (냉동), 100g, 5개 16,340원 (100g당 3,268원) 내일(일) 새벽 도착 보장 5 (598) 최대 817원 적립</t>
  </si>
  <si>
    <t>[숭의가든] 옛날 소 불고기</t>
  </si>
  <si>
    <t>숭의가든</t>
  </si>
  <si>
    <t>카누 돌체 라떼 커피믹스, 17.3g, 24개입, 1개 11,280원 (10g당 272원) 내일(일) 도착 보장 5 (31778) 최대 564원 적립</t>
  </si>
  <si>
    <t>[더본푸드] 놀부가 반해버린 쌀뻥 (2개입 박스)</t>
  </si>
  <si>
    <t>쌀뻥</t>
  </si>
  <si>
    <t>더본푸드</t>
  </si>
  <si>
    <t>[카르보넬] 엑스트라 버진 올리브 오일 스프레이 200mL</t>
  </si>
  <si>
    <t>곰곰 맥반석 구운란, 60구, 1개 22,310원 (1구당 372원) 내일(일) 새벽 도착 보장 4.5 (143683) 최대 1,115원 적립</t>
  </si>
  <si>
    <t>[바름팜] 친환경 양파 1kg</t>
  </si>
  <si>
    <t>[본마망] 땅콩 스프레드 2종 (택1)</t>
  </si>
  <si>
    <t>땅콩 스프레드</t>
  </si>
  <si>
    <t>본마망</t>
  </si>
  <si>
    <t>국내산 유기농 브로콜리, 1개입, 1개 4,200원 (1개당 4,200원) 내일(일) 새벽 도착 보장 5 (4742) 최대 210원 적립</t>
  </si>
  <si>
    <t>[브레댄코] 시그니처 티라미수케이크 500g</t>
  </si>
  <si>
    <t>티라미수</t>
  </si>
  <si>
    <t>[바다원] 칼맞은 오징어 100g</t>
  </si>
  <si>
    <t>조인 무항생제 백색대란, 30구, 1개 8,690원 (1구당 290원) 내일(일) 새벽 도착 보장 5 (94581) 최대 435원 적립</t>
  </si>
  <si>
    <t>인우 더맛나 파김치, 1kg, 1개 12,400원 (100g당 1,240원) 내일(일) 새벽 도착 보장 4.5 (10712) 최대 600원 적립</t>
  </si>
  <si>
    <t>인우 더맛나</t>
  </si>
  <si>
    <t>[몬]현미월남쌈 200g</t>
  </si>
  <si>
    <t>월남쌈</t>
  </si>
  <si>
    <t>몬</t>
  </si>
  <si>
    <t>[비비고] 호두연근조림 90g</t>
  </si>
  <si>
    <t>연근조림</t>
  </si>
  <si>
    <t>르사프 드라이 이스트, 500g, 1개 할인4%7,460원 7,160원 (100g당 1,432원) 내일(일) 도착 보장 5 (8469) 최대 358원 적립</t>
  </si>
  <si>
    <t>르사프</t>
  </si>
  <si>
    <t>[도시곳간] 들기름묵은지볶음</t>
  </si>
  <si>
    <t>도시곳간</t>
  </si>
  <si>
    <t>[청정원] 조청 쌀엿 700g</t>
  </si>
  <si>
    <t>제주 은갈치 320g (냉동)</t>
  </si>
  <si>
    <t>[선물세트] 올리타리아 엑스트라 버진 올리브오일 &amp; 발사믹 세트</t>
  </si>
  <si>
    <t>오뚜기 고소한 참기름, 500ml, 1개 2%13,980원 13,610원 (10ml당 272원) 내일(일) 도착 보장 5 (25700) 최대 680원 적립</t>
  </si>
  <si>
    <t>제주도 친환경 무, 1개입, 1개 2,750원 (1개당 2,750원) 내일(일) 새벽 도착 보장 4.5 (2215) 최대 138원 적립</t>
  </si>
  <si>
    <t>제주도</t>
  </si>
  <si>
    <t>친환경 감자, 800g, 2개 8,530원 (100g당 533원) 내일(일) 새벽 도착 보장 4.5 (14517) 최대 426원 적립</t>
  </si>
  <si>
    <t>[이어수산] 8단계 선별한 볶음용 멸치 300g</t>
  </si>
  <si>
    <t>[하루한킷] 고기 듬뿍 마파두부</t>
  </si>
  <si>
    <t>하루한킷</t>
  </si>
  <si>
    <t>[딥트 3일] 애플맛 번 (15일분)</t>
  </si>
  <si>
    <t>[면사랑] 치즈가득 통모짜 파스타 2종 (택1)</t>
  </si>
  <si>
    <t>[진실된손맛] 뼈없는 인삼 갈비탕</t>
  </si>
  <si>
    <t>[홈메이드 피자] 화덕피자도우 8인치</t>
  </si>
  <si>
    <t>홈메이드 피자</t>
  </si>
  <si>
    <t>[진미] 우리쌀 된장 2종 (글루텐 프리)</t>
  </si>
  <si>
    <t>진미</t>
  </si>
  <si>
    <t>[슈퍼키친] 쉬림프바질파스타</t>
  </si>
  <si>
    <t>[더건강한] 베이컨90g*2</t>
  </si>
  <si>
    <t>[메디슨벨] 마시는 샐러드 14포</t>
  </si>
  <si>
    <t>메디슨벨</t>
  </si>
  <si>
    <t>[PPUL] 1++(9) 한우 화로 등심 구이용 150g (냉장)</t>
  </si>
  <si>
    <t>[에버콜라겐] 블랙 선물세트(56일분)</t>
  </si>
  <si>
    <t>[커피화] 캡슐 커피 5g X 9개입 2종(택1)</t>
  </si>
  <si>
    <t>[미미네] 서울 판밀떡볶이</t>
  </si>
  <si>
    <t>미원 맛소금, 1kg, 1개 4,120원 (100g당 412원) 내일(일) 새벽 도착 보장 5 (2742) 최대 206원 적립</t>
  </si>
  <si>
    <t>[비비고] 총각김치 900g</t>
  </si>
  <si>
    <t>[홈앤키즈] 맛밤 50g</t>
  </si>
  <si>
    <t>[선물세트] 전통주 김연박명인 민속주안동소주 특1호 (45도 400mL 2병)</t>
  </si>
  <si>
    <t>맑은물에 촌두부, 550g, 1개 1,750원 (100g당 318원) 내일(일) 새벽 도착 보장 5 (33176) 최대 88원 적립</t>
  </si>
  <si>
    <t>[서울미나리] 뚝배기 알곤이찜</t>
  </si>
  <si>
    <t>서울미나리</t>
  </si>
  <si>
    <t>[양산도] 나고야식 양념민물장어</t>
  </si>
  <si>
    <t>양산도</t>
  </si>
  <si>
    <t>[맑은물에] 촌두부 550g</t>
  </si>
  <si>
    <t>[KF365] 깐 계란 700g</t>
  </si>
  <si>
    <t>고수 50g</t>
  </si>
  <si>
    <t>고수</t>
  </si>
  <si>
    <t>[효탄] 고등어 초절임 (시메사바) 120g (냉장)</t>
  </si>
  <si>
    <t>시메사바</t>
  </si>
  <si>
    <t>효탄</t>
  </si>
  <si>
    <t>[버크셔세상] 저탄소 인증 버크셔K 흑돼지 앞다리살 400g</t>
  </si>
  <si>
    <t>버크셔세상</t>
  </si>
  <si>
    <t>[25-26 햇올리브][르구떼] 에코 나이트 엑스트라버진 오일 500mL</t>
  </si>
  <si>
    <t>르구떼</t>
  </si>
  <si>
    <t>[선물세트] 전통주 송명섭 명인 죽력고_조선3대명주 (32도 700mL)</t>
  </si>
  <si>
    <t>[르까도드마비] 프리미에 쇼콜라 (8개입)</t>
  </si>
  <si>
    <t>쇼콜라</t>
  </si>
  <si>
    <t>르까도드마비</t>
  </si>
  <si>
    <t>[오뗄블랙라벨] 추억의 비엔나 소시지 800g</t>
  </si>
  <si>
    <t>비엔나 소시지</t>
  </si>
  <si>
    <t>[대천김] 곱창 도시락김 5g X 12봉</t>
  </si>
  <si>
    <t>17차 몸이 가벼워지는 시간, 1.5g, 80개입, 1개 6,550원 (10g당 546원) 내일(일) 도착 보장 5 (9882) 최대 328원 적립</t>
  </si>
  <si>
    <t>17차</t>
  </si>
  <si>
    <t>[슈퍼키친] 사천식마파두부덮밥소스</t>
  </si>
  <si>
    <t>마파두부 소스</t>
  </si>
  <si>
    <t>청은에프엔비 들깨가루, 200g, 1개 3,470원 (100g당 1,735원) 내일(일) 도착 보장 4.5 (6225) 최대 174원 적립</t>
  </si>
  <si>
    <t>청은에프엔비</t>
  </si>
  <si>
    <t>주부구단 목우촌 비엔나 소시지, 700g, 1개 10%11,980원 10,670원 (10g당 152원) 내일(일) 새벽 도착 보장 5 (85121) 최대 534원 적립</t>
  </si>
  <si>
    <t>[브로드카세] 단백질을 더한 저당 통밀빵 2종 (택1)</t>
  </si>
  <si>
    <t>통밀빵</t>
  </si>
  <si>
    <t>브로드카세</t>
  </si>
  <si>
    <t>[횡성축협한우] 1등급 한우 차돌박이 200g</t>
  </si>
  <si>
    <t>차돌박이</t>
  </si>
  <si>
    <t>1등급 한우</t>
  </si>
  <si>
    <t>[바름팜] 친환경 채소믹스 샐러드 500g(250g*2봉)</t>
  </si>
  <si>
    <t>[햇반] 라이스플랜 현미귀리 곤약밥 150g*24입</t>
  </si>
  <si>
    <t>[홍루이젠] 스위트 아몬드 샌드 3개입</t>
  </si>
  <si>
    <t>샌드</t>
  </si>
  <si>
    <t>[비비드키친] 저당 굴소스</t>
  </si>
  <si>
    <t>굴소스</t>
  </si>
  <si>
    <t>곰곰 국내산 백김치, 1kg, 1개 7,490원 (100g당 749원) 내일(일) 새벽 도착 보장 4.5 (6695) 최대 375원 적립</t>
  </si>
  <si>
    <t>[오설록] 피치 블랙티 티백 (1.5g X 20개)</t>
  </si>
  <si>
    <t>[마니커에프앤지] 치킨텐더 플러스 450g</t>
  </si>
  <si>
    <t>백설 맛술 생강, 500ml, 1개 19%3,080원 2,480원 (10ml당 50원) 내일(일) 도착 보장 5 (15248) 최대 124원 적립</t>
  </si>
  <si>
    <t>[풀무원] 국산 다진생강 튜브 80g</t>
  </si>
  <si>
    <t>다진 생강</t>
  </si>
  <si>
    <t>[LOTS OF LOVE] 풍미듬뿍 명란 시래기 볶음밥</t>
  </si>
  <si>
    <t>LOTS OF LOVE</t>
  </si>
  <si>
    <t>백설 자일로스 설탕, 2kg, 1개 16%9,180원 7,670원 (100g당 384원) 내일(일) 도착 보장 5 (19545) 최대 384원 적립</t>
  </si>
  <si>
    <t>[CU 픽업] 헤븐즈더블배럴</t>
  </si>
  <si>
    <t>[룩트] 스프레드 버터 90g 4종 (택1)</t>
  </si>
  <si>
    <t>안옥남 부드러운 간편 참미역, 100g, 1개 4,800원 (100g당 4,800원) 내일(일) 도착 보장 5 (1088) 최대 240원 적립</t>
  </si>
  <si>
    <t>안옥남</t>
  </si>
  <si>
    <t>[황진선의 진진] 흑후추 소고기 볶음</t>
  </si>
  <si>
    <t>황진선의 진진</t>
  </si>
  <si>
    <t>유기농 찹쌀 4kg</t>
  </si>
  <si>
    <t>[면사랑] 간편한 전통 한식잡채 305g *2개입</t>
  </si>
  <si>
    <t>[바비엔] 낙지 볶음 2종 (택1)</t>
  </si>
  <si>
    <t>바비엔</t>
  </si>
  <si>
    <t>완도맘 생전복 (냉동), 1개, 275g(5마리) 8,890원 (100g당 3,233원) 내일(일) 새벽 도착 보장 5 (38) 최대 400원 적립</t>
  </si>
  <si>
    <t>완도맘</t>
  </si>
  <si>
    <t>[선데이잼] 오렌지 살구잼 230g</t>
  </si>
  <si>
    <t>살구잼</t>
  </si>
  <si>
    <t>선데이잼</t>
  </si>
  <si>
    <t>녹차로 씻어낸 국산 멍게 (냉장), 120g, 1개 5,490원 (100g당 4,575원) 내일(일) 새벽 도착 보장 4.5 (2479) 최대 275원 적립</t>
  </si>
  <si>
    <t>[뽀로로] DIY 하와이안 피자만들기</t>
  </si>
  <si>
    <t>덴마크 하이 요구르트, 750ml, 1개입, 1개 2,680원 (10ml당 36원) 내일(일) 새벽 도착 보장 5 (1125) 최대 134원 적립</t>
  </si>
  <si>
    <t>오징어짬뽕 124g, 15개 13,500원 (1개당 900원) 내일(일) 도착 보장 5 (58304) 최대 675원 적립</t>
  </si>
  <si>
    <t>[조선호텔김치] 알타리김치 1kg</t>
  </si>
  <si>
    <t>알타리김치</t>
  </si>
  <si>
    <t>[바름팜] 적양파 800g</t>
  </si>
  <si>
    <t>곰곰 데일리 우유, 900ml, 6개 10,200원 (100ml당 189원) 내일(일) 새벽 도착 보장 5 (5010) 최대 510원 적립</t>
  </si>
  <si>
    <t>데일리</t>
  </si>
  <si>
    <t>[동광젓갈] 비빔오징어젓</t>
  </si>
  <si>
    <t>[선물세트] [Dole] 해금 골드키위 세트 (16입 / 2.1kg)</t>
  </si>
  <si>
    <t>그랑물린데파리스 프랑스 밀가루 트레디션 T65, 2개, 1kg 8,700원 (100g당 435원) 내일(일) 도착 보장 5 (154) 최대 435원 적립</t>
  </si>
  <si>
    <t>그랑물린데파리스</t>
  </si>
  <si>
    <t>3549. 아몬드(분말95%) - 풀그린 1kg, 1개 9,950원 (100g당 995원) 2/10(화) 도착 예정 5 (3618) 최대 498원 적립</t>
  </si>
  <si>
    <t>무항생제 1등급 한돈 벌집 오겹살(미박) 300g</t>
  </si>
  <si>
    <t>오겹살</t>
  </si>
  <si>
    <t>여왕의만찬 삼광미 우리쌀 백미, 특등급, 10kg, 1개 18%43,900원 35,900원 (100g당 359원) 내일(일) 도착 보장 4.5 (214096) 최대 1,795원 적립</t>
  </si>
  <si>
    <t>[롯데웰푸드] 저당 엔제리너스 아이스크림 2종 (택1)</t>
  </si>
  <si>
    <t>[김규흔 한과] 참깨방정 100g</t>
  </si>
  <si>
    <t>김규흔 한과</t>
  </si>
  <si>
    <t>[리터스포트] 컬러풀 버라이어티 초콜릿 6종 (택1)</t>
  </si>
  <si>
    <t>[면사랑] 베이컨크림스파게티 용기면 330g*3개입</t>
  </si>
  <si>
    <t>[광천김] 곱창돌김 5g X 16봉</t>
  </si>
  <si>
    <t>컬러푸드 볶은 현미, 300g, 1개 4,600원 (100g당 1,533원) 내일(일) 도착 보장 5 (1259) 최대 230원 적립</t>
  </si>
  <si>
    <t>컬러푸드</t>
  </si>
  <si>
    <t>백설 참치액 진, 900g, 1개 56%12,980원 5,650원 (10g당 63원) 내일(일) 도착 보장 5 (4811) 최대 283원 적립</t>
  </si>
  <si>
    <t>[미식당] 등심 돈카츠 180g * 2입 (소스포함)</t>
  </si>
  <si>
    <t>미식당</t>
  </si>
  <si>
    <t>[라빈리커픽업] 닷사이 준마이 다이긴죠 45 (사케)</t>
  </si>
  <si>
    <t>[니씬] 민트소금사탕 77g</t>
  </si>
  <si>
    <t>민트 소금사탕</t>
  </si>
  <si>
    <t>니씬</t>
  </si>
  <si>
    <t>[선물세트] [MPARK] 블랙라벨 고당도 오렌지 3kg (9입)</t>
  </si>
  <si>
    <t>[마즈] 엠앤엠즈 230g 2종 (택1)</t>
  </si>
  <si>
    <t>[하림] 누룽지 닭백숙</t>
  </si>
  <si>
    <t>[하이포크] 그때 그 뒷고기 뽈항정살 500g (냉동)</t>
  </si>
  <si>
    <t>뒷고기</t>
  </si>
  <si>
    <t>소화가잘되는우유 오리지널, 190ml, 48개 35,360원 (100ml당 388원) 내일(일) 도착 보장 5 (162165) 최대 1,768원 적립</t>
  </si>
  <si>
    <t>[김구원선생] 국산 사각 유부초밥 164g</t>
  </si>
  <si>
    <t>파워오투 오렌지레몬, 500ml, 6개 7,130원 (100ml당 238원) 내일(일) 도착 보장 5 (17710) 최대 356원 적립</t>
  </si>
  <si>
    <t>파워오투</t>
  </si>
  <si>
    <t>[정미소] 비단쌀 4kg</t>
  </si>
  <si>
    <t>[오뚜기] 라이트 슈가 자두잼 290g</t>
  </si>
  <si>
    <t>자두잼</t>
  </si>
  <si>
    <t>[바다해] 실속형 황태채 250g</t>
  </si>
  <si>
    <t>[CU 픽업] 배비치블랙 소비뇽블랑</t>
  </si>
  <si>
    <t>[그레타] 허브 크래커 2종 (택1)</t>
  </si>
  <si>
    <t>그레타</t>
  </si>
  <si>
    <t>선진포크한돈 삼겹살 1등급 이상 (냉장), 300g, 1개 10,450원 (100g당 3,483원) 내일(일) 새벽 도착 보장 4.5 (19088) 최대 523원 적립</t>
  </si>
  <si>
    <t>선진포</t>
  </si>
  <si>
    <t>자연애찬 동물복지 무항생제 백색 유정란, 30구, 1개 14,900원 (1구당 497원) 내일(일) 새벽 도착 보장 4.5 (7150) 최대 745원 적립</t>
  </si>
  <si>
    <t>[눈꽃달콤] 스노우 큐브고구마(100g*6입) 2종</t>
  </si>
  <si>
    <t>고구마 큐브</t>
  </si>
  <si>
    <t>눈꽃달콤</t>
  </si>
  <si>
    <t>[제로브레드] 저당 호밀 식빵 500g</t>
  </si>
  <si>
    <t>제로브레드</t>
  </si>
  <si>
    <t>[존쿡 델리미트] 통베이컨 (2개입)</t>
  </si>
  <si>
    <t>[선물세트] [정미소]특별재배미 오곡세트 4kg (14분도)</t>
  </si>
  <si>
    <t>[샘표] 쌀소면 800g</t>
  </si>
  <si>
    <t>[선물세트] 그라놀로지 그래놀라 2호(150g X 3종)</t>
  </si>
  <si>
    <t>[ardo] 냉동 완두콩 400g</t>
  </si>
  <si>
    <t>ardo</t>
  </si>
  <si>
    <t>[누테이블] 에그샐러드</t>
  </si>
  <si>
    <t>에그샐러드</t>
  </si>
  <si>
    <t>누테이블</t>
  </si>
  <si>
    <t>갈아만든배, 238ml, 12개 4%8,400원 8,000원 (100ml당 280원) 내일(일) 새벽 도착 보장 5 (2978) 최대 400원 적립</t>
  </si>
  <si>
    <t>[슈퍼키친] 들기름묵은지볶음</t>
  </si>
  <si>
    <t>[파미고] 엑스트라 버진 올리브 오일 500mL</t>
  </si>
  <si>
    <t>파미고</t>
  </si>
  <si>
    <t>하림 용가리 치킨 (냉동), 450g, 1개 7,920원 (100g당 1,760원) 내일(일) 새벽 도착 보장 5 (51710) 최대 396원 적립</t>
  </si>
  <si>
    <t>[상하농원] 수제 스트링 치즈 50g</t>
  </si>
  <si>
    <t>[필라델피아] 치즈케익 2종 794g (택1)</t>
  </si>
  <si>
    <t>치즈 케이크</t>
  </si>
  <si>
    <t>필라델피아</t>
  </si>
  <si>
    <t>[페이장브레통] 르 블루 도베르뉴 치즈 125g</t>
  </si>
  <si>
    <t>블루 치즈</t>
  </si>
  <si>
    <t>[존쿡 델리미트] 슈바인학센 650g (냉동)</t>
  </si>
  <si>
    <t>슈바인학센</t>
  </si>
  <si>
    <t>[제일맞게컬리] 매일 맛있는 총각김치 1kg</t>
  </si>
  <si>
    <t>[알랭밀리아] 딸기잼 300g</t>
  </si>
  <si>
    <t>알랭밀리아</t>
  </si>
  <si>
    <t>[더 트러플베이커리] 티슈 브레드 140g</t>
  </si>
  <si>
    <t>티슈 브레드</t>
  </si>
  <si>
    <t>더 트러플베이커리</t>
  </si>
  <si>
    <t>[라르사] 스페인 유산균 버터 250g 2종 (택1)</t>
  </si>
  <si>
    <t>라르사</t>
  </si>
  <si>
    <t>베베쿡 처음 먹는 배도라지 유아 음료, 100ml, 20개 20%25,000원 20,000원 (100ml당 1,000원) 내일(일) 도착 보장 5 (14054) 최대 850원 적립</t>
  </si>
  <si>
    <t>[한끼통살] 빠삭 콰삭 닭가슴살 380g(냉동)</t>
  </si>
  <si>
    <t>[선물세트] 나주 신고배 세트 4.5kg(6~7입)</t>
  </si>
  <si>
    <t>한음미가 2025년산 햅쌀 우리쌀 백미, 상등급, 5kg, 1개 18,900원 (100g당 378원) 내일(일) 도착 보장 4.5 (30827) 최대 945원 적립</t>
  </si>
  <si>
    <t>[GB 오늘낳은계란] 1+등급 무항생제 특란 20구</t>
  </si>
  <si>
    <t>GB 오늘낳은계란</t>
  </si>
  <si>
    <t>맥심 오리지날 커피, 300g, 1개입, 1개 15,340원 (10g당 511원) 내일(일) 도착 보장 5 (32680) 최대 767원 적립</t>
  </si>
  <si>
    <t>[하남돼지집] 철판삼겹살마무리볶음밥 4입</t>
  </si>
  <si>
    <t>하남돼지집</t>
  </si>
  <si>
    <t>[형제닭발] 국물 무뼈 닭발</t>
  </si>
  <si>
    <t>형제닭발</t>
  </si>
  <si>
    <t>[메이지] 블록 초콜릿 3종 (택1)</t>
  </si>
  <si>
    <t>메이지</t>
  </si>
  <si>
    <t>아치카페 코코넛 카푸치노 커피, 20g, 50개입, 1개 17,890원 (10g당 179원) 내일(일) 도착 보장 5 (4171) 최대 895원 적립</t>
  </si>
  <si>
    <t>카푸치노</t>
  </si>
  <si>
    <t>아치카페</t>
  </si>
  <si>
    <t>비비고 물만두 (냉동), 315g, 1개 30%7,480원 5,230원 (100g당 1,660원) 내일(일) 새벽 도착 보장 5 (49416) 최대 261원 적립</t>
  </si>
  <si>
    <t>[알리안자] 아보카도 오일 1L</t>
  </si>
  <si>
    <t>알리안자</t>
  </si>
  <si>
    <t>[베키아에누보] 수크레 크레이프케이크 950g</t>
  </si>
  <si>
    <t>크레이프 케이크</t>
  </si>
  <si>
    <t>[낫띵베럴] 드링킷 유기농 팥물 24포</t>
  </si>
  <si>
    <t>카누 더블샷 라떼 커피믹스 스틱, 13.5g, 30개입, 2개 23,480원 (10g당 290원) 내일(일) 도착 보장 5 (41605) 최대 1,174원 적립</t>
  </si>
  <si>
    <t>[종가] 총각김치 2.3kg</t>
  </si>
  <si>
    <t>[제각각] 호박고구마 3kg</t>
  </si>
  <si>
    <t>[스타벅스] 인스턴트 커피 카페 모먼트 4종 (택1)</t>
  </si>
  <si>
    <t>곰곰 냉동 양파슬라이스, 500g, 2개 5,430원 (100g당 543원) 내일(일) 새벽 도착 보장 5 (11831) 최대 271원 적립</t>
  </si>
  <si>
    <t>매일우유 오리지널, 900ml, 6개 16,310원 (100ml당 302원) 내일(일) 새벽 도착 보장 5 (239435) 최대 815원 적립</t>
  </si>
  <si>
    <t>[풀무원] 95% 다진와사비 80g (냉장)</t>
  </si>
  <si>
    <t>와사비</t>
  </si>
  <si>
    <t>[펠리체티] 유기농 파스타면 4종 (택1)</t>
  </si>
  <si>
    <t>펠리체티</t>
  </si>
  <si>
    <t>[오가닉밸리] 미국 유기농 버터 454g 2종 (택1)</t>
  </si>
  <si>
    <t>오가닉밸리</t>
  </si>
  <si>
    <t>[오마뎅] 풍년방앗간 떡꼬치</t>
  </si>
  <si>
    <t>[둥구나무] 깻잎순들깨볶음</t>
  </si>
  <si>
    <t>깻잎순 들깨볶음</t>
  </si>
  <si>
    <t>금자네 맛김치, 1kg, 1개 7,900원 (100g당 790원) 내일(일) 새벽 도착 보장 4.5 (7294) 최대 395원 적립</t>
  </si>
  <si>
    <t>금자네</t>
  </si>
  <si>
    <t>국내산 친환경 절단무, 400g, 1개, 2개 3,860원 (100g당 483원) 내일(일) 새벽 도착 보장 4.5 (18961) 최대 193원 적립</t>
  </si>
  <si>
    <t>곰곰 낙지젓, 250g, 1개 6,940원 (10g당 278원) 내일(일) 새벽 도착 보장 4.5 (18813) 최대 347원 적립</t>
  </si>
  <si>
    <t>[훕훕베이글] 유기농 베이글 4종 (택1)</t>
  </si>
  <si>
    <t>[프레지덩] 스프레더블 치즈 140g</t>
  </si>
  <si>
    <t>하리보 골드베렌 젤리 93개입, 1kg, 1개 20%15,900원 12,580원 (10g당 126원) 내일(일) 도착 보장 5 (130457) 최대 629원 적립</t>
  </si>
  <si>
    <t>양념 칼집 돼지 왕구이, 1kg, 1개 17%16,000원 13,280원 (100g당 1,328원) 내일(일) 새벽 도착 보장 4.5 (1159) 최대 664원 적립</t>
  </si>
  <si>
    <t xml:space="preserve">양념 </t>
  </si>
  <si>
    <t>[매일] 소화가 잘되는 우유 930mL 2종(택 1)</t>
  </si>
  <si>
    <t>담터 메밀차, 1.5g, 150개입, 2개 16,700원 (10g당 371원) 내일(일) 도착 보장 5 (22100) 최대 835원 적립</t>
  </si>
  <si>
    <t>메밀차</t>
  </si>
  <si>
    <t>푸드랩플러스 부채살 시즈닝 스테이크, 200g, 1개 44%17,900원 9,900원 (100g당 4,950원) 내일(일) 새벽 도착 보장 4.5 (5820) 최대 444원 적립</t>
  </si>
  <si>
    <t>푸드랩</t>
  </si>
  <si>
    <t>[노아베이커리] 치아바타 3종 150g (택1)</t>
  </si>
  <si>
    <t>[창억] 호박인절미 (50g X 10개입)</t>
  </si>
  <si>
    <t>[남도우애] 무항생제 1++ 한우 채끝 구이용 200g (냉장)</t>
  </si>
  <si>
    <t>채끝살</t>
  </si>
  <si>
    <t>호주산 블랙앵거스 윗등심 구이용 (냉장), 400g, 1개 28%19,900원 14,310원 (100g당 3,578원) 내일(일) 새벽 도착 보장 4.5 (30643) 최대 715원 적립</t>
  </si>
  <si>
    <t>[CU 픽업] 골든블루다이아몬드</t>
  </si>
  <si>
    <t>한방선생 건조 통후추 열매 특품 리필용, 150g, 1개 43%8,900원 4,990원 (10g당 333원) 내일(일) 도착 보장 5 (638) 최대 250원 적립</t>
  </si>
  <si>
    <t>아이브루 헤이즐넛향 원두커피믹스, 1g, 200개입, 1개 27%27,900원 20,300원 (10g당 1,015원) 내일(일) 도착 보장 4.5 (11377) 최대 1,015원 적립</t>
  </si>
  <si>
    <t>아이브루</t>
  </si>
  <si>
    <t>[백설] 하얀설탕 1kg</t>
  </si>
  <si>
    <t>서울우유 뼈에 쏙쏙 고칼슘우유, 930ml, 2개 19%7,340원 5,880원 (100ml당 316원) 내일(일) 새벽 도착 보장 5 (5290) 최대 294원 적립</t>
  </si>
  <si>
    <t>양반 올리브 김, 4.5g, 12개 37%8,990원 5,660원 (10g당 1,048원) 내일(일) 새벽 도착 보장 5 (1255) 최대 283원 적립</t>
  </si>
  <si>
    <t>양반</t>
  </si>
  <si>
    <t>[디 바르베로] 태블릿 초콜릿 6종</t>
  </si>
  <si>
    <t>[Kiri] 끼리 딥앤크런치 블루베리 (35g X 3입)</t>
  </si>
  <si>
    <t>크런치바</t>
  </si>
  <si>
    <t>Kiri</t>
  </si>
  <si>
    <t>남양유업 요구르트, 65ml, 40개입, 1개 6,000원 (10ml당 23원) 내일(일) 새벽 도착 보장 5 (74065) 최대 300원 적립</t>
  </si>
  <si>
    <t>[생미쉘] 프렌치 도넛 초코마블 180g</t>
  </si>
  <si>
    <t>생미쉘</t>
  </si>
  <si>
    <t>[선물세트] 대천김 곱창 캔김 혼합 세트</t>
  </si>
  <si>
    <t>[KF365] 노르웨이 생연어회&amp;스테이크 (냉장) (택1)</t>
  </si>
  <si>
    <t>[진가네반찬] 불고기 비빔밥</t>
  </si>
  <si>
    <t>리코스 라운드 나쵸 칩, 454g, 1개 5,970원 (10g당 131원) 내일(일) 도착 보장 4.5 (32684) 최대 299원 적립</t>
  </si>
  <si>
    <t>리코스</t>
  </si>
  <si>
    <t>[더 더치] 스페셜 라벤더 치즈 200g</t>
  </si>
  <si>
    <t>라벤더 치즈</t>
  </si>
  <si>
    <t>더 더치</t>
  </si>
  <si>
    <t>곰곰 1등급 국산콩 두부, 300g, 1팩 1,960원 (100g당 653원) 내일(일) 새벽 도착 보장 5 (16819) 최대 98원 적립</t>
  </si>
  <si>
    <t>[트레핀] 커피맛 캔디 2종 (택1)</t>
  </si>
  <si>
    <t>캔디</t>
  </si>
  <si>
    <t>돈시몬 착즙 오렌지 주스, 2L, 1개 10,880원 (100ml당 544원) 내일(일) 도착 보장 새 상품, 반품-미개봉 (14) 최저9,470원 5 (32289) 최대 544원 적립</t>
  </si>
  <si>
    <t>돈시몬</t>
  </si>
  <si>
    <t>면사랑 사누끼 우동면 5개입 (냉동), 1.15kg, 2개 9,660원 (100g당 420원) 내일(일) 새벽 도착 보장 5 (8821) 최대 483원 적립</t>
  </si>
  <si>
    <t>[CU 픽업] 디카이퍼멜론</t>
  </si>
  <si>
    <t>백산수 무라벨 생수, 500ml, 40개 12%19,712원 17,300원 (100ml당 87원) 내일(일) 도착 보장 5 (235382) 최대 865원 적립</t>
  </si>
  <si>
    <t>[샘표] 순작 유기농메밀차 (10g X 20개)</t>
  </si>
  <si>
    <t>도들샘 진미채, 90g, 1개 3,700원 (10g당 411원) 내일(일) 새벽 도착 보장 4.5 (5228) 최대 185원 적립</t>
  </si>
  <si>
    <t>진미채</t>
  </si>
  <si>
    <t>도들샘</t>
  </si>
  <si>
    <t>[위니비니] 이색 젤리 &amp; 캔디 5종 골라담기 (택1)</t>
  </si>
  <si>
    <t>제니베이커리 2믹스 쿠키 S, 320g, 1개 24,300원 (10g당 759원) 내일(일) 도착 보장 4.5 (1178) 최대 1,215원 적립</t>
  </si>
  <si>
    <t>제니베이커리</t>
  </si>
  <si>
    <t>ORGA 깐 메추리알, 270g, 1개 6,800원 (100g당 2,519원) 내일(일) 새벽 도착 보장 5 (991) 최대 340원 적립</t>
  </si>
  <si>
    <t>[매일] 마이 카페라떼 파르페 (220mL X 4개)</t>
  </si>
  <si>
    <t>파르페</t>
  </si>
  <si>
    <t>[선물세트] 마음담은 배 세트 7.5kg</t>
  </si>
  <si>
    <t>[아띠몽] 리얼 찰 옥수수빵 (87g X 6개)</t>
  </si>
  <si>
    <t>옥수수빵</t>
  </si>
  <si>
    <t>아띠몽</t>
  </si>
  <si>
    <t>쿠라콘 시오 콘부 염장 다시마, 1개, 130g 11,500원 (100g당 8,846원) 내일(일) 도착 보장 5 (958) 최대 575원 적립</t>
  </si>
  <si>
    <t>[덴마크] 유기농 자연방목 아기치즈 2종 (택1)</t>
  </si>
  <si>
    <t>[더브레드블루] 비건 통밀 슈톨렌 400g</t>
  </si>
  <si>
    <t>슈톨렌</t>
  </si>
  <si>
    <t>[Project H] 프로틴 저당 테프 모닝빵 (29g X 6개입)</t>
  </si>
  <si>
    <t>해양수산부품질인증 국산 가열조리용 숨굴 (냉장), 350g, 1개 6%9,900원 9,300원 (100g당 2,657원) 내일(일) 새벽 도착 보장 4.5 (8868) 최대 465원 적립</t>
  </si>
  <si>
    <t>아침에주스 오렌지주스, 950ml, 2개 8,800원 (100ml당 463원) 내일(일) 새벽 도착 보장 5 (87281) 최대 440원 적립</t>
  </si>
  <si>
    <t>아침에주스</t>
  </si>
  <si>
    <t>비슬산 천년지기쌀 삼광미 백미, 특등급, 10kg, 1개 31,900원 (100g당 319원) 내일(일) 도착 보장 4.5 (670) 최대 1,595원 적립</t>
  </si>
  <si>
    <t>비슬산</t>
  </si>
  <si>
    <t>[바르베라] 시칠리아 PGI 오가닉 엑스트라버진 올리브오일 500mL</t>
  </si>
  <si>
    <t>바르베라</t>
  </si>
  <si>
    <t>옥수수빵 생지 (70g X 5개입)</t>
  </si>
  <si>
    <t>생지</t>
  </si>
  <si>
    <t>[그릭데이] 리얼카카오 그래놀라 150g</t>
  </si>
  <si>
    <t>[Kurly's] 물만두</t>
  </si>
  <si>
    <t>[그라놀로지] 하루 그래놀라 10개입</t>
  </si>
  <si>
    <t>[나가타니엔] 후리카케 볶음밥 양념 4종</t>
  </si>
  <si>
    <t>후리카케</t>
  </si>
  <si>
    <t>나가타니엔</t>
  </si>
  <si>
    <t>[천호엔케어] 1005 키디 보아흑마늘 30포</t>
  </si>
  <si>
    <t>[제주창해] 제주 은갈치 3종 (냉동) (택1)</t>
  </si>
  <si>
    <t>제주창해</t>
  </si>
  <si>
    <t>사조원 닭안심 (냉장), 1개, 1kg 6,550원 (100g당 655원) 내일(일) 새벽 도착 보장 5 (64) 최대 328원 적립</t>
  </si>
  <si>
    <t>사조원</t>
  </si>
  <si>
    <t>[덴마크] 생크림 500mL</t>
  </si>
  <si>
    <t>생크림</t>
  </si>
  <si>
    <t>[피그인더가든] 에그마요 스쿱샐러드 400g</t>
  </si>
  <si>
    <t>에그마요 샐러드</t>
  </si>
  <si>
    <t>피그인더가든</t>
  </si>
  <si>
    <t>양반 올리브 김, 4.5g, 12개 37%8,990원 5,660원 (10g당 1,048원) 내일(일) 도착 보장 5 (11420) 최대 283원 적립</t>
  </si>
  <si>
    <t>[Biscuiterie de Provence] [밀가루0%] 아몬드&amp;밤 케이크 240g</t>
  </si>
  <si>
    <t>Biscuiterie de Provence</t>
  </si>
  <si>
    <t>[모노키친] 인기 돈까스 3종</t>
  </si>
  <si>
    <t>모노키친</t>
  </si>
  <si>
    <t>맑은물에 촌두부, 550g, 2개 3,390원 (100g당 308원) 내일(일) 새벽 도착 보장 5 (33174) 최대 170원 적립</t>
  </si>
  <si>
    <t>롯데웰푸드 스카치캔디 세가지맛, 157g, 3개 4,750원 (10g당 101원) 내일(일) 도착 보장 5 (21114) 최대 238원 적립</t>
  </si>
  <si>
    <t>[오뚜기] 리얼 멕시칸 브리또 페페로니트리플치즈 (125G x 3개입)</t>
  </si>
  <si>
    <t>백설 요리 올리고당, 1.2kg, 1개 41%6,480원 3,760원 (100g당 313원) 내일(일) 새벽 도착 보장 5 (640) 최대 188원 적립</t>
  </si>
  <si>
    <t>[하림] 맛닭 닭가슴살 4종 100g (냉장) (1입)</t>
  </si>
  <si>
    <t>대천김 재래전장김 DC180, 22g, 5개 32%15,000원 10,080원 (10g당 916원) 내일(일) 도착 보장 4.5 (69157) 최대 504원 적립</t>
  </si>
  <si>
    <t>[더브레드블루] 모닝빵 (25g X 9개)</t>
  </si>
  <si>
    <t>[서울우유] 나100% 우유 2.3L 2종 (택1)</t>
  </si>
  <si>
    <t>[Kurly's] 샌드위치용 달걀감자 샐러드 500g</t>
  </si>
  <si>
    <t>감자 샐러드</t>
  </si>
  <si>
    <t>[해아람] 옥수수 설기 (85g X 5개입)</t>
  </si>
  <si>
    <t>곰곰 바쏘 엑스트라버진 올리브오일, 1L, 1개 17,990원 (100ml당 1,799원) 내일(일) 새벽 도착 보장 새 상품, 반품-미개봉 (2) 최저17,090원 5 (6228) 최대 900원 적립</t>
  </si>
  <si>
    <t>바쏘</t>
  </si>
  <si>
    <t>[김구원선생] 유기농 숙주나물 500g</t>
  </si>
  <si>
    <t>[목우촌] 주부9단 비엔나 소시지</t>
  </si>
  <si>
    <t>[팜송] 감자 2kg (겨울 하우스 햇)</t>
  </si>
  <si>
    <t>팜송</t>
  </si>
  <si>
    <t>[마켓오네이처] 오! 그래놀라 그래놀라팝 4종 (택1)</t>
  </si>
  <si>
    <t>견과류 과자</t>
  </si>
  <si>
    <t>[KF365] 무항생제 특란 30구 (15구*2ea)</t>
  </si>
  <si>
    <t>[서울우유] 딸기 요거트 (85g X 4개)</t>
  </si>
  <si>
    <t>오뚜기 뿌셔뿌셔 불고기맛, 90g, 6개 3,880원 (10g당 72원) 내일(일) 도착 보장 5 (33410) 최대 194원 적립</t>
  </si>
  <si>
    <t>뿌셔뿌셔</t>
  </si>
  <si>
    <t>[그래인스 쿠키] 애플시나몬 쿠키 (15개)</t>
  </si>
  <si>
    <t>그래인스 쿠키</t>
  </si>
  <si>
    <t>[La bocca] 피칸 파이 (50g X 5개)</t>
  </si>
  <si>
    <t>동물복지 새하얀 유정 반숙란 15구, 1개 9,310원 (1구당 621원) 내일(일) 새벽 도착 보장 5 (1373) 최대 465원 적립</t>
  </si>
  <si>
    <t>[니블스] 초콜릿 10P (생일축하패키지)</t>
  </si>
  <si>
    <t>[예찬원] 김칫국 5개입 (블럭국)</t>
  </si>
  <si>
    <t>예찬원</t>
  </si>
  <si>
    <t>[바름팜] 유러피안 가든 샐러드 믹스 500g</t>
  </si>
  <si>
    <t>[스키니피그] 저당 파인트 아이스크림 474mL 8종(택1)</t>
  </si>
  <si>
    <t>스키니피그</t>
  </si>
  <si>
    <t>유기농 쌈배추 1통</t>
  </si>
  <si>
    <t>두보식품 바른곡물 국내산 무농약 오트밀, 800g, 1개 32%19,100원 12,800원 (100g당 1,600원) 내일(일) 도착 보장 5 (6908) 최대 640원 적립</t>
  </si>
  <si>
    <t>곡물 음료</t>
  </si>
  <si>
    <t>[베지밀] 고단백 두유 초코 (190mL X 16개)</t>
  </si>
  <si>
    <t>초코 두유</t>
  </si>
  <si>
    <t>[피그인더가든] 프레쉬믹스 베이직샐러드</t>
  </si>
  <si>
    <t>영광 법성포 대용량 굴비 20미 (냉동), 1.4kg, 1팩 29,900원 (100g당 2,136원) 내일(일) 새벽 도착 보장 4.5 (17179) 최대 1,395원 적립</t>
  </si>
  <si>
    <t>영광</t>
  </si>
  <si>
    <t>[삼진제약] 그린녹차 다이어트 리턴핏 (30일분)</t>
  </si>
  <si>
    <t>삼진제약</t>
  </si>
  <si>
    <t>[조인] 유정 메추리알 56개입</t>
  </si>
  <si>
    <t>[더 샤퀴테리아] 이탈리안 생햄 코파</t>
  </si>
  <si>
    <t>비비고 두부듬뿍 된장찌개, 460g, 1개 36%5,980원 3,820원 (100g당 830원) 내일(일) 새벽 도착 보장 4.5 (759) 최대 191원 적립</t>
  </si>
  <si>
    <t>[한국농협김치] 총각김치 500g</t>
  </si>
  <si>
    <t>[베이비본죽] 한우버섯불고기</t>
  </si>
  <si>
    <t>베이비본죽</t>
  </si>
  <si>
    <t>코피코 커피맛 캔디 블리스터 팩 12p, 384g, 2개 34%24,000원 15,660원 (10g당 204원) 내일(일) 도착 보장 5 (23901) 최대 783원 적립</t>
  </si>
  <si>
    <t>코피코</t>
  </si>
  <si>
    <t>틈새라면 빨계떡 120g, 5개 29%6,000원 4,220원 (1개당 844원) 내일(일) 새벽 도착 보장 5 (7794) 최대 211원 적립</t>
  </si>
  <si>
    <t>틈새라면 빨계떡</t>
  </si>
  <si>
    <t>[피쉬쉘] 자숙 새우살 200g (냉동) (100/200 사이즈)</t>
  </si>
  <si>
    <t>[피에몬테] 이탈리아 유기농 사과식초/애사비 2종 애사비 (500ml/1L)</t>
  </si>
  <si>
    <t>피에몬테</t>
  </si>
  <si>
    <t>[양수면옥] 한우 청국장찌개</t>
  </si>
  <si>
    <t>양수면옥</t>
  </si>
  <si>
    <t>[La bocca] 부쉬드노엘 (그린) 750g</t>
  </si>
  <si>
    <t>부쉬드노엘</t>
  </si>
  <si>
    <t>[루솔] 푸룬 배도라지즙 20포</t>
  </si>
  <si>
    <t>[비비드키친] 저당 쌈장 소스 300g</t>
  </si>
  <si>
    <t>[바다원] 골드라벨 먹태 40g X 2봉 (소스 증정)</t>
  </si>
  <si>
    <t>미니당근 300g</t>
  </si>
  <si>
    <t>미니 당근</t>
  </si>
  <si>
    <t>[맥파이앤타이거] 말차 40g 3종 (택1)</t>
  </si>
  <si>
    <t>말차</t>
  </si>
  <si>
    <t>맥파이앤타이거</t>
  </si>
  <si>
    <t>트리벨리 파프리카 (2~3입)</t>
  </si>
  <si>
    <t>트리벨리</t>
  </si>
  <si>
    <t>농심 멸치칼국수, 98g, 15개 13,200원 (100g당 898원) 내일(일) 도착 보장 5 (55393) 최대 660원 적립</t>
  </si>
  <si>
    <t>[선물세트] 영광 법성포 명품굴비 3호 750g (예약일 수령)</t>
  </si>
  <si>
    <t>[자연담은] 유기농 씻어나온 밀키퀸 현미 2kg</t>
  </si>
  <si>
    <t>[제주성이시돌목장] 모짜렐라 슬라이스 치즈(20g x 5개입)</t>
  </si>
  <si>
    <t>제주성이시돌목장</t>
  </si>
  <si>
    <t>[농부플러스] 냉압착 생들기름 2종 (택1)</t>
  </si>
  <si>
    <t>농부플러스</t>
  </si>
  <si>
    <t>청정원 프레시 마요네즈, 800g, 1개 5,550원 (100g당 694원) 내일(일) 도착 보장 5 (53054) 최대 278원 적립</t>
  </si>
  <si>
    <t>매일유업 연유, 500g, 1개 5,050원 (100g당 1,010원) 내일(일) 새벽 도착 보장 5 (10083) 최대 253원 적립</t>
  </si>
  <si>
    <t>[하인즈] 화이트 식초 3.785L</t>
  </si>
  <si>
    <t>[백설] 건강발효 사과식초</t>
  </si>
  <si>
    <t>미니오이 10입</t>
  </si>
  <si>
    <t>미니 오이</t>
  </si>
  <si>
    <t>[미자언니네] 꽃게 액젓 2종 (택1)</t>
  </si>
  <si>
    <t>꽃게 액젓</t>
  </si>
  <si>
    <t>[선물세트] 몸애쏙쏙 유기농 배도라지즙 2종</t>
  </si>
  <si>
    <t>진심 당면, 1kg, 1개 56%11,780원 5,160원 (100g당 516원) 내일(일) 도착 보장 4.5 (2925) 최대 258원 적립</t>
  </si>
  <si>
    <t>당면</t>
  </si>
  <si>
    <t>진심</t>
  </si>
  <si>
    <t>델몬트 스퀴즈 포도 에이드, 240ml, 30개 28%15,700원 11,170원 (100ml당 155원) 내일(일) 도착 보장 새 상품, 반품-미개봉 (24) 최저9,620원 5 (3858) 최대 559원 적립</t>
  </si>
  <si>
    <t>포도주스</t>
  </si>
  <si>
    <t>델몬트</t>
  </si>
  <si>
    <t>광천 재래 캔김 210g, 6개 29%31,000원 21,900원 (1세트당 3,650원) 내일(일) 도착 보장 4.5 (1566) 최대 1,095원 적립</t>
  </si>
  <si>
    <t>[진가네반찬] 국내산 우엉채조림 300g (대용량)</t>
  </si>
  <si>
    <t>우엉채조림</t>
  </si>
  <si>
    <t>[설성목장] 한우 왕만두 420g</t>
  </si>
  <si>
    <t>[아스투리아나] 포션 버터 12개입</t>
  </si>
  <si>
    <t>아스투리아나</t>
  </si>
  <si>
    <t>해찬들 물로만 끓여도 칼칼한 청양초 된장찌개양념, 450g, 1개 48%9,440원 4,900원 (100g당 1,089원) 내일(일) 도착 보장 5 (4652) 최대 245원 적립</t>
  </si>
  <si>
    <t>[더단백] 프로틴바 3종</t>
  </si>
  <si>
    <t>[바름팜] 제주 구좌 흙당근 2종</t>
  </si>
  <si>
    <t>[런던베이글뮤지엄] 베이글 4개 &amp; 크림치즈 2개</t>
  </si>
  <si>
    <t>런던베이글뮤지엄</t>
  </si>
  <si>
    <t>[슈퍼키친] 소고기두부조림</t>
  </si>
  <si>
    <t>두부조림</t>
  </si>
  <si>
    <t>유기농 통밀쌀 500g</t>
  </si>
  <si>
    <t>통밀쌀</t>
  </si>
  <si>
    <t>[네니아] 우리밀 냉동 우동면 (230g x 5개입)</t>
  </si>
  <si>
    <t>네니아</t>
  </si>
  <si>
    <t>[Kurly's] 동물복지 유정란 40구</t>
  </si>
  <si>
    <t>곰곰 소중한 우리쌀 밥, 200g, 10개 33%13,500원 8,990원 (100g당 450원) 내일(일) 도착 보장 5 (100263) 최대 450원 적립</t>
  </si>
  <si>
    <t>[푸디버디] 한우 카레/짜장/불고기/토마토 덮밥소스 5개입 (택2)</t>
  </si>
  <si>
    <t>덮밥 소스</t>
  </si>
  <si>
    <t>푸디버디</t>
  </si>
  <si>
    <t>[브레드가든] 아몬드분말 60g</t>
  </si>
  <si>
    <t>[그릭데이] 그릭요거트 시그니처 800g</t>
  </si>
  <si>
    <t>[선물세트] 몸애쏙쏙 유기농 배도라지청 2입 세트</t>
  </si>
  <si>
    <t>사바 바나나로 만든 감숙왕 바나나칩 70g</t>
  </si>
  <si>
    <t>과일칩</t>
  </si>
  <si>
    <t>마른 줄기상추(건궁채), 80g, 1개 3,170원 (10g당 396원) 내일(일) 새벽 도착 보장 4.5 (4731) 최대 159원 적립</t>
  </si>
  <si>
    <t>궁채</t>
  </si>
  <si>
    <t>[넉넉] 듬뿍 치아바타 3종 (택1)</t>
  </si>
  <si>
    <t>넉넉</t>
  </si>
  <si>
    <t>유기농 현미혼합 7곡 1.8kg</t>
  </si>
  <si>
    <t>[차려낸] 구수하고 담백한 청국장 (2개입)</t>
  </si>
  <si>
    <t>디쉬프로젝트 허니버터 시즈닝, 80g, 1개 54%13,100원 5,900원 (100g당 7,375원) 내일(일) 도착 보장 5 (1445) 최대 295원 적립</t>
  </si>
  <si>
    <t>허니버터</t>
  </si>
  <si>
    <t>디쉬프로젝트</t>
  </si>
  <si>
    <t>[서울우유 x 마켓컬리] 치즈다운 치즈 고칼슘&amp;고단백 (18g X 13입)</t>
  </si>
  <si>
    <t>[넛츠그린] 저당 저칼로리 딸기잼 240g</t>
  </si>
  <si>
    <t>유기농 다진 비트 100g x 2입</t>
  </si>
  <si>
    <t>비트</t>
  </si>
  <si>
    <t>곰곰 깐 메추리알, 270g, 1봉 3,680원 (100g당 1,363원) 내일(일) 새벽 도착 보장 5 (112156) 최대 184원 적립</t>
  </si>
  <si>
    <t>[카스테이블워터] 영국 크래커 4종 (택 1)</t>
  </si>
  <si>
    <t>카스테이블워터</t>
  </si>
  <si>
    <t>오뚜기 달콤한 케이크 시럽, 220g, 3개 4,250원 (100g당 644원) 내일(일) 도착 보장 5 (2230) 최대 213원 적립</t>
  </si>
  <si>
    <t>케이크 시럽</t>
  </si>
  <si>
    <t>도드람한돈 1등급 등심 카레용 (냉장), 300g, 1개 6,820원 (100g당 2,273원) 내일(일) 새벽 도착 보장 5 (17399) 최대 341원 적립</t>
  </si>
  <si>
    <t>맛선생 멸치디포리 국물내기 한알, 160g, 2개 59%31,360원 12,600원 (100g당 3,938원) 내일(일) 도착 보장 5 (25886) 최대 630원 적립</t>
  </si>
  <si>
    <t>[선물세트] 몸애쏙쏙 짜먹는 유기농 배도라지액 세트 +(쇼핑백 증정)</t>
  </si>
  <si>
    <t>[알비에로] 프로볼로네 돌체 치즈 200g</t>
  </si>
  <si>
    <t>알비에로</t>
  </si>
  <si>
    <t>[99EATS] 두툼한 쯔란양꼬치 320g (40g*8ea)</t>
  </si>
  <si>
    <t>99EATS</t>
  </si>
  <si>
    <t>[하데거] 스위스 아펜젤러 치즈</t>
  </si>
  <si>
    <t>아펜젤러 치즈</t>
  </si>
  <si>
    <t>하데거</t>
  </si>
  <si>
    <t>[팜송] 파프리카 1kg (7-9입)</t>
  </si>
  <si>
    <t>[다보] 유기농 딸기잼 260g</t>
  </si>
  <si>
    <t>다보</t>
  </si>
  <si>
    <t>[자케] 프랑스 미니 브라우니</t>
  </si>
  <si>
    <t>자케</t>
  </si>
  <si>
    <t>오뚜기 순후추, 100g, 2개 10,800원 (10g당 540원) 내일(일) 새벽 도착 보장 5 (15096) 최대 540원 적립</t>
  </si>
  <si>
    <t>[캐비아데일리] 바지락듬뿍칼국수</t>
  </si>
  <si>
    <t>[청정원] 허니머스타드소스 320g</t>
  </si>
  <si>
    <t>[크래프트] 그레이티드 파마산 치즈 80g</t>
  </si>
  <si>
    <t>파마신 치즈</t>
  </si>
  <si>
    <t>크래프트</t>
  </si>
  <si>
    <t>상주 흑침 오이 5입</t>
  </si>
  <si>
    <t>[올핏] 유기농 레몬즙&amp;올리브유 올인원 루틴팩 (7포+7포)</t>
  </si>
  <si>
    <t>올핏</t>
  </si>
  <si>
    <t>[KF365] 무항생제 1+등급 중란 20구</t>
  </si>
  <si>
    <t>[사세] 버팔로윙 마일드 허니맛</t>
  </si>
  <si>
    <t>[마마리] 소고기 무국</t>
  </si>
  <si>
    <t>[합정옥] 한우양지곰탕</t>
  </si>
  <si>
    <t>합정옥</t>
  </si>
  <si>
    <t>[선물세트] 서울약사신협 배도라지 스틱 30포</t>
  </si>
  <si>
    <t>[선물세트] 아보카도 세트 1.9kg (9입)</t>
  </si>
  <si>
    <t>[선물세트] 애플망고 세트 3.4kg (9입)  (보자기 동봉)</t>
  </si>
  <si>
    <t>애플망고</t>
  </si>
  <si>
    <t>면사랑 사누끼 우동면 5개입 (냉동), 1.15kg, 1개 4,980원 (100g당 433원) 내일(일) 새벽 도착 보장 5 (8821) 최대 249원 적립</t>
  </si>
  <si>
    <t>[진가네반찬] 잡채</t>
  </si>
  <si>
    <t>프레지덩 미니 버터, 200g, 1개 9,550원 (100g당 4,775원) 내일(일) 새벽 도착 보장 5 (41698) 최대 478원 적립</t>
  </si>
  <si>
    <t>상하목장 유기농 우유, 200ml, 24개 29%33,120원 23,500원 (100ml당 490원) 내일(일) 도착 보장 5 (224010) 최대 1,175원 적립</t>
  </si>
  <si>
    <t>[김소영 아티장의 안단테] 피에르자캉 염소젖 트러플 치즈 100g</t>
  </si>
  <si>
    <t>트러플 치즈</t>
  </si>
  <si>
    <t>맥스봉 치즈 15p, 525g, 2개 36%16,960원 10,800원 (10g당 103원) 내일(일) 도착 보장 5 (8886) 최대 540원 적립</t>
  </si>
  <si>
    <t>맥스봉</t>
  </si>
  <si>
    <t>[선물세트] 조선호텔 1+ 한우 불고기 세트 500g*6</t>
  </si>
  <si>
    <t>[전통주] 고창서해안 청정고창 소주 (16.9도 360mL) 10가지 꽃을 담은술</t>
  </si>
  <si>
    <t>[화과방] 지현양갱 2호세트(쇼핑백증정)</t>
  </si>
  <si>
    <t>화과방</t>
  </si>
  <si>
    <t>[그린스] 오리지널 팬케이크 쉐이크(375g)</t>
  </si>
  <si>
    <t>팬케이크</t>
  </si>
  <si>
    <t>국산콩 영암귀리 두유 (190mL X 16개)</t>
  </si>
  <si>
    <t>[올반] 숙성 고추장돼지불백 180gx3팩</t>
  </si>
  <si>
    <t>[파스퇴르] 후레쉬 우유(200mL X 20입)</t>
  </si>
  <si>
    <t>[오마뎅] 하얀 순살 사각어묵</t>
  </si>
  <si>
    <t>풍요한아침 옛날 고명 계란지단, 350g, 1개 6,190원 (100g당 1,769원) 내일(일) 새벽 도착 보장 5 (7172) 최대 310원 적립</t>
  </si>
  <si>
    <t>[흑백요리사] 최강록셰프 김치우동 458g</t>
  </si>
  <si>
    <t>최강록셰프 김치우동</t>
  </si>
  <si>
    <t>[스타벅스] 더블샷 커피 200mL X 4캔 2종(택1)</t>
  </si>
  <si>
    <t>안옥남 자르고 씻어나온 간편미역, 300g, 1개 9,900원 (100g당 3,300원) 내일(일) 도착 보장 5 (11330) 최대 495원 적립</t>
  </si>
  <si>
    <t>[포트'럭] 다이버가 채취한 남해바다 왕바지락 500g (생물)</t>
  </si>
  <si>
    <t>[베키아에누보] 커리 치킨마크니 300g</t>
  </si>
  <si>
    <t>다담 된장찌개양념, 840g, 1개 22%10,680원 8,240원 (100g당 981원) 내일(일) 새벽 도착 보장 5 (18712) 최대 412원 적립</t>
  </si>
  <si>
    <t>[Sea to Table] 손질 왕 흰다리새우 300g (냉동) (16/20 사이즈)</t>
  </si>
  <si>
    <t>[대천김] 짜지 않은 재래김 16봉</t>
  </si>
  <si>
    <t>[선물세트] 애플망고 세트 3.4kg (9입) (예약일 수령)</t>
  </si>
  <si>
    <t>매일우유 저지방 2%, 200ml, 24개 16,450원 (100ml당 343원) 내일(일) 도착 보장 4.5 (36085) 최대 823원 적립</t>
  </si>
  <si>
    <t>오뚜기 참깨라면 용기110g 12개 18%16,560원 13,450원 (1개당 1,121원) 내일(일) 도착 보장 5 (54173) 최대 673원 적립</t>
  </si>
  <si>
    <t>유기농 백미 쌀 4kg</t>
  </si>
  <si>
    <t>[선물세트] 애플망고&amp;태국망고 혼합 세트 3kg (보자기 동봉)</t>
  </si>
  <si>
    <t>[CU 픽업] 안젤리카자파멜롯</t>
  </si>
  <si>
    <t>DIAMOND 흰다리 자숙 새우살 43~85미 (냉동), 200g, 1개 5,400원 (100g당 2,700원) 내일(일) 새벽 도착 보장 5 (4093) 최대 270원 적립</t>
  </si>
  <si>
    <t>[참든건강] 아이달콤 도라지배즙 (20포)</t>
  </si>
  <si>
    <t>참든건강</t>
  </si>
  <si>
    <t>해표 카놀라유, 900ml, 3개 쿠폰할인63%29,700원 10,900원 (100ml당 404원) 내일(일) 도착 보장 5 (136966) 최대 545원 적립</t>
  </si>
  <si>
    <t>곰곰 촉촉 반숙란 (냉장), 20구, 1개 35%15,590원 9,980원 (1구당 499원) 내일(일) 새벽 도착 보장 4.5 (155532) 최대 499원 적립</t>
  </si>
  <si>
    <t>맥심 디카페인 커피믹스, 100g, 1개입, 1개 7,980원 (10g당 798원) 내일(일) 도착 보장 5 (9865) 최대 399원 적립</t>
  </si>
  <si>
    <t>[메종엠오] 가또 쇼콜라 드 낭시 320g</t>
  </si>
  <si>
    <t>[Project H] 고단백 저당 식빵 188g</t>
  </si>
  <si>
    <t>[애슐리] 고르곤졸라 피자</t>
  </si>
  <si>
    <t>[풀무원] 소가 크고 단단한 두부 500g</t>
  </si>
  <si>
    <t>백년농가 상황버섯쌀 오분도미, 1kg, 1개 12,900원 (100g당 1,290원) 내일(일) 도착 보장 4.5 (490) 최대 645원 적립</t>
  </si>
  <si>
    <t>백년농가</t>
  </si>
  <si>
    <t>[선물세트] 전통주 문배술 명작 (40도 500mL)</t>
  </si>
  <si>
    <t>홈파티 치즈 플래터 싱글(1-2인용)</t>
  </si>
  <si>
    <t>[KF365] 1+등급 무항생제 대란 10구</t>
  </si>
  <si>
    <t>파스퇴르 무항생제 인증 바른목장 우유, 125ml, 24개 29%25,200원 17,700원 (100ml당 590원) 내일(일) 새벽 도착 보장 5 (20693) 최대 885원 적립</t>
  </si>
  <si>
    <t>[영산홍어] 해미진미 한 줄 홍어회 60g</t>
  </si>
  <si>
    <t>홍어회</t>
  </si>
  <si>
    <t>영산홍어</t>
  </si>
  <si>
    <t>트와이닝 카모마일 티백, 1g, 25개입, 1개 8,790원 (10g당 3,516원) 내일(일) 도착 보장 5 (9033) 최대 440원 적립</t>
  </si>
  <si>
    <t>[선물세트] 전통주 문배술 용상도자기 (40도 700mL)</t>
  </si>
  <si>
    <t>[Picard] 퐁당 오 쇼콜라 470g</t>
  </si>
  <si>
    <t>[아티제] 미니 베이글 3종 (택1) (50g x 6개)</t>
  </si>
  <si>
    <t>[굽네] 소스가 맛있는 닭가슴살 4종 (1입/4입)</t>
  </si>
  <si>
    <t>[횡성축협한우] 1등급 한우 불고기 200g</t>
  </si>
  <si>
    <t>[폴스] 호주산 우유 1L</t>
  </si>
  <si>
    <t>폴스</t>
  </si>
  <si>
    <t>[콜린스 다이닝] 방울토마토 마리네이드 절임</t>
  </si>
  <si>
    <t>토마토 절임</t>
  </si>
  <si>
    <t>[편스토랑X아워홈] 김재중의 불짬뽕 폭립 450g(냉동)</t>
  </si>
  <si>
    <t>편스토랑X아워홈</t>
  </si>
  <si>
    <t>[KF365] 깻잎 30g</t>
  </si>
  <si>
    <t>[CU 픽업] 카쿠시구라</t>
  </si>
  <si>
    <t>보리 쇼츄</t>
  </si>
  <si>
    <t>[덴마크] 인포켓 치즈 오리지널 (20g X 5입)</t>
  </si>
  <si>
    <t>[마루사야] 간사이풍 다시팩</t>
  </si>
  <si>
    <t>마루사야</t>
  </si>
  <si>
    <t>[카페아모제] 저당 포케 샐러드 3종 (택1)</t>
  </si>
  <si>
    <t>포케 샐러드</t>
  </si>
  <si>
    <t>카페아모제</t>
  </si>
  <si>
    <t>[모현상회] 태국산 프리미엄 생새우살 2종 (냉동) (택1)</t>
  </si>
  <si>
    <t>모현상회</t>
  </si>
  <si>
    <t>[도제식빵] 촉촉한 생식빵 2종 (택1)</t>
  </si>
  <si>
    <t>[맥파이앤타이거] 논카페인 잎차 4종 (택1)</t>
  </si>
  <si>
    <t>잎 차</t>
  </si>
  <si>
    <t>[오니스트] 트리플샤인 포도 84포</t>
  </si>
  <si>
    <t>[99핫도그] 크리스피 핫도그 800g(80gX10개입) 2종 (택1)</t>
  </si>
  <si>
    <t>99핫도그</t>
  </si>
  <si>
    <t>[둥구나무] 시금치나물</t>
  </si>
  <si>
    <t>시금치 나물</t>
  </si>
  <si>
    <t>동서 결명자차, 8g, 18개입, 2개 4,480원 (10g당 156원) 내일(일) 도착 보장 5 (13689) 최대 224원 적립</t>
  </si>
  <si>
    <t>결명자차</t>
  </si>
  <si>
    <t>[한팟] 치즈 부대찌개 1858g(냉장)</t>
  </si>
  <si>
    <t>한팟</t>
  </si>
  <si>
    <t>[마마리] 전복미역국</t>
  </si>
  <si>
    <t>조각 양배추 500g</t>
  </si>
  <si>
    <t>[고디바] 마스터피스 다크 카라멜 초콜릿 117g</t>
  </si>
  <si>
    <t>고디바</t>
  </si>
  <si>
    <t>[올가] 우리밀 짜장가루 100g</t>
  </si>
  <si>
    <t>짜장가루</t>
  </si>
  <si>
    <t>오케이 건고구마순, 1개, 100g 4,900원 (100g당 4,900원) 내일(일) 도착 보장 4.5 (79) 최대 245원 적립</t>
  </si>
  <si>
    <t>고구마순</t>
  </si>
  <si>
    <t>[메이준뉴트리 X 이승남원장] 슈퍼 초임계 알티지 오메가3 플러스 (30일분)</t>
  </si>
  <si>
    <t>메이준뉴트리 X 이승남원장</t>
  </si>
  <si>
    <t>조인 깐메추리알, 270g, 1개 3,690원 (100g당 1,367원) 내일(일) 새벽 도착 보장 5 (72467) 최대 185원 적립</t>
  </si>
  <si>
    <t>파스퇴르 건강한 저온살균 우유 후레쉬, 2.3L, 1개 8,120원 (100ml당 353원) 내일(일) 새벽 도착 보장 5 (173284) 최대 406원 적립</t>
  </si>
  <si>
    <t>베지밀 고단백두유 검은콩, 190ml, 32개 22,400원 (100ml당 368원) 내일(일) 새벽 도착 보장 5 (3500) 최대 1,120원 적립</t>
  </si>
  <si>
    <t>[CU 픽업] 빽라거슈퍼마일*24캔</t>
  </si>
  <si>
    <t>[선물세트] 전통주 토끼소주 선비진 미국브랜힐양조 한국형진 (48도 750mL)</t>
  </si>
  <si>
    <t>[트리투바] 바트 초콜릿 2종 (택1)</t>
  </si>
  <si>
    <t>[킨더] 부에노 화이트 초콜릿바 3입</t>
  </si>
  <si>
    <t>화이트 초콜릿</t>
  </si>
  <si>
    <t>[CJ] 동치미 물냉면 (2인분)</t>
  </si>
  <si>
    <t>[다미원] 반건조 손질 통 민어 250g (냉동)</t>
  </si>
  <si>
    <t>반건조 민어</t>
  </si>
  <si>
    <t>[빵공장띠에리] 무화과 시골빵 400g</t>
  </si>
  <si>
    <t>무화과 빵</t>
  </si>
  <si>
    <t>빵공장띠에리</t>
  </si>
  <si>
    <t>[더 더치] 스페셜 트러플 치즈 200g</t>
  </si>
  <si>
    <t>[크라운] 쿠크다스 케이크 154g</t>
  </si>
  <si>
    <t>추부 깻잎 30g</t>
  </si>
  <si>
    <t>추부</t>
  </si>
  <si>
    <t>[겐츠베이커리] 쿠키 3종 세트 410g</t>
  </si>
  <si>
    <t>겐츠베이커리</t>
  </si>
  <si>
    <t>[올가] 유기농 발아 보리차 150g (10g X 15개)</t>
  </si>
  <si>
    <t>마이노멀 저당 저칼로리 블루베리잼, 320g, 1개 40%16,900원 9,980원 (100g당 3,119원) 내일(일) 도착 보장 5 (6327) 최대 499원 적립</t>
  </si>
  <si>
    <t>립톤 아이스티 믹스 분말 복숭아맛, 1.5kg, 1개입, 1개 44%22,900원 12,700원 (10g당 85원) 내일(일) 새벽 도착 보장 5 (1697) 최대 635원 적립</t>
  </si>
  <si>
    <t>복숭아 아이스티</t>
  </si>
  <si>
    <t>립톤</t>
  </si>
  <si>
    <t>카누 바닐라 라떼 커피믹스, 17.3g, 24개입, 2개 19,870원 (10g당 239원) 내일(일) 도착 보장 5 (27759) 최대 994원 적립</t>
  </si>
  <si>
    <t>[선물세트] 전통주 배혜정도가 로아 화이트 세트 (19도 375mL 2병)</t>
  </si>
  <si>
    <t>[농심] 새우탕면 멀티팩 4입</t>
  </si>
  <si>
    <t>[라티브] 생강 레몬진저샷 1박스(14개입)</t>
  </si>
  <si>
    <t>집밥 10kg 백미 쌀 2025년햅쌀, 집밥 10kg 지대, 1개 30,800원 (100g당 308원) 내일(일) 도착 보장 4 (1792) 최대 1,540원 적립</t>
  </si>
  <si>
    <t>집밥</t>
  </si>
  <si>
    <t>[선물세트] PNB 미니초코파이 선물세트</t>
  </si>
  <si>
    <t>초코파이</t>
  </si>
  <si>
    <t>[CU 픽업] 집집락까베르네</t>
  </si>
  <si>
    <t>[오가닉스토리] 유기농 현미로 만든 볼 4종</t>
  </si>
  <si>
    <t>[제주마미] 제주 봄 취나물 100g X 2입</t>
  </si>
  <si>
    <t>취나물</t>
  </si>
  <si>
    <t>[동원] 그릴리 직화 골든 베이컨 2종 (택1)</t>
  </si>
  <si>
    <t>[조지아] RTD 블랙 커피 (800mL X 6개)</t>
  </si>
  <si>
    <t>조지아</t>
  </si>
  <si>
    <t>[선물세트] 전통주 이기춘명인 문배술 특1호세트 (40도 400mLx2병)</t>
  </si>
  <si>
    <t>해표 꽃소금, 3kg, 1개 4,900원 (100g당 163원) 내일(일) 새벽 도착 보장 5 (250) 최대 245원 적립</t>
  </si>
  <si>
    <t>꽃소금</t>
  </si>
  <si>
    <t>[상하목장] 유기농 베이비 요구르트 3종 (85g X 4개) (택1)</t>
  </si>
  <si>
    <t>자연애찬 무항생제 특란, 30구, 2개 18,780원 (1구당 313원) 내일(일) 새벽 도착 보장 4.5 (248140) 최대 939원 적립</t>
  </si>
  <si>
    <t>대림선 부산어묵 얇은사각 6장, 240g, 1개 1,590원 (100g당 663원) 내일(일) 새벽 도착 보장 5 (12429) 최대 80원 적립</t>
  </si>
  <si>
    <t>[비움반찬] 오징어실채볶음</t>
  </si>
  <si>
    <t>국내산 손질 쌈배추, 200g, 1개 1,990원 (100g당 995원) 내일(일) 새벽 도착 보장 4.5 (17718) 최대 100원 적립</t>
  </si>
  <si>
    <t>곰곰 통후추, 200g, 1개 35%7,700원 4,990원 (10g당 250원) 내일(일) 새벽 도착 보장 5 (219) 최대 250원 적립</t>
  </si>
  <si>
    <t>[선물세트] 제스프리 제주 골드키위 세트 2.3kg (18입)</t>
  </si>
  <si>
    <t>[니아르] 글로우틴 납작복숭아맛 (14일분)</t>
  </si>
  <si>
    <t>[갈비아저씨] 돼지불고기 600g (냉동)</t>
  </si>
  <si>
    <t>[횡성축협한우] 1+ 한우 불고기용 200g (냉장)</t>
  </si>
  <si>
    <t>테메레르 유기농 홀그레인 머스타드, 200g, 1개 7,100원 (100g당 3,550원) 내일(일) 도착 보장 4.5 (9814) 최대 355원 적립</t>
  </si>
  <si>
    <t>테메레르</t>
  </si>
  <si>
    <t>[올더뮤] 뮤신 바운스 복숭아맛 10개입</t>
  </si>
  <si>
    <t>올더뮤</t>
  </si>
  <si>
    <t>[바다해] 추억의 조미오징어 다리 100g</t>
  </si>
  <si>
    <t>[자연실록] 무항생제 닭볶음탕용 800g</t>
  </si>
  <si>
    <t>[선물세트] 트리투바 바트 초콜릿 6입 세트</t>
  </si>
  <si>
    <t>[오리온] 과일꿀꺽 왕꿈틀이 210g</t>
  </si>
  <si>
    <t>왕꿈틀이</t>
  </si>
  <si>
    <t>[동원] 저스트 군밤80g</t>
  </si>
  <si>
    <t>[미트빌] 미국산 소고기 초이스 척아이롤300g (냉장)</t>
  </si>
  <si>
    <t>척아이롤</t>
  </si>
  <si>
    <t>미트빌</t>
  </si>
  <si>
    <t>[선물세트] 짜먹는 배도라지청 세트</t>
  </si>
  <si>
    <t>[선물세트] 참다래 그린 키위 2.3kg (18입)</t>
  </si>
  <si>
    <t>[르까도드마비] 타르트 레아 (4개)</t>
  </si>
  <si>
    <t>[덕화명란] 송알송알 반반명란 200g (냉장)</t>
  </si>
  <si>
    <t>[모두의맛집] 정지선 셰프 홍콩식 간장 닭고기솥밥</t>
  </si>
  <si>
    <t>모두의맛집</t>
  </si>
  <si>
    <t>유기농 냉동 다진 청경채 100g</t>
  </si>
  <si>
    <t>청경채</t>
  </si>
  <si>
    <t>[본죽] 본 뼈없는 갈비탕</t>
  </si>
  <si>
    <t>가농 무항생제 왕란, 15구, 1개 6,890원 (1구당 459원) 내일(일) 새벽 도착 보장 5 (10522) 최대 345원 적립</t>
  </si>
  <si>
    <t>[선물세트] 태국망고 세트 3kg (9입) (보자기 동봉)</t>
  </si>
  <si>
    <t>[커피빈] 초코 무스 케익 470g</t>
  </si>
  <si>
    <t>무스 케이크</t>
  </si>
  <si>
    <t>국내산 GAP 애호박, 1개입, 1개 3,420원 (1개당 3,420원) 내일(일) 새벽 도착 보장 5 (55109) 최대 171원 적립</t>
  </si>
  <si>
    <t>[뱅스] 유기농 진저샷 3종 300mL (택1)</t>
  </si>
  <si>
    <t>뱅스</t>
  </si>
  <si>
    <t>생 파슬리 15g</t>
  </si>
  <si>
    <t>생</t>
  </si>
  <si>
    <t>해표 완도 미역, 100g, 2개 5,960원 (100g당 2,980원) 내일(일) 도착 보장 4.5 (1303) 최대 298원 적립</t>
  </si>
  <si>
    <t>[원에이커팜] 친환경 GAP 차이브 10g</t>
  </si>
  <si>
    <t>차이브</t>
  </si>
  <si>
    <t>[비비드키친] 저칼로리 스리라차소스</t>
  </si>
  <si>
    <t>[사세] 버팔로 윙봉 골드 1kg</t>
  </si>
  <si>
    <t>[도드람한돈] 훈제 안심 200g (냉장)</t>
  </si>
  <si>
    <t>농협안심한우 1등급 다짐육 (냉장), 300g, 1팩 19%15,540원 12,570원 (100g당 4,190원) 내일(일) 새벽 도착 보장 5 (5452) 최대 629원 적립</t>
  </si>
  <si>
    <t>소고기 다짐육</t>
  </si>
  <si>
    <t>[야미요밀] 모닝빵 5종 (45g X 8개입) (택1)</t>
  </si>
  <si>
    <t>[오뚜기] 참깨라면 4입</t>
  </si>
  <si>
    <t>[나폴레옹] 버터롤 (30g X 10개)</t>
  </si>
  <si>
    <t>버터롤</t>
  </si>
  <si>
    <t>오뚜기 발아흑미 즉석잡곡밥, 210g, 12개 53%29,760원 13,980원 (100g당 555원) 내일(일) 도착 보장 새 상품, 반품-미개봉 (5) 최저13,280원 5 (22902) 최대 699원 적립</t>
  </si>
  <si>
    <t>[CJ] 깐메추리알 450G</t>
  </si>
  <si>
    <t>[종가] 열무김치 400g</t>
  </si>
  <si>
    <t>[오다다] 슈퍼림포티 (2g X 24개)</t>
  </si>
  <si>
    <t>[데체코] 롱 파스타 11종 (택1)</t>
  </si>
  <si>
    <t>[선물세트] 한삼인 산삼배양근 30병 +(쇼핑백 증정)</t>
  </si>
  <si>
    <t>[오마뎅] 파 어묵</t>
  </si>
  <si>
    <t>[드로게리아] 통흑후추밀 (그라인더)</t>
  </si>
  <si>
    <t>드로게리아</t>
  </si>
  <si>
    <t>[선물세트] 올리 1+등급 프리미엄 꿀 세트</t>
  </si>
  <si>
    <t>[26년 설] [CU 픽업] 우드포드리저브버번</t>
  </si>
  <si>
    <t>[CU 픽업] 글랜카담10년</t>
  </si>
  <si>
    <t>[선물세트][라빈리커픽업] 전통주 문배술 명작 500 세트 (40도 500mL)</t>
  </si>
  <si>
    <t>[선물세트] 사층빵집 수제 샌드 쿠키 3종 세트</t>
  </si>
  <si>
    <t>[부침명장] 소고기 육전 350g</t>
  </si>
  <si>
    <t>몽고식품 구포국수 진공소면, 3kg, 1개 6,500원 (100g당 217원) 내일(일) 도착 보장 4.5 (24302) 최대 325원 적립</t>
  </si>
  <si>
    <t>몽고식품</t>
  </si>
  <si>
    <t>동우바른닭고기 IQF 닭가슴살 (냉동), 1개, 1kg 7,980원 (100g당 798원) 내일(일) 새벽 도착 보장 5 (95) 최대 349원 적립</t>
  </si>
  <si>
    <t>동우바른닭고기</t>
  </si>
  <si>
    <t>맑은물에 담백 쌈두부, 100g, 1개 2,400원 (100g당 2,400원) 내일(일) 새벽 도착 보장 5 (680) 최대 120원 적립</t>
  </si>
  <si>
    <t>[화과방] 셀프러브 키트 양갱 선물세트 (쇼핑백증정)</t>
  </si>
  <si>
    <t>[KF365] 1+등급 무항생제 대란 20구</t>
  </si>
  <si>
    <t>[상하농원] 오징어젓 250g</t>
  </si>
  <si>
    <t>[CU 픽업] 카라쿠치골드720ml</t>
  </si>
  <si>
    <t>카라쿠치</t>
  </si>
  <si>
    <t>[호랑이건강원] 호랑이 진쌍화 14포 X 3박스 (보자기포장 + 쇼핑백 증정)</t>
  </si>
  <si>
    <t>호랑이건강원</t>
  </si>
  <si>
    <t>[노포기행] 용강동식 돼지왕구이 1kg</t>
  </si>
  <si>
    <t>노포기행</t>
  </si>
  <si>
    <t>[헬카페] 콜드브루 500mL</t>
  </si>
  <si>
    <t>[비움반찬] 매콤 꽈리고추진미채볶음</t>
  </si>
  <si>
    <t>꽈리고추 진미채볶음</t>
  </si>
  <si>
    <t>[티아시아] 쌀국수면 2종 (택1)</t>
  </si>
  <si>
    <t>클룹 애사비소다 신비복숭아 제로 탄산음료, 24개, 500ml 56%60,000원 26,390원 (100ml당 220원) 내일(일) 도착 보장 5 (1925) 최대 1,320원 적립</t>
  </si>
  <si>
    <t>애사비소다</t>
  </si>
  <si>
    <t xml:space="preserve">클룹 </t>
  </si>
  <si>
    <t>[비움반찬] 아욱 된장 무침</t>
  </si>
  <si>
    <t>아욱 된장 무침</t>
  </si>
  <si>
    <t>지하암반해수로 씻어 깨끗한 가열조리용 생굴 (냉장), 200g, 2개 16%11,800원 9,870원 (100g당 2,468원) 내일(일) 새벽 도착 보장 4.5 (9738) 최대 484원 적립</t>
  </si>
  <si>
    <t>배대감 국산 찹쌀가루, 1kg, 1개 40%14,800원 8,810원 (100g당 881원) 내일(일) 도착 보장 5 (23300) 최대 440원 적립</t>
  </si>
  <si>
    <t>[본 마예네] 프랑스 꺄레 치즈 200g</t>
  </si>
  <si>
    <t>꺄레 치즈</t>
  </si>
  <si>
    <t>본 마예네</t>
  </si>
  <si>
    <t>[올리타리아] 엑스트라버진 올리브 오일 500mL</t>
  </si>
  <si>
    <t>오리온 눈을감자, 56g, 10개 14,760원 (10g당 264원) 내일(일) 도착 보장 5 (29832) 최대 738원 적립</t>
  </si>
  <si>
    <t>청해명가 더 진한 육수한알 진한맛 25개입, 100g, 1개 19%10,500원 8,480원 (100g당 8,480원) 내일(일) 도착 보장 5 (6222) 최대 394원 적립</t>
  </si>
  <si>
    <t>청해명가</t>
  </si>
  <si>
    <t>폰타나 볼로냐 베이컨 볼로네제 파스타 소스, 430g, 1개 35%9,980원 6,400원 (100g당 1,488원) 내일(일) 새벽 도착 보장 5 (2552) 최대 320원 적립</t>
  </si>
  <si>
    <t>파스타 소스</t>
  </si>
  <si>
    <t>[자연애찬] 비빔 반숙란 (수란) 10구</t>
  </si>
  <si>
    <t>[마이노멀] 저당 저칼로리 블루베리잼 320g</t>
  </si>
  <si>
    <t>[소이뇽] 산양치즈 스프레더블 3종 (택1)</t>
  </si>
  <si>
    <t>소이뇽</t>
  </si>
  <si>
    <t>[마스터푸드] 민트젤리</t>
  </si>
  <si>
    <t>마스터푸드</t>
  </si>
  <si>
    <t>[스위스미스] 리치 초콜릿 (37.6g X 8개)</t>
  </si>
  <si>
    <t>스위스미스</t>
  </si>
  <si>
    <t>[자연에찬] 무말랭이 무침</t>
  </si>
  <si>
    <t>베베쿡 처음 먹는 어린이김, 15g, 3개, 오리지널 13,970원 (10g당 3,104원) 내일(일) 도착 보장 5 (16083) 최대 699원 적립</t>
  </si>
  <si>
    <t>[830] 곤약 국물떡볶이 310g</t>
  </si>
  <si>
    <t>친정엄마꾸러미 뚝딱 양파 (냉동), 1개, 500g 2,930원 (100g당 586원) 내일(일) 새벽 도착 보장 5 (6169) 최대 130원 적립</t>
  </si>
  <si>
    <t>친정엄마꾸러미</t>
  </si>
  <si>
    <t>[퍼시픽] 미국 블럭 치즈 4종</t>
  </si>
  <si>
    <t>퍼시픽</t>
  </si>
  <si>
    <t>[올리] 유기농 현미 크런치롤 100g</t>
  </si>
  <si>
    <t>[카페미뇽] 에그타르트 4구 세트</t>
  </si>
  <si>
    <t>카페미뇽</t>
  </si>
  <si>
    <t>[집반찬연구소] 동그랑땡</t>
  </si>
  <si>
    <t>동그랑땡</t>
  </si>
  <si>
    <t>붉은 현미 다홍미 2kg</t>
  </si>
  <si>
    <t>[마즈] 트윅스 미니스 초코바 990g</t>
  </si>
  <si>
    <t>[하림 The 미식] 오징어라면 4입</t>
  </si>
  <si>
    <t>하림 The 미식</t>
  </si>
  <si>
    <t>[우주] 강원도 건조 제수용 황태포 2종 (택1)</t>
  </si>
  <si>
    <t>[건어수라] 제수용 황태포 80g</t>
  </si>
  <si>
    <t>건어수라</t>
  </si>
  <si>
    <t>[코타니] 유기농 파슬리</t>
  </si>
  <si>
    <t>코타니</t>
  </si>
  <si>
    <t>[횡성축협한우] 1등급 한우 양지 200g</t>
  </si>
  <si>
    <t>[KF365] 무항생제 한돈 인기 구이용 3종 (택1)(냉장)</t>
  </si>
  <si>
    <t>GAP 경북 상주 곶감 250g (50g*5입 낱개포장)</t>
  </si>
  <si>
    <t>GAP</t>
  </si>
  <si>
    <t>[스투리아] 캐비아 2종</t>
  </si>
  <si>
    <t>캐비아</t>
  </si>
  <si>
    <t>스투리아</t>
  </si>
  <si>
    <t>[포천이동갈비] 이동갈비 500g</t>
  </si>
  <si>
    <t>포천이동갈비</t>
  </si>
  <si>
    <t>[선물세트] 맛의명태자 순명란 세트 (예약일수령)</t>
  </si>
  <si>
    <t>[프로상] 유기농 딸기잼 350g</t>
  </si>
  <si>
    <t>한돈 뒷다리살 불고기용 (냉장), 1개, 500g 21%8,900원 6,970원 (100g당 1,394원) 내일(일) 새벽 도착 보장 5 (3610) 최대 349원 적립</t>
  </si>
  <si>
    <t>돼지 뒷다리살</t>
  </si>
  <si>
    <t>[선물세트] 경기떡집 프리미엄 떡 3단 세트</t>
  </si>
  <si>
    <t>[선물세트][라빈리커픽업] 전통주 문배술 천향 세트 (40도 375mL*2)</t>
  </si>
  <si>
    <t>[매일] 멸균 우유 저지방(200mL X 24개입)</t>
  </si>
  <si>
    <t>[르까도드마비] 타르트 퍼플벌룬 (16개입)</t>
  </si>
  <si>
    <t>[서울우유] 고소하고 부드러운 고단백 치즈 (18g X 10입)</t>
  </si>
  <si>
    <t>비비고 고단백 순살 고등어구이, 60g, 2개 25%11,960원 8,950원 (100g당 7,458원) 내일(일) 새벽 도착 보장 5 (38506) 최대 448원 적립</t>
  </si>
  <si>
    <t>[비비고] 고추장 쥐포볶음 60g</t>
  </si>
  <si>
    <t>[선물세트][전통주] 문배술25 헤리티지 적토마에디션 (25도, 375mL*2)</t>
  </si>
  <si>
    <t>카누 벨베티 미디엄 로스트 네스프레소 호환 캡슐 커피, 5.7g, 10개입, 1개 20%6,790원 5,370원 (10g당 942원) 내일(일) 도착 보장 5 (3498) 최대 269원 적립</t>
  </si>
  <si>
    <t>네스프레소</t>
  </si>
  <si>
    <t>[설혜담] 프로폴리스 배도라지 스틱 30포</t>
  </si>
  <si>
    <t>곡물을만나다 국산 현미, 1kg, 1개 5,080원 (100g당 508원) 내일(일) 도착 보장 새 상품, 반품-미개봉 (5) 최저4,820원 5 (6948) 최대 254원 적립</t>
  </si>
  <si>
    <t>[파볼] 100% 과일로 만든 무화과 잼 240g</t>
  </si>
  <si>
    <t>무화과잼</t>
  </si>
  <si>
    <t>[샐러드판다] 판다의 카프레제 샐러드</t>
  </si>
  <si>
    <t>카프레제 샐러드</t>
  </si>
  <si>
    <t>[소미] 시오다래 양배추 소스 320g</t>
  </si>
  <si>
    <t>양배추 소스</t>
  </si>
  <si>
    <t>소미</t>
  </si>
  <si>
    <t>국내산 찰기장쌀, 2kg, 1개 22,980원 (100g당 1,149원) 내일(일) 도착 보장 5 (1352) 최대 1,149원 적립</t>
  </si>
  <si>
    <t>이롬 황성주 박사의 국산콩 두유 검은콩 고칼슘, 190ml, 20개 45%21,000원 11,360원 (100ml당 299원) 내일(일) 도착 보장 5 (171168) 최대 568원 적립</t>
  </si>
  <si>
    <t>[건강한우리집비옴] 생 아몬드 분말 300g</t>
  </si>
  <si>
    <t>건강한우리집비옴</t>
  </si>
  <si>
    <t>[소소미담] 망고청 1kg</t>
  </si>
  <si>
    <t>망고청</t>
  </si>
  <si>
    <t>소소미담</t>
  </si>
  <si>
    <t>[농협] [25년산 햇곡] 국산 저당 현미 (혈당강하), 1개, 2kg 할인26%19,000원 13,980원 (100g당 699원) 내일(일) 도착 보장 4.5 (89) 최대 699원 적립</t>
  </si>
  <si>
    <t>오리온 콤보 초코파이 정 12p + 카스타드 12p, 744g, 1개 8,510원 (10g당 114원) 내일(일) 도착 보장 5 (32444) 최대 425원 적립</t>
  </si>
  <si>
    <t>제주 손질 갈치 대 2마리 (해동), 1개, 450g 8,990원 (100g당 1,998원) 내일(일) 새벽 도착 보장 4.5 (190) 최대 450원 적립</t>
  </si>
  <si>
    <t>[휘태커스] 미니슬랩 호키포키크런치 초콜릿 180g</t>
  </si>
  <si>
    <t>휘태커스</t>
  </si>
  <si>
    <t>오뚜기 옥수수 마아가린, 200g, 2개 4,590원 (100g당 1,148원) 내일(일) 도착 보장 5 (5172) 최대 230원 적립</t>
  </si>
  <si>
    <t>마가린</t>
  </si>
  <si>
    <t>팔레르모 엑스트라버진 올리브오일, 500ml, 1개 50%20,000원 9,980원 (100ml당 1,996원) 내일(일) 도착 보장 4.5 (1313) 최대 499원 적립</t>
  </si>
  <si>
    <t>팔레르모</t>
  </si>
  <si>
    <t>[CU 픽업] 조니워커 레드 700ML</t>
  </si>
  <si>
    <t>[바다해] 손질 황태채 200g</t>
  </si>
  <si>
    <t>농협100 과일친구들 방울토마토, 180g, 1개입, 1개 3,930원 (100g당 2,183원) 내일(일) 새벽 도착 보장 4.5 (789) 최대 196원 적립</t>
  </si>
  <si>
    <t>[램테이블] 호주산 트러플 시즈닝 양꼬치250g</t>
  </si>
  <si>
    <t>[미트빌] 미국산 소고기 프라임 척아이롤300g (냉장)</t>
  </si>
  <si>
    <t>[일드프랑스] 쉐브르 치즈</t>
  </si>
  <si>
    <t>신선한 남해안 봉지굴 4종 (택1) (가열조리용)</t>
  </si>
  <si>
    <t>[마이노멀] 저당 저칼로리 딸기잼 320g</t>
  </si>
  <si>
    <t>[부엉이돈가스] 더티 치즈 돈가스</t>
  </si>
  <si>
    <t>부엉이돈가스</t>
  </si>
  <si>
    <t>[LOTS OF LOVE] 한끼든든 친절한 미역국밥 (리뉴얼)</t>
  </si>
  <si>
    <t>김이가 올바른 구운 곱창돌김, 3g, 1개입, 15개 9,490원 (10g당 2,109원) 내일(일) 새벽 도착 보장 5 (2643) 최대 475원 적립</t>
  </si>
  <si>
    <t>김이가</t>
  </si>
  <si>
    <t>[소소미담] 블루베리청 1kg</t>
  </si>
  <si>
    <t>블루베리청</t>
  </si>
  <si>
    <t>[브레밀] 핫도그용빵 2종 (택1)</t>
  </si>
  <si>
    <t>핫도그 빵</t>
  </si>
  <si>
    <t>브레밀</t>
  </si>
  <si>
    <t>가농 1+등급란으로 만든 오메가 구운란, 20구, 1개 2%12,900원 12,600원 (1구당 630원) 내일(일) 새벽 도착 보장 5 (64701) 최대 630원 적립</t>
  </si>
  <si>
    <t>[김호윤키친] 더이탈리안클럽 안심 큐브스테이크</t>
  </si>
  <si>
    <t>김호윤키친</t>
  </si>
  <si>
    <t>[무르젤라] 이탈리아 부라타 치즈 120g (냉동)</t>
  </si>
  <si>
    <t>무르젤라</t>
  </si>
  <si>
    <t>[맘마밀] 안심이유식 퓨레 6개월 3종 (택1)</t>
  </si>
  <si>
    <t>[ORGA] 모닝빵 (26g X 8개입)</t>
  </si>
  <si>
    <t>[수미과] 조각 수박 400g</t>
  </si>
  <si>
    <t>수미과</t>
  </si>
  <si>
    <t>앵커 슬라이스 온 슬라이스 체다치즈 80매입, 960g, 1개입, 1개 12,250원 (10g당 128원) 내일(일) 새벽 도착 보장 4.5 (16610) 최대 613원 적립</t>
  </si>
  <si>
    <t>[바른생선] 절단 낙지 400g (냉동)</t>
  </si>
  <si>
    <t>바른생선</t>
  </si>
  <si>
    <t>무항생제 1등급 한돈 다짐육 2종</t>
  </si>
  <si>
    <t>돼지 다짐육</t>
  </si>
  <si>
    <t>비비고 고단백 순살 고등어구이, 60g, 1개 25%5,980원 4,480원 (100g당 7,467원) 내일(일) 새벽 도착 보장 5 (38506) 최대 224원 적립</t>
  </si>
  <si>
    <t>[선물세트] 예천에서 온 은풍준시 곶감 30입</t>
  </si>
  <si>
    <t>유기농 씻어나온 현미, 4kg, 1통 21,900원 (100g당 548원) 내일(일) 새벽 도착 보장 5 (18829) 최대 1,095원 적립</t>
  </si>
  <si>
    <t>[와인앤모어픽업]까테나 자파타 안젤리카 자파타 메를로 ((와인))</t>
  </si>
  <si>
    <t>[우리농] 유기농 우리밀 밀가루 600g</t>
  </si>
  <si>
    <t>짜파게티 만능소스, 280g, 1개 22%4,728원 3,680원 (100g당 1,314원) 내일(일) 도착 보장 5 (9502) 최대 184원 적립</t>
  </si>
  <si>
    <t>짜파게티 소스</t>
  </si>
  <si>
    <t>짜파게티</t>
  </si>
  <si>
    <t>[수미과] 화채용 조각 수박 600g</t>
  </si>
  <si>
    <t>[선물세트] 남도우애 무항생제 1++ 한우 프리미엄 구이세트 1호 (예약일 수령)</t>
  </si>
  <si>
    <t>모둠 소고기</t>
  </si>
  <si>
    <t>한끼통살 닭가슴살 볼 5종 x 2개 믹스세트 (냉동), 100g, 1개입, 20개 30,840원 (100g당 1,542원) 내일(일) 새벽 도착 보장 5 (4550) 최대 1,542원 적립</t>
  </si>
  <si>
    <t>코다노옛날돈까스 소스, 2kg, 1개 쿠폰할인8%9,070원 8,300원 (100g당 415원) 내일(일) 새벽 도착 보장 5 (4480) 최대 415원 적립</t>
  </si>
  <si>
    <t>코다노옛날돈까스</t>
  </si>
  <si>
    <t>[순수식품] 배도라지청 스틱 1박스(30포) (단일옵션)</t>
  </si>
  <si>
    <t>순수식품</t>
  </si>
  <si>
    <t>갯마을 남해안 가열조리용 봉지굴 (냉장), 280g, 1개 15%7,900원 6,680원 (100g당 2,386원) 내일(일) 새벽 도착 보장 4.5 (14465) 최대 291원 적립</t>
  </si>
  <si>
    <t>갯마을</t>
  </si>
  <si>
    <t>[KF365] 냉장 손질 오징어 2종 (택1)</t>
  </si>
  <si>
    <t>[브로드카세] 부드러운 비엔나 쿠키 5종 (택1)</t>
  </si>
  <si>
    <t>[폴스] 호주산 우유 (250mL X 24개)</t>
  </si>
  <si>
    <t>[범산목장] 유기농 우유(200mL X 4개)</t>
  </si>
  <si>
    <t>[안국건강] 안심 칼슘마그네슘디 90정 (30일분)</t>
  </si>
  <si>
    <t>[미트엔조이] 호주산 목초 안심 스테이크 200g (냉장)</t>
  </si>
  <si>
    <t>[석관동 떡볶이] 석관동 모듬튀김</t>
  </si>
  <si>
    <t>크라운 참쌀설병, 270g, 2개 39%10,800원 6,560원 (10g당 121원) 내일(일) 도착 보장 5 (51862) 최대 328원 적립</t>
  </si>
  <si>
    <t>쌀과자</t>
  </si>
  <si>
    <t>마당발 애호박 (냉동), 1kg, 1개 5,130원 (100g당 513원) 내일(일) 새벽 도착 보장 4.5 (1980) 최대 256원 적립</t>
  </si>
  <si>
    <t>마당발</t>
  </si>
  <si>
    <t>삼립 더블치즈 후레쉬팡, 98g, 1개입, 1개 1,400원 (10g당 143원) 내일(일) 새벽 도착 보장 5 (8730) 최대 70원 적립</t>
  </si>
  <si>
    <t>티오피 마스터 라떼 커피음료, 380ml, 24개 28,850원 (100ml당 316원) 내일(일) 도착 보장 5 (46002) 최대 1,443원 적립</t>
  </si>
  <si>
    <t>티오피</t>
  </si>
  <si>
    <t>[스미후루] 감숙왕 바나나 2종</t>
  </si>
  <si>
    <t>스미후루</t>
  </si>
  <si>
    <t>[KF365] 기장 미역 80g</t>
  </si>
  <si>
    <t>몬타스코 히말라야 굵은 핑크소금, 500g, 1개 6,070원 (100g당 1,214원) 내일(일) 도착 보장 5 (4710) 최대 304원 적립</t>
  </si>
  <si>
    <t>몬타스코</t>
  </si>
  <si>
    <t>[카사노바] 모데나산 화이트 발사믹 콘디멘토 250mL (6트라바시)</t>
  </si>
  <si>
    <t>화이트 발사믹 식초</t>
  </si>
  <si>
    <t>카사노바</t>
  </si>
  <si>
    <t>[제로베이커리] 브라우니 (55g X 2개입)</t>
  </si>
  <si>
    <t>[풀무원] 부산어묵 2종</t>
  </si>
  <si>
    <t>[비비고] 잡채</t>
  </si>
  <si>
    <t>대림선 부산어묵 얇은사각 6장, 240g, 1개 1,590원 (100g당 663원) 내일(일) 새벽 도착 보장 5 (12428) 최대 80원 적립</t>
  </si>
  <si>
    <t>하림 포켓몬 피카츄 돈까스 (냉동), 1개, 500g 18%10,480원 8,590원 (100g당 1,718원) 내일(일) 새벽 도착 보장 5 (11856) 최대 430원 적립</t>
  </si>
  <si>
    <t>피카츄 돈까스</t>
  </si>
  <si>
    <t>[풀무원] 국산콩 생청국장 190g</t>
  </si>
  <si>
    <t>오뚜기 오쉐프 진한라면 스프, 285g, 1개 3,650원 (100g당 1,281원) 내일(일) 도착 보장 4.5 (32546) 최대 183원 적립</t>
  </si>
  <si>
    <t>라면스프</t>
  </si>
  <si>
    <t>동화양봉 사양 벌꿀, 500g, 1개 37%9,900원 6,200원 (100g당 1,240원) 내일(일) 도착 보장 5 (800) 최대 310원 적립</t>
  </si>
  <si>
    <t>동화양봉</t>
  </si>
  <si>
    <t>상하목장 우유 저지방, 750ml, 2개 10,560원 (100ml당 704원) 내일(일) 새벽 도착 보장 5 (16967) 최대 528원 적립</t>
  </si>
  <si>
    <t>[롯데] 가나 프리미엄 트리플 베리 쉘 초콜릿 68g</t>
  </si>
  <si>
    <t>웰그레인 적두 팥, 2kg, 1개 5%12,600원 11,900원 (100g당 595원) 내일(일) 도착 보장 4.5 (998) 최대 595원 적립</t>
  </si>
  <si>
    <t>웰그레인</t>
  </si>
  <si>
    <t>호법농협 2025년 햅쌀 임금님표이천쌀 상등급, 10kg, 1개, 상 43,900원 (100g당 439원) 내일(일) 도착 보장 4.5 (64042) 최대 2,195원 적립</t>
  </si>
  <si>
    <t>햇님마을 국산 깨가 쏟아지는 우리집 볶음참깨, 200g, 1개 12%16,000원 13,990원 (100g당 6,995원) 내일(일) 도착 보장 5 (18898) 최대 700원 적립</t>
  </si>
  <si>
    <t>[노티드] 크림 도넛 3개 세트 7종 (택1)</t>
  </si>
  <si>
    <t>[치즈문] 크림치즈 200g 3종 (택1)</t>
  </si>
  <si>
    <t>[모두의맛집] 정지선 셰프 마라 마파두부 덮밥</t>
  </si>
  <si>
    <t>[스미후루] 감숙왕 파인애플 1.1kg (1통)</t>
  </si>
  <si>
    <t>바른식 간편한 청국장 찌개 2인분, 770g, 1개 9,900원 (100g당 1,286원) 내일(일) 새벽 도착 보장 5 (2293) 최대 495원 적립</t>
  </si>
  <si>
    <t>바른식</t>
  </si>
  <si>
    <t>비비수산 제주 손질 은갈치 3마리 (냉동), 520g(중), 1팩 할인8%11,930원 10,930원 (100g당 2,102원) 내일(일) 새벽 도착 보장 4.5 (7616) 최대 546원 적립</t>
  </si>
  <si>
    <t>비비수산</t>
  </si>
  <si>
    <t>[스미후루] 감숙왕 허니팟 파인애플 1.2kg (1통)</t>
  </si>
  <si>
    <t>[선물세트] 워커힐 명월관 갈비탕 세트 (4개입)</t>
  </si>
  <si>
    <t>상하농원 무항생제 1+등급 대란, 15구, 1개 8,320원 (1구당 555원) 내일(일) 새벽 도착 보장 5 (22977) 최대 416원 적립</t>
  </si>
  <si>
    <t>[디 바르베로] 핑크 틴케이스 믹스 초콜릿 105g</t>
  </si>
  <si>
    <t>[자연다움] 간편하고 든든하게 고구마스틱 10개입 박스</t>
  </si>
  <si>
    <t>자연다움</t>
  </si>
  <si>
    <t>[오뚜기] 1/2 하프 마요네즈 2종 (택1)</t>
  </si>
  <si>
    <t>사조참치 안심따개 살코기, 85g, 20개 49%44,950원 22,910원 (10g당 135원) 내일(일) 도착 보장 5 (194170) 최대 1,145원 적립</t>
  </si>
  <si>
    <t>[창화당] 모둠만두</t>
  </si>
  <si>
    <t>몽베스트 위드어스 무라벨 생수, 330ml, 40개 10,000원 (100ml당 76원) 내일(일) 도착 보장 5 (167581) 최대 500원 적립</t>
  </si>
  <si>
    <t>[베지밀] 담백한 A 두유 (190mL X 24개)</t>
  </si>
  <si>
    <t>[남양] 불가리스 위쎈 요구르트 (150mL X 8개)</t>
  </si>
  <si>
    <t>[스미후루] 감숙왕 허니팟 파인애플 2.2kg 내외</t>
  </si>
  <si>
    <t>[백설] 프락토 올리고당 700g</t>
  </si>
  <si>
    <t>[스미후루] 순 유기농 바나나 2종</t>
  </si>
  <si>
    <t>오뚜기 옛날 구수한 누룽지 컵형, 60g, 6개 9,840원 (100g당 2,733원) 내일(일) 도착 보장 5 (23095) 최대 492원 적립</t>
  </si>
  <si>
    <t>[스미후루] 풍미왕 바나나 1.2kg내외</t>
  </si>
  <si>
    <t>[굴리엘미] 모노컬티바 코라티나 엑스트라버진 올리브오일 500mL</t>
  </si>
  <si>
    <t>굴리엘미</t>
  </si>
  <si>
    <t>국산 기름제로 현미칩, 60g, 5개 8,840원 (10g당 295원) 내일(일) 도착 보장 4.5 (24305) 최대 442원 적립</t>
  </si>
  <si>
    <t>[CU 픽업] 아사히생맥주캔 24입</t>
  </si>
  <si>
    <t>아사히</t>
  </si>
  <si>
    <t>[동원] 그릴리 블랙퍼스트 소시지 240g*2입</t>
  </si>
  <si>
    <t>[상하목장] 아이스크림 미니컵 3종 (택1)</t>
  </si>
  <si>
    <t>[Kurly's] 데일리 그래놀라 3종 (택1)</t>
  </si>
  <si>
    <t>반찬단지 알마늘 절임, 1kg, 1개 5,850원 (10g당 59원) 내일(일) 새벽 도착 보장 4.5 (13722) 최대 293원 적립</t>
  </si>
  <si>
    <t>마늘 절임</t>
  </si>
  <si>
    <t>사조참치 살코기 안심따개, 150g, 12개 18,990원 (10g당 106원) 내일(일) 도착 보장 5 (194170) 최대 950원 적립</t>
  </si>
  <si>
    <t>[브레드타임] 콘치즈빵 85g</t>
  </si>
  <si>
    <t>브레드타임</t>
  </si>
  <si>
    <t>오뚜기 멸치장국, 360ml, 2개 5,750원 (10ml당 80원) 내일(일) 도착 보장 5 (1239) 최대 288원 적립</t>
  </si>
  <si>
    <t>무항생제 1등급 한돈 수육용 600g 4종 (냉장)</t>
  </si>
  <si>
    <t>수육용 돼지고기</t>
  </si>
  <si>
    <t>[선물세트] 박준우의 오쁘띠베르 초코타르트 세트 (2개입)</t>
  </si>
  <si>
    <t>[차려낸] 오모가리 한돈김치찌개</t>
  </si>
  <si>
    <t>[돌아와요부산어묵] 모듬 어묵</t>
  </si>
  <si>
    <t>돌아와요부산어묵</t>
  </si>
  <si>
    <t>[KF365] 브로콜리 1입 (250g)</t>
  </si>
  <si>
    <t>곰곰 아삭한 콩나물, 500g, 2봉 2,130원 (100g당 213원) 내일(일) 새벽 도착 보장 5 (563801) 최대 106원 적립</t>
  </si>
  <si>
    <t>곰곰 실속 밀 떡볶이떡, 1kg, 1개 3,880원 (100g당 388원) 내일(일) 새벽 도착 보장 5 (4643) 최대 194원 적립</t>
  </si>
  <si>
    <t>[ardo] 냉동 컷그린빈 400g</t>
  </si>
  <si>
    <t>그린빈</t>
  </si>
  <si>
    <t>[Project H] 제로 레몬 파운드 케이크 285g</t>
  </si>
  <si>
    <t>[진가네반찬] 계란장조림</t>
  </si>
  <si>
    <t>계란장조림</t>
  </si>
  <si>
    <t>[바름팜] 친환경 조각 브로콜리 150g</t>
  </si>
  <si>
    <t>농협 2025년 햅쌀 임금님표 이천쌀, 특등급, 4kg, 1개 22,780원 (100g당 570원) 내일(일) 새벽 도착 보장 5 (712) 최대 1,139원 적립</t>
  </si>
  <si>
    <t>[피코크] 순희네 빈대떡</t>
  </si>
  <si>
    <t>한음미가 2025년산 햅쌀 우리쌀 백미, 상등급, 1kg, 1개 4,580원 (100g당 458원) 내일(일) 새벽 도착 보장 5 (200) 최대 229원 적립</t>
  </si>
  <si>
    <t>[델리치오] 호주산 목초육 안심 구이용 250g</t>
  </si>
  <si>
    <t>다농원 유자차, 2kg, 1개입, 1개 11,900원 (10g당 60원) 내일(일) 도착 보장 4.5 (14508) 최대 595원 적립</t>
  </si>
  <si>
    <t>다농원</t>
  </si>
  <si>
    <t>[임실치즈마을] 프로바이오요거트 3종 (120mL X 3개) (택1)</t>
  </si>
  <si>
    <t>[브리에뜨] 독일 브리 치즈 4종 (택1)</t>
  </si>
  <si>
    <t>브리에뜨</t>
  </si>
  <si>
    <t>[CU 픽업] 코마사 호지차</t>
  </si>
  <si>
    <t>하림 닭가슴살 (냉장), 1개, 1kg 8,800원 (100g당 880원) 내일(일) 새벽 도착 보장 5 (1049) 최대 440원 적립</t>
  </si>
  <si>
    <t>[프레지덩] 포션 버터 가염 (10g X 20입)</t>
  </si>
  <si>
    <t>가염버터</t>
  </si>
  <si>
    <t>몽고식품 가마솥에 누룽지, 1kg, 1개 26%7,500원 5,550원 (100g당 555원) 내일(일) 도착 보장 4.5 (2564) 최대 278원 적립</t>
  </si>
  <si>
    <t>[농심] 오징어집 260g (지퍼백)</t>
  </si>
  <si>
    <t>오징어집</t>
  </si>
  <si>
    <t>복음자리 생강 앤 레몬차, 500g, 1개입, 1개 16%7,280원 6,050원 (10g당 121원) 내일(일) 도착 보장 4.5 (3004) 최대 303원 적립</t>
  </si>
  <si>
    <t>레몬차</t>
  </si>
  <si>
    <t>목우촌 국내산 소고기 불고기용 (냉장), 300g, 2개 35%39,980원 25,700원 (100g당 4,283원) 내일(일) 새벽 도착 보장 4.5 (8804) 최대 1,285원 적립</t>
  </si>
  <si>
    <t>[선물세트] 법성포참맛 프리미엄 굴비 오가세트 1.6kg</t>
  </si>
  <si>
    <t>[담터] 아이스티 복숭아 (14g X 80개)</t>
  </si>
  <si>
    <t>퀵쿠킹 유기가공식품 인증 완두콩 (냉동), 1개, 600g 7,650원 (100g당 1,275원) 내일(일) 새벽 도착 보장 5 (30) 최대 383원 적립</t>
  </si>
  <si>
    <t>퀵쿠킹</t>
  </si>
  <si>
    <t>비비카 구카 누가 필링 크래커, 400g, 1개 4,980원 (10g당 125원) 내일(일) 도착 보장 5 (6863) 최대 249원 적립</t>
  </si>
  <si>
    <t>비비카</t>
  </si>
  <si>
    <t>[진가네반찬] 우엉채조림</t>
  </si>
  <si>
    <t>[농협] 우리쌀 통가래떡 400g</t>
  </si>
  <si>
    <t>가래떡</t>
  </si>
  <si>
    <t>[그레인온] 골드카무트효소 선물세트 90포</t>
  </si>
  <si>
    <t>바로 데워먹는 고구마 야채찜 1kg</t>
  </si>
  <si>
    <t>다하다 국산 여주차, 1g, 100개입, 1개 9,900원 (10g당 990원) 내일(일) 도착 보장 5 (374) 최대 495원 적립</t>
  </si>
  <si>
    <t>여주차</t>
  </si>
  <si>
    <t>[퀵쿠킹] 유기농 그린빈 600g (냉동)</t>
  </si>
  <si>
    <t>[프로즌소르베] 미니 과일 아이스크림 75g 5종</t>
  </si>
  <si>
    <t>프로즌소르베</t>
  </si>
  <si>
    <t>[맥파이앤타이거] 티백 3종 (택1)</t>
  </si>
  <si>
    <t>뉴트리오코 초콜릿맛 웨이퍼, 12g, 30개 29%7,800원 5,500원 (10g당 153원) 내일(일) 도착 보장 5 (9849) 최대 275원 적립</t>
  </si>
  <si>
    <t>웨이퍼</t>
  </si>
  <si>
    <t>뉴트리오코</t>
  </si>
  <si>
    <t>[덴마크] 떠먹는 요거트 플레인 450g</t>
  </si>
  <si>
    <t>[샐러드판다] 쉬라즈 샐러드 3종</t>
  </si>
  <si>
    <t>쉬라즈 샐러드</t>
  </si>
  <si>
    <t>[선물세트] 법성포참맛 프리미엄 굴비 오가세트 1.2kg (예약일 수령)</t>
  </si>
  <si>
    <t>[델리치오] 호주산 유기농 소고기 육전/샤브용 200g</t>
  </si>
  <si>
    <t>[선물세트] 인기 명란 선물세트 7종 (택1)</t>
  </si>
  <si>
    <t>[썬뷰] 점보 건포도 믹스 142g</t>
  </si>
  <si>
    <t>썬뷰</t>
  </si>
  <si>
    <t>곰곰 김말이 (냉동), 400g, 1개 3,860원 (100g당 965원) 내일(일) 새벽 도착 보장 4.5 (46693) 최대 193원 적립</t>
  </si>
  <si>
    <t>곰곰 1+등급 무항생제 특란, 20구, 1개 7,380원 (1구당 369원) 내일(일) 새벽 도착 보장 5 (64938) 최대 369원 적립</t>
  </si>
  <si>
    <t>[풀무원] 로스팅 꽃게탕면 4입</t>
  </si>
  <si>
    <t>로스팅 꽃게탕면</t>
  </si>
  <si>
    <t>친환경 깻잎 100g</t>
  </si>
  <si>
    <t>해표 카놀라유, 900ml, 2개 57%19,800원 8,500원 (100ml당 472원) 내일(일) 새벽 도착 보장 5 (9418) 최대 425원 적립</t>
  </si>
  <si>
    <t>[위니비니] 젤리백 2종 (핑크퐁, 아기상어)</t>
  </si>
  <si>
    <t>[루솔] 굿케어키즈 비타튼튼젤리 20포</t>
  </si>
  <si>
    <t>TBK 만능장아찌간장소스, 1.5L, 1개 12%8,590원 7,480원 (100ml당 499원) 내일(일) 도착 보장 5 (31969) 최대 355원 적립</t>
  </si>
  <si>
    <t>TBK</t>
  </si>
  <si>
    <t>강릉초당두부 초당두부, 340g, 2개 5,900원 (100g당 868원) 내일(일) 새벽 도착 보장 5 (49) 최대 295원 적립</t>
  </si>
  <si>
    <t>강릉초당두부</t>
  </si>
  <si>
    <t>[이목] 국내산 소고기 대패 등심 구이 300g (냉동)</t>
  </si>
  <si>
    <t>바른곡물 압맥 부드럽게 눌린 국산 보리쌀, 800g, 1개 19%7,400원 5,990원 (100g당 749원) 내일(일) 도착 보장 5 (1983) 최대 300원 적립</t>
  </si>
  <si>
    <t>보리쌀</t>
  </si>
  <si>
    <t>[아그리폼] 파르미지아노 레지아노 스프레더블 치즈 140g</t>
  </si>
  <si>
    <t>파르미지아노 레지아노</t>
  </si>
  <si>
    <t>아그리폼</t>
  </si>
  <si>
    <t>[보물섬] 라면용 꼬마전복 200g (냉동)</t>
  </si>
  <si>
    <t>[아코로얄] 로얄젤리 구미 60개입</t>
  </si>
  <si>
    <t>아코로얄</t>
  </si>
  <si>
    <t>율무 500g</t>
  </si>
  <si>
    <t>율무</t>
  </si>
  <si>
    <t>[조지아] 커피 4종 (470mL X 6입) (택1)</t>
  </si>
  <si>
    <t>[CU 픽업] 1800 아네호</t>
  </si>
  <si>
    <t>데낄라</t>
  </si>
  <si>
    <t>[르갈] 브르타뉴 버터 250g 2종 (택1)</t>
  </si>
  <si>
    <t>르갈</t>
  </si>
  <si>
    <t>[친정갈비] LA 꽃갈비 800g (냉동)</t>
  </si>
  <si>
    <t>친정갈비</t>
  </si>
  <si>
    <t>[KF365] IQF 닭가슴살 (냉동) 2kg</t>
  </si>
  <si>
    <t>복음자리 바로 짜먹는 딸기잼, 100g, 3개 96%178,560원 6,640원 (100g당 2,213원) 내일(일) 도착 보장 5 (2678) 최대 332원 적립</t>
  </si>
  <si>
    <t>[순수식품] 상쾌쾌변 차전자피 식이섬유 1박스(30포) (단일옵션)</t>
  </si>
  <si>
    <t>[썬키스트] 만다린 1kg [품종 : 탱고]</t>
  </si>
  <si>
    <t>곰곰 무항생제 신선한 대란, 60구, 1개 15,990원 (1구당 267원) 내일(일) 새벽 도착 보장 5 (451683) 최대 800원 적립</t>
  </si>
  <si>
    <t>[씨투게더] 금일도 자른 다시마 200g</t>
  </si>
  <si>
    <t>씨투게더</t>
  </si>
  <si>
    <t>[아몬드브리즈] 아몬드 음료 4종 (190mL X 6개)</t>
  </si>
  <si>
    <t>아몬드유</t>
  </si>
  <si>
    <t>[하겐다즈] 파인트 유러피안 디저트 아이스크림 403mL 4종 (택1)</t>
  </si>
  <si>
    <t>[백설] 흑설탕 1kg</t>
  </si>
  <si>
    <t>[KF365] 대추방울토마토 750g</t>
  </si>
  <si>
    <t>[아이농] 무농약 제주 레몬 450g</t>
  </si>
  <si>
    <t>레몬</t>
  </si>
  <si>
    <t>아이농</t>
  </si>
  <si>
    <t>[이담] 산양우유 프로틴플러스 750ml</t>
  </si>
  <si>
    <t>이담</t>
  </si>
  <si>
    <t>[CU 픽업] 조니워커블랙1L</t>
  </si>
  <si>
    <t>[나폴레옹] 모닝롤 2종 (택1)</t>
  </si>
  <si>
    <t>[아이농] 유기농 바나나 500g</t>
  </si>
  <si>
    <t>[담터] 자판기우유맛 한잔 (22g X 10개)</t>
  </si>
  <si>
    <t>자판기 우유</t>
  </si>
  <si>
    <t>[아이농] 유기농 신고배 1.4kg (2~3입)</t>
  </si>
  <si>
    <t>믈레코비타 1.5% 저지방 멸균우유, 1L, 12개 19,500원 (100ml당 163원) 내일(일) 도착 보장 5 (314) 최대 975원 적립</t>
  </si>
  <si>
    <t>믈레코비타</t>
  </si>
  <si>
    <t>[해피카우] 오스트리아 포션 치즈 3종 (140g X 8입)</t>
  </si>
  <si>
    <t>해피카우</t>
  </si>
  <si>
    <t>투데이넛 너트한줌 치즈퀴노아 믹스넛, 20g, 30개 10%22,200원 19,900원 (100g당 3,317원) 내일(일) 도착 보장 4.5 (8674) 최대 945원 적립</t>
  </si>
  <si>
    <t>투데이넛</t>
  </si>
  <si>
    <t>곰곰 신선한 1A 우유, 2.3L, 1개 4,780원 (100ml당 208원) 내일(일) 새벽 도착 보장 5 (352620) 최대 239원 적립</t>
  </si>
  <si>
    <t>[고래사] 인기 국탕용 &amp; 간식용 어묵 세트 (냉장) (예약일 수령)</t>
  </si>
  <si>
    <t>[기뜬정] 수제 오란다 제주 세트 (20g X 12개)</t>
  </si>
  <si>
    <t>유기농 이탈리안 파슬리 15g</t>
  </si>
  <si>
    <t>[영준목장] 스트링 치즈</t>
  </si>
  <si>
    <t>[청정원] 홍초 블루베리 900ml</t>
  </si>
  <si>
    <t>블루베리 홍초</t>
  </si>
  <si>
    <t>[쿠엔즈버킷] 국산 참기름 100mL (저온압착)</t>
  </si>
  <si>
    <t>해표 더 고소한자반 김돌자반, 300g, 2개 32%19,960원 13,460원 (10g당 224원) 내일(일) 도착 보장 5 (56) 최대 673원 적립</t>
  </si>
  <si>
    <t>김자반</t>
  </si>
  <si>
    <t>[루앙] 대만 샌드위치(2개입) 3종</t>
  </si>
  <si>
    <t>루앙</t>
  </si>
  <si>
    <t>[파스퇴르] 저온살균 흰우유 2300mL</t>
  </si>
  <si>
    <t>[오마뎅] 모듬튀김 340g</t>
  </si>
  <si>
    <t>남양유업 스테비아 요구르트, 65ml, 16개입, 1개 2,980원 (10ml당 29원) 내일(일) 새벽 도착 보장 5 (5660) 최대 149원 적립</t>
  </si>
  <si>
    <t>[진실된손맛] 한우사골 양지곰탕</t>
  </si>
  <si>
    <t>[가농바이오] 브레드이발소 구운란 20구</t>
  </si>
  <si>
    <t>[올가] 유기농 발아 블랙보리차 500g</t>
  </si>
  <si>
    <t>우영식품 아따꼬씨네 들깨가루, 1kg, 1개 8,900원 (100g당 890원) 내일(일) 도착 보장 5 (792) 최대 445원 적립</t>
  </si>
  <si>
    <t>우영식품</t>
  </si>
  <si>
    <t>[콜린스 다이닝] 전복솥밥 키트</t>
  </si>
  <si>
    <t>대만 누가크래커 대용량 32개입 448g</t>
  </si>
  <si>
    <t>도드람한돈 1등급 안심 장조림용 (냉장), 500g, 1개 9,240원 (100g당 1,848원) 내일(일) 새벽 도착 보장 5 (2016) 최대 462원 적립</t>
  </si>
  <si>
    <t>농심 짜파게티 큰사발면, 16개 15,120원 (1개당 945원) 내일(일) 도착 보장 5 (32206) 최대 756원 적립</t>
  </si>
  <si>
    <t>[성진] 국내산 100% 찹쌀가루</t>
  </si>
  <si>
    <t>성진</t>
  </si>
  <si>
    <t>[네이쳐패스] 러브크런치 다크초콜릿 앤  코코넛 325g</t>
  </si>
  <si>
    <t>네이쳐패스</t>
  </si>
  <si>
    <t>[종가] 전라도포기김치 900g</t>
  </si>
  <si>
    <t>[엘카페] 드립 인스턴트 커피 솔루블 30g 3종 (택1)</t>
  </si>
  <si>
    <t>엘카페</t>
  </si>
  <si>
    <t>[바름팜] 유기농 깐마늘 200g</t>
  </si>
  <si>
    <t>[선물세트] 사미헌 갈비찜 세트(전통&amp;매운)(3개입)</t>
  </si>
  <si>
    <t>[발로나] 초콜릿 바 3종 (택1)</t>
  </si>
  <si>
    <t>발로나</t>
  </si>
  <si>
    <t>[슈퍼키친] 베이컨까르보나라</t>
  </si>
  <si>
    <t>[Kurly's] 1++ 한우 국거리 250g (냉장)</t>
  </si>
  <si>
    <t>당도선별 못난이 사과, 3kg(중과), 1개 21,290원 (100g당 710원) 내일(일) 새벽 도착 보장 4 (18633) 최대 1,065원 적립</t>
  </si>
  <si>
    <t>사과</t>
  </si>
  <si>
    <t>백설 프락토 올리고당, 1.2kg, 1개 39%6,480원 3,930원 (100g당 328원) 내일(일) 새벽 도착 보장 5 (2159) 최대 196원 적립</t>
  </si>
  <si>
    <t>[KF365] 가지 2입</t>
  </si>
  <si>
    <t>[종가] 깍두기 500g</t>
  </si>
  <si>
    <t>타야스 오리엔트 트러플 초콜릿, 1kg, 1개 26%10,000원 7,400원 (10g당 74원) 2/10(화) 도착 예정 4.5 (10603) 최대 370원 적립</t>
  </si>
  <si>
    <t>[KF365] 노르웨이 생연어 스테이크 200g (냉장)</t>
  </si>
  <si>
    <t>곰곰 맥반석 구운란, 15구, 1개 7,370원 (1구당 491원) 내일(일) 새벽 도착 보장 4.5 (143690) 최대 369원 적립</t>
  </si>
  <si>
    <t>[아이농] 친환경 국산 그린키위 800g</t>
  </si>
  <si>
    <t>[선물세트] 조선호텔 LA갈비 세트3kg (예약일 수령)</t>
  </si>
  <si>
    <t>[Kurly's] 동물복지 구운란 20구</t>
  </si>
  <si>
    <t>[청정원] 츄앤리얼 군밤츄 80g</t>
  </si>
  <si>
    <t>[CU 픽업] 하쿠시카 토쿠베츠 혼죠조</t>
  </si>
  <si>
    <t>[지리산처럼] 행복한 정은씨의 거피한 생들깨가루 150g</t>
  </si>
  <si>
    <t>푸디 흑후추 그라인더, 50g, 1개 5,000원 (10g당 1,000원) 내일(일) 새벽 도착 보장 5 (163) 최대 250원 적립</t>
  </si>
  <si>
    <t>푸디</t>
  </si>
  <si>
    <t>[안단잼] 저당 망고 스프레드 200g</t>
  </si>
  <si>
    <t>망고 스프레드</t>
  </si>
  <si>
    <t>[알랭밀리아] 오렌지잼 300g</t>
  </si>
  <si>
    <t>오렌지잼</t>
  </si>
  <si>
    <t>곰곰 호주산 양지 샤브용 (냉동), 500g, 1개 24%14,990원 11,390원 (100g당 2,278원) 내일(일) 새벽 도착 보장 4.5 (4073) 최대 570원 적립</t>
  </si>
  <si>
    <t>그릭데이 플레인 요거트 오리지널, 1.8L, 2개 15,960원 내일(일) 새벽 도착 보장 5 (20157) 최대 798원 적립</t>
  </si>
  <si>
    <t>모아미트 보리먹인 삼겹 항정살 반반팩 (냉장), 1kg, 1개 18%29,200원 23,900원 (100g당 2,390원) 내일(일) 새벽 도착 보장 5 (8756) 최대 1,195원 적립</t>
  </si>
  <si>
    <t>이디야 스페셜 골드블렌드 리치크레마 커피믹스, 11g, 170개입, 1개 24,350원 (10g당 130원) 내일(일) 새벽 도착 보장 5 (4232) 최대 1,218원 적립</t>
  </si>
  <si>
    <t>[이디야] 라떼 30개입 3종 (택1)</t>
  </si>
  <si>
    <t>[CU 픽업] 텐손 코우린</t>
  </si>
  <si>
    <t>고구마 소주</t>
  </si>
  <si>
    <t>이어수산 볶음용 멸치 (냉동), 300g, 1개 9,300원 (100g당 3,100원) 내일(일) 새벽 도착 보장 5 (26379) 최대 465원 적립</t>
  </si>
  <si>
    <t>[사조대림] 부산어묵 마당놀이 600g</t>
  </si>
  <si>
    <t>곰곰 한돈 등심 카레용 (냉장), 600g, 1팩 24%14,190원 10,650원 (100g당 1,775원) 내일(일) 새벽 도착 보장 5 (36895) 최대 533원 적립</t>
  </si>
  <si>
    <t>[피자로빈슨] 베이컨 웨지 포테이토</t>
  </si>
  <si>
    <t>[파스퇴르] 바른목장 산양 프로틴 우유 750mL</t>
  </si>
  <si>
    <t>[알리안자] 아보카도 오일 500mL</t>
  </si>
  <si>
    <t>곰곰 5번 선별한 골드사과, 1개, 1.5kg(7~10입) 12,810원 (100g당 854원) 내일(일) 새벽 도착 보장 4.5 (376) 최대 640원 적립</t>
  </si>
  <si>
    <t>햇님마을 양념이 잘 어우러지는 국산 고춧가루 보통매운맛, 200g, 1개 21%13,900원 10,960원 (100g당 5,480원) 내일(일) 도착 보장 5 (20840) 최대 548원 적립</t>
  </si>
  <si>
    <t>[미트빌] 미국산 소고기 초이스 살치살300g (냉장)</t>
  </si>
  <si>
    <t>살치살</t>
  </si>
  <si>
    <t>[CU 픽업] 아카시시라우메우메슈</t>
  </si>
  <si>
    <t>[죠반니 레] 화이트 발사믹 콘디멘토 250mL</t>
  </si>
  <si>
    <t>죠반니 레</t>
  </si>
  <si>
    <t>[엔업] 파워젤 팔라티노스 청포도 (14포)</t>
  </si>
  <si>
    <t>곰곰 한입 돈까스 (냉동), 1kg, 1개 7,990원 (100g당 799원) 내일(일) 새벽 도착 보장 4.5 (36865) 최대 400원 적립</t>
  </si>
  <si>
    <t>[광천김] 이모카세 도시락김 4g X 12봉</t>
  </si>
  <si>
    <t>그린빈스 50g</t>
  </si>
  <si>
    <t>[카필라노] 마누카꿀 MGO 100+</t>
  </si>
  <si>
    <t>카필라노</t>
  </si>
  <si>
    <t>건국유업 딸기가 우유에 반했다쿠, 900ml, 2개 4,480원 (100ml당 249원) 내일(일) 새벽 도착 보장 5 (23100) 최대 224원 적립</t>
  </si>
  <si>
    <t>건국유업</t>
  </si>
  <si>
    <t>[테라로사] 초콜릿 케이크</t>
  </si>
  <si>
    <t>하이트진로 블랙보리 라이트 음료, 175ml, 30개 8,900원 (100ml당 170원) 내일(일) 도착 보장 새 상품, 반품-미개봉 (27) 최저6,700원 5 (4251) 최대 445원 적립</t>
  </si>
  <si>
    <t>[킨죠] 믹스 젤리 115g</t>
  </si>
  <si>
    <t>킨죠</t>
  </si>
  <si>
    <t>[창억] 흑임자인절미 (50g X 10개입)</t>
  </si>
  <si>
    <t>[발릴로] 프로벤잘레 엑스트라 버진 오일 500mL</t>
  </si>
  <si>
    <t>발릴로</t>
  </si>
  <si>
    <t>동원 올리브김 식탁 8p, 4g, 16개 27%8,990원 6,480원 (10g당 1,013원) 내일(일) 도착 보장 5 (11420) 최대 324원 적립</t>
  </si>
  <si>
    <t>[삼립] 딸기 생크림 카스텔라 (90g X 6개입)</t>
  </si>
  <si>
    <t>[존쿡델리미트] 잠봉뵈르 샌드위치 (2개입)</t>
  </si>
  <si>
    <t>존쿡델리미트</t>
  </si>
  <si>
    <t>연세두유 뼈를생각한 고칼슘두유 검은콩, 190ml, 48개 22,000원 (100ml당 241원) 내일(일) 도착 보장 5 (106514) 최대 1,100원 적립</t>
  </si>
  <si>
    <t>[더오담] 바로담은 달콤황도 복숭아 450g(국내산)</t>
  </si>
  <si>
    <t>황도</t>
  </si>
  <si>
    <t>백설 카놀라유, 500ml, 2개 44%11,000원 6,100원 (100ml당 610원) 내일(일) 도착 보장 5 (37796) 최대 305원 적립</t>
  </si>
  <si>
    <t>[청정원] 맛선생 구운대파 채소액 560g</t>
  </si>
  <si>
    <t>채소액</t>
  </si>
  <si>
    <t>[모니니] 엑스트라 버진 올리브 오일 500mL</t>
  </si>
  <si>
    <t>모니니</t>
  </si>
  <si>
    <t>CONA 마일드로스트 아메리카노 원두커피믹스, 0.9g, 150개입, 2개 25,420원 (10g당 941원) 내일(일) 도착 보장 4.5 (11890) 최대 1,271원 적립</t>
  </si>
  <si>
    <t>CONA</t>
  </si>
  <si>
    <t>[엔젯오리진] 에너지 비타민B-콤플렉스 청포도향 구미 (30일분)</t>
  </si>
  <si>
    <t>엔젯오리진</t>
  </si>
  <si>
    <t>[CU 픽업] 단즈카커런트보드카</t>
  </si>
  <si>
    <t>단즈카</t>
  </si>
  <si>
    <t>생생포크 한돈 무항생제 인증 앞다리 불고기 (냉장), 500g, 1팩 32%15,110원 10,160원 (100g당 2,032원) 내일(일) 새벽 도착 보장 4.5 (3292) 최대 508원 적립</t>
  </si>
  <si>
    <t>[비비고] 파김치 800g</t>
  </si>
  <si>
    <t>진도 생톳 120g (냉장)</t>
  </si>
  <si>
    <t>톳</t>
  </si>
  <si>
    <t>[풀무원] 야채 꼬마김밥 KIT</t>
  </si>
  <si>
    <t>[다미원] 영광 백굴비 3종 (2미) (냉동)</t>
  </si>
  <si>
    <t>백굴비</t>
  </si>
  <si>
    <t>오븐에 구운 고구마 말랭이 150g</t>
  </si>
  <si>
    <t>고구마 말랭이</t>
  </si>
  <si>
    <t>오뚜기옛날 참기름, 450ml, 1개 19%6,980원 5,590원 (10ml당 124원) 내일(일) 새벽 도착 보장 5 (10933) 최대 280원 적립</t>
  </si>
  <si>
    <t>[오리온] 눈을 감자 뿌먹찍먹 220g</t>
  </si>
  <si>
    <t>[담터] 모과 도라지차 플러스 (15g X 40개)</t>
  </si>
  <si>
    <t>[하트티라미수] 티라미수 6종 (택1)</t>
  </si>
  <si>
    <t>하트티라미수</t>
  </si>
  <si>
    <t>자연초 보리차, 1000g, 1개입, 1개 7,900원 (10g당 79원) 내일(일) 도착 보장 4.5 (6683) 최대 395원 적립</t>
  </si>
  <si>
    <t>[골라담기] 아이스크림 4개입 2종(택1) (오레오/킷캣)</t>
  </si>
  <si>
    <t>[스미스티] No.24 빅 히비스커스 허브차 (2.73g X 15개)</t>
  </si>
  <si>
    <t>히비스커스차</t>
  </si>
  <si>
    <t>스미스티</t>
  </si>
  <si>
    <t>오뚜기 핫케이크 믹스, 1kg, 1개 7%5,680원 5,250원 (100g당 525원) 내일(일) 새벽 도착 보장 5 (3739) 최대 263원 적립</t>
  </si>
  <si>
    <t>핫케이크 믹스</t>
  </si>
  <si>
    <t>[하이포크] 무항생제 한돈 삼겹살 구이용 300g (냉장)</t>
  </si>
  <si>
    <t>[칸나멜라] 소금 그라인더 2종</t>
  </si>
  <si>
    <t>칸나멜라</t>
  </si>
  <si>
    <t>[예찬원] 배추된장국 (블럭국)</t>
  </si>
  <si>
    <t>[풀무원] 소가 단단한 부침두부 300g</t>
  </si>
  <si>
    <t>[드로게리아] 페퍼론치노밀 (그라인더)</t>
  </si>
  <si>
    <t>페퍼론치노</t>
  </si>
  <si>
    <t>[경복궁 BLACK] 영양갈비탕</t>
  </si>
  <si>
    <t>빙그레 요맘때바 블루베리 (냉동), 8개, 1개입, 70ml 4,800원 (10ml당 86원) 내일(일) 새벽 도착 보장 5 (2232) 최대 240원 적립</t>
  </si>
  <si>
    <t>국내산 당근 채, 200g, 3팩 6,950원 (100g당 1,158원) 내일(일) 새벽 도착 보장 5 (10962) 최대 348원 적립</t>
  </si>
  <si>
    <t>[소하동고방] 힘내요 연강정</t>
  </si>
  <si>
    <t>[도드람한돈] 미트공방 후랑크 소시지 300g</t>
  </si>
  <si>
    <t>청원생명농협 2025년 햅쌀 왕의밥상 백미, 상등급, 10kg, 1개 11%41,900원 36,900원 (100g당 369원) 내일(일) 도착 보장 5 (236860) 최대 1,845원 적립</t>
  </si>
  <si>
    <t>청우식품 참소라형 과자, 120g, 10개 21%12,500원 9,760원 (10g당 81원) 내일(일) 도착 보장 5 (11750) 최대 488원 적립</t>
  </si>
  <si>
    <t>과자</t>
  </si>
  <si>
    <t>청우식품</t>
  </si>
  <si>
    <t>[어반나이프] 프리미엄 소시지 2종</t>
  </si>
  <si>
    <t>어반나이프</t>
  </si>
  <si>
    <t>[미락] 영광 법성포 참굴비 90gX6미 (냉동)</t>
  </si>
  <si>
    <t>[디어파인] 딸기 그릭요거트 100g</t>
  </si>
  <si>
    <t>디어파인</t>
  </si>
  <si>
    <t>캐나다드라이 진저에일 토닉 제로, 300ml, 24개 14,590원 (100ml당 203원) 내일(일) 도착 보장 5 (2478) 최대 730원 적립</t>
  </si>
  <si>
    <t>진저에일</t>
  </si>
  <si>
    <t>캐나다드라이</t>
  </si>
  <si>
    <t>[청년떡집] 저당 절편 2종 (택1)</t>
  </si>
  <si>
    <t>절편</t>
  </si>
  <si>
    <t>청년떡집</t>
  </si>
  <si>
    <t>[상하목장] 유기농 우유 3종</t>
  </si>
  <si>
    <t>[하림] IFF 닭목살 500g (냉동)</t>
  </si>
  <si>
    <t>닭 목살</t>
  </si>
  <si>
    <t>[널담] 비건 브라우니 (110g X 3개)</t>
  </si>
  <si>
    <t>[면사랑] 멸치 잔치국수 273g * 2개입</t>
  </si>
  <si>
    <t>청정원 저당 참깨 드레싱, 310g, 1개 4,600원 (100g당 1,484원) 내일(일) 도착 보장 4.5 (1064) 최대 230원 적립</t>
  </si>
  <si>
    <t>참깨 드레싱</t>
  </si>
  <si>
    <t>[잇데이] 생강 진저샷 14포</t>
  </si>
  <si>
    <t>잇데이</t>
  </si>
  <si>
    <t>마켓오 오리온 구운김톡, 3개, 80g 4,600원 (10g당 192원) 내일(일) 도착 보장 5 (312) 최대 230원 적립</t>
  </si>
  <si>
    <t>[리터스포트] 스마티스 초콜릿 2종 (택1)</t>
  </si>
  <si>
    <t>[오넛티] 피스타치오 스프레드 2종 (택1)</t>
  </si>
  <si>
    <t>피스타치오 스프레드</t>
  </si>
  <si>
    <t>[사세] 바삭한 치킨너겟</t>
  </si>
  <si>
    <t>치킨너겟</t>
  </si>
  <si>
    <t>완도 최고집 업소용 대용량 완도산 파지 다시마, 1kg, 1개 쿠폰할인15%14,000원 11,780원 (100g당 1,178원) 내일(일) 도착 보장 새 상품, 반품-미개봉 (2) 최저11,780원 4.5 (697) 최대 589원 적립</t>
  </si>
  <si>
    <t>완도</t>
  </si>
  <si>
    <t>[룩트] 아이슬란딕 요거트 마일드 450g</t>
  </si>
  <si>
    <t>[질러] 육포 3종 30g (택1)</t>
  </si>
  <si>
    <t>질러</t>
  </si>
  <si>
    <t>[근대골목단팥빵] 옛날 미니맘모스빵 200g</t>
  </si>
  <si>
    <t>맘모스빵</t>
  </si>
  <si>
    <t>근대골목단팥빵</t>
  </si>
  <si>
    <t>[선물세트] 남도우애 무항생제 1++ 한우 프리미엄 구이세트 1호</t>
  </si>
  <si>
    <t>아이러브밀크 3.5 수입멸균우유, 12L, 1박스 25%20,000원 15,000원 (100ml당 125원) 2/10(화) 도착 예정 5 (77265) 최대 750원 적립</t>
  </si>
  <si>
    <t>아이러브밀크</t>
  </si>
  <si>
    <t>[스타벅스] 프라푸치노 커피 281mL X 4병 5종(택1)</t>
  </si>
  <si>
    <t>[벨베리] 딸기잼 215g</t>
  </si>
  <si>
    <t>벨베리</t>
  </si>
  <si>
    <t>[지리산한봉영농조합] 지리산 벌집꿀 260g</t>
  </si>
  <si>
    <t>지리산한봉영농조합</t>
  </si>
  <si>
    <t>[선물세트] 김정환홍삼 홍삼농축액 에너지타임(홍삼스틱) (30일분)</t>
  </si>
  <si>
    <t>베지밀 17곡 한끼두유, 190ml, 16개 9,490원 (100ml당 312원) 내일(일) 새벽 도착 보장 5 (2262) 최대 475원 적립</t>
  </si>
  <si>
    <t>곰곰 사탕수수 비정제 원당, 1kg, 1개 25%5,000원 3,720원 (100g당 372원) 내일(일) 도착 보장 5 (5031) 최대 186원 적립</t>
  </si>
  <si>
    <t>원당</t>
  </si>
  <si>
    <t>[속초해품] 명란젓 400g</t>
  </si>
  <si>
    <t>돌체구스토 네스카페 룽고 디카페인 캡슐커피, 7g, 16개입, 1개 9,240원 (10g당 825원) 내일(일) 도착 보장 5 (17415) 최대 462원 적립</t>
  </si>
  <si>
    <t>[그랑도르] 유럽 까망베르 치즈 125g</t>
  </si>
  <si>
    <t>그랑도르</t>
  </si>
  <si>
    <t>곰곰 국산 참 바지락, 1kg, 1개 26%12,000원 8,820원 (100g당 882원) 내일(일) 새벽 도착 보장 4.5 (5186) 최대 441원 적립</t>
  </si>
  <si>
    <t>몽베스트 위드어스 무라벨 생수, 330ml, 40개 10,000원 (100ml당 76원) 내일(일) 도착 보장 5 (167582) 최대 500원 적립</t>
  </si>
  <si>
    <t>몽쉘 스트로베리, 408g, 1개 25%6,600원 4,930원 (10g당 121원) 내일(일) 도착 보장 4.5 (4827) 최대 246원 적립</t>
  </si>
  <si>
    <t>오뚜기 진비빔면 156g, 8개 19%8,560원 6,900원 (1개당 863원) 내일(일) 도착 보장 5 (72702) 최대 345원 적립</t>
  </si>
  <si>
    <t>진비빔면</t>
  </si>
  <si>
    <t>[콩콩아이] 국산콩으로 만든 유기농 두유 (135mL X 10개)</t>
  </si>
  <si>
    <t>콩콩아이</t>
  </si>
  <si>
    <t>[라라스윗] 저당 넛티 초코바 2종 (70mL X 6개입)</t>
  </si>
  <si>
    <t>[동원] 맛참 고소참기름 135g x 4캔</t>
  </si>
  <si>
    <t>[CU 픽업] 보테가바커진500ml</t>
  </si>
  <si>
    <t>[종가] 맛김치 1.2kg</t>
  </si>
  <si>
    <t>[오늘보감] 유기농 양배추즙 10포</t>
  </si>
  <si>
    <t>오늘보감</t>
  </si>
  <si>
    <t>[바로담아] 들기름 350mL</t>
  </si>
  <si>
    <t>자연한입 더 진한 참치액, 1개, 860ml 쿠폰할인71%26,700원 7,490원 (10ml당 87원) 내일(일) 도착 보장 5 (4498) 최대 375원 적립</t>
  </si>
  <si>
    <t>자연한입</t>
  </si>
  <si>
    <t>[폰타나] 비프 굴라쉬 스튜 250g</t>
  </si>
  <si>
    <t>[조선델리] 조선호텔 미니브라우니세트(6입)</t>
  </si>
  <si>
    <t>[한스케익] 쇼콜라미수 550g</t>
  </si>
  <si>
    <t>쑈콜라미수</t>
  </si>
  <si>
    <t>선진포크 한돈 1등급이상 삼겹살 구이용 (냉장), 500g, 1팩 12,440원 (100g당 2,488원) 내일(일) 새벽 도착 보장 4.5 (19088) 최대 622원 적립</t>
  </si>
  <si>
    <t>선진포크</t>
  </si>
  <si>
    <t>[홍루이젠] 갓군샌 샌드위치 2개입 2종 (택1)</t>
  </si>
  <si>
    <t>[오니스트] Holiday Edition 트리플샤인 포도 28포</t>
  </si>
  <si>
    <t>전두유 검은콩 17곡 고칼슘, 190ml, 20개 33%12,800원 8,500원 (100ml당 224원) 내일(일) 도착 보장 새 상품, 반품-미개봉 (4) 최저8,070원 5 (33426) 최대 425원 적립</t>
  </si>
  <si>
    <t>[제일맞게컬리] 전주비빔 현미곤약 주먹밥</t>
  </si>
  <si>
    <t>국내산 브로콜리, 1개입, 1개 1,980원 (1개당 1,980원) 내일(일) 새벽 도착 보장 5 (204182) 최대 99원 적립</t>
  </si>
  <si>
    <t>[폴스] 크림치즈 오리지널 140g</t>
  </si>
  <si>
    <t>미역줄기, 300g, 2개 4,900원 (100g당 817원) 내일(일) 새벽 도착 보장 5 (11527) 최대 245원 적립</t>
  </si>
  <si>
    <t>[오설록] 세작 티백 (2g X 10개)</t>
  </si>
  <si>
    <t>곰곰 고소한 큰두부, 1kg, 1개 2,480원 (100g당 248원) 내일(일) 새벽 도착 보장 5 (12154) 최대 124원 적립</t>
  </si>
  <si>
    <t>도정공장 씻어나온 현미, 1kg, 1개 6,980원 (100g당 698원) 내일(일) 새벽 도착 보장 5 (1782) 최대 349원 적립</t>
  </si>
  <si>
    <t>도정공장</t>
  </si>
  <si>
    <t>[오니스트] Holiday Edition 트리플콜라겐 오렌지 28포</t>
  </si>
  <si>
    <t>파스퇴르 건강한 저온살균 우유 후레쉬, 2.3L, 1개 8,120원 (100ml당 353원) 내일(일) 새벽 도착 보장 5 (173286) 최대 406원 적립</t>
  </si>
  <si>
    <t>바리스타룰스 원데이 아메리카노 무라벨, 350ml, 20개 58%50,000원 20,810원 (100ml당 297원) 내일(일) 도착 보장 5 (4537) 최대 832원 적립</t>
  </si>
  <si>
    <t>[라빈리커픽업][신년 특가] 러셀 리저브 싱글배럴 버번 (위스키)</t>
  </si>
  <si>
    <t>[소이퀸] 두유 350mL 2종 (택1)</t>
  </si>
  <si>
    <t>소이퀸</t>
  </si>
  <si>
    <t>[오니스트] 케라그로우 망고 14포</t>
  </si>
  <si>
    <t>삼호어묵 부산어묵 바른사각, 240g, 2개 6%2,760원 2,580원 (100g당 538원) 내일(일) 새벽 도착 보장 5 (84141) 최대 129원 적립</t>
  </si>
  <si>
    <t>삼호어묵</t>
  </si>
  <si>
    <t>[성수동분식] 대구식 수제 납작만두(30개입)</t>
  </si>
  <si>
    <t>성수동분식</t>
  </si>
  <si>
    <t>[압구정오징어] 오징어 볶음 2종 (택1)</t>
  </si>
  <si>
    <t>오징어 볶음</t>
  </si>
  <si>
    <t>압구정오징어</t>
  </si>
  <si>
    <t>[풀무원] 반듯한식 수제식감 동그랑땡 315g</t>
  </si>
  <si>
    <t>삼양제주우유 유기농 A2 우유, 900ml, 1개 4,450원 (100ml당 494원) 내일(일) 새벽 도착 보장 5 (915) 최대 223원 적립</t>
  </si>
  <si>
    <t>삼양제주우유</t>
  </si>
  <si>
    <t>[선물세트] 폼포니오 엑스트라 버진 올리브오일 3종세트</t>
  </si>
  <si>
    <t>평창수 무라벨 생수, 500ml, 40개 31%15,900원 10,940원 (100ml당 55원) 내일(일) 도착 보장 5 (164234) 최대 547원 적립</t>
  </si>
  <si>
    <t>[비비고] 열무김치 1.5kg</t>
  </si>
  <si>
    <t>[오니스트] 케라그로우 망고 84포</t>
  </si>
  <si>
    <t>[샘표] 새미네부엌 진간장 830ml</t>
  </si>
  <si>
    <t>진간장</t>
  </si>
  <si>
    <t>[크루돌리오] 유기농 엑스트라 버진 올리브 오일 250mL</t>
  </si>
  <si>
    <t>크루돌리오</t>
  </si>
  <si>
    <t>[ardo] 냉동브로콜리 400g</t>
  </si>
  <si>
    <t>[서리재] 국산 참기름 250mL</t>
  </si>
  <si>
    <t>서리재</t>
  </si>
  <si>
    <t>[궁] 골든올리브 육포 100g</t>
  </si>
  <si>
    <t>[CU 픽업] 리키밀맥주캔500ml*24</t>
  </si>
  <si>
    <t>[덴마크] 소화가 잘되는 우유로 만든 딸기우유 (190mL X 24개)</t>
  </si>
  <si>
    <t>[하림이닭] 소스 잘 먹은 닭가슴살 3종 110g (1입)</t>
  </si>
  <si>
    <t>하림이닭</t>
  </si>
  <si>
    <t>유기농 백옥 찹쌀 500g</t>
  </si>
  <si>
    <t>[그릭슈바인] 육즙가득 부어스트 소시지 2종</t>
  </si>
  <si>
    <t>내츄럴스파이스 크러쉬드 레드페퍼, 40g, 1개 3,370원 (10g당 843원) 내일(일) 새벽 도착 보장 5 (70) 최대 169원 적립</t>
  </si>
  <si>
    <t>[허벌랜드] 이뮨 멀티비타민미네랄 식물성 구미젤리 (30일분)</t>
  </si>
  <si>
    <t>허벌랜드</t>
  </si>
  <si>
    <t>IQF 냉동 닭안심 (냉동), 1kg, 1개 35%11,990원 7,690원 (100g당 769원) 내일(일) 새벽 도착 보장 5 (1528) 최대 385원 적립</t>
  </si>
  <si>
    <t>[청정원] 츄앤리얼 고구마츄 60g</t>
  </si>
  <si>
    <t>곰곰 신선한 저지방우유, 900ml, 6개 11,070원 (100ml당 205원) 내일(일) 새벽 도착 보장 5 (54675) 최대 554원 적립</t>
  </si>
  <si>
    <t>[자하람] 매실발효액 새우장 530g (냉장)</t>
  </si>
  <si>
    <t>새우장</t>
  </si>
  <si>
    <t>자하람</t>
  </si>
  <si>
    <t>[쌜모네키친] 연어 스테이크 200g (냉동)</t>
  </si>
  <si>
    <t>[오설록] 루이보스 퓨어 티백 (2g X 10개)</t>
  </si>
  <si>
    <t>[에머이] 소고기 쌀국수 키트 (2인분)</t>
  </si>
  <si>
    <t>[이목] 국내산 소고기 등심 스테이크 대용량 1kg (냉장)</t>
  </si>
  <si>
    <t>[플라이밀] 프로틴 그래놀라 3종 (택1)</t>
  </si>
  <si>
    <t>플라이밀</t>
  </si>
  <si>
    <t>[바시론] 페스토 로쏘 치즈 200g</t>
  </si>
  <si>
    <t>로쏘 치즈</t>
  </si>
  <si>
    <t>풀무원다논 액티비아 병 플레인, 130ml, 8개입, 1개 8,480원 (10ml당 82원) 내일(일) 새벽 도착 보장 5 (24019) 최대 424원 적립</t>
  </si>
  <si>
    <t>[파스키에] 팬케이크 (35g X 8개입)</t>
  </si>
  <si>
    <t>[본 마예네] 프랑스 린고 치즈 180g</t>
  </si>
  <si>
    <t>린고 치즈</t>
  </si>
  <si>
    <t>남양유업 맛있는 우유 GT, 900ml, 6개 16,050원 (100ml당 297원) 내일(일) 새벽 도착 보장 5 (588998) 최대 743원 적립</t>
  </si>
  <si>
    <t>[김소영 아티장의 안단테] 시에라 네바다 크림 온 탑 요거트 170g 4종 (택1)</t>
  </si>
  <si>
    <t>[CU 픽업] 넘버3런던드라이진</t>
  </si>
  <si>
    <t>[오니스트] 트리플샤인 포도 14포</t>
  </si>
  <si>
    <t>[농협] [25년산 햇곡] 강원 신림농협 국산 백태, 1개, 1kg 23%15,000원 11,480원 (100g당 1,148원) 내일(일) 도착 보장 5 (96) 최대 499원 적립</t>
  </si>
  <si>
    <t>청정원 천일염 가는소금, 500g, 1개 4,200원 (100g당 840원) 내일(일) 도착 보장 새 상품, 반품-미개봉 (24) 최저3,500원 5 (28340) 최대 210원 적립</t>
  </si>
  <si>
    <t>[아티키] 그릭허니 타임 천연 꿀 500g</t>
  </si>
  <si>
    <t>아티키</t>
  </si>
  <si>
    <t>[압구정오징어] 갑오징어 볶음 2종 (택1)</t>
  </si>
  <si>
    <t>무농약 연근 2종</t>
  </si>
  <si>
    <t>[빠삐용빵] 까까마루 기프트 쿠키 세트 500g</t>
  </si>
  <si>
    <t>빠삐용빵</t>
  </si>
  <si>
    <t>[베지밀] 5060시니어 두유 (190mL X 16개)</t>
  </si>
  <si>
    <t>[아이숑] 아이스바 하트숑 딸기 &amp; 블루베리 (72mL X 2개)</t>
  </si>
  <si>
    <t>아이숑</t>
  </si>
  <si>
    <t>[가보팜스] 프리미엄 야생화꿀 2종 (500g/1kg)</t>
  </si>
  <si>
    <t>가보팜스</t>
  </si>
  <si>
    <t>[하루한티] 국화차 20g</t>
  </si>
  <si>
    <t>국화차</t>
  </si>
  <si>
    <t>하루한티</t>
  </si>
  <si>
    <t>[창화당] 고기궁중만두</t>
  </si>
  <si>
    <t>대한제분 중력 밀가루 2등급, 20kg, 1개 16,500원 (100g당 83원) 내일(일) 도착 보장 5 (2283) 최대 825원 적립</t>
  </si>
  <si>
    <t>대한제분</t>
  </si>
  <si>
    <t>맥심 화이트골드 커피믹스, 11.7g, 160개입, 1개 25,600원 (10g당 137원) 내일(일) 새벽 도착 보장 5 (31063) 최대 1,280원 적립</t>
  </si>
  <si>
    <t>[오니스트] 트리플샤인 포도 Eternal Beauty Gift Set 84포</t>
  </si>
  <si>
    <t>[리틀스페인] 문어 감바스 알 아히요</t>
  </si>
  <si>
    <t>리틀스페인</t>
  </si>
  <si>
    <t>[더 더치] 고다 X.O 24개월 숙성 치즈 250g</t>
  </si>
  <si>
    <t>[팜송] 한끼 대파 250g</t>
  </si>
  <si>
    <t>서울우유 A2플러스 우유, 1개, 1.7L 6,940원 (100ml당 408원) 내일(일) 새벽 도착 보장 5 (18175) 최대 347원 적립</t>
  </si>
  <si>
    <t>몽베스트 위드어스 무라벨 생수, 2L, 24개 13,970원 (100ml당 29원) 내일(일) 도착 보장 5 (167582) 최대 699원 적립</t>
  </si>
  <si>
    <t>[선물세트] 올드페리도넛 고메도넛 8구세트</t>
  </si>
  <si>
    <t>[오니스트] 트리플샤인 포도 가든 에디션 선물세트 2종 28포</t>
  </si>
  <si>
    <t>[선물세트] 올리 꿀스틱 세트</t>
  </si>
  <si>
    <t>웰프레쉬 복숭아 (냉동), 1kg, 1개 7,360원 (100g당 736원) 내일(일) 새벽 도착 보장 4.5 (708) 최대 308원 적립</t>
  </si>
  <si>
    <t>냉동과일</t>
  </si>
  <si>
    <t>냉동 복숭아</t>
  </si>
  <si>
    <t>웰프레쉬</t>
  </si>
  <si>
    <t>하림 IFF 닭가슴살 (냉동), 2kg, 1개 13%22,900원 19,770원 (100g당 989원) 내일(일) 새벽 도착 보장 5 (108059) 최대 989원 적립</t>
  </si>
  <si>
    <t>[스마트푸드] 화이트 체다치즈 팝콘</t>
  </si>
  <si>
    <t>팝콘</t>
  </si>
  <si>
    <t>스마트푸드</t>
  </si>
  <si>
    <t>친환경 황금 팽이버섯 180g</t>
  </si>
  <si>
    <t>[돈마루] 한돈 등심 카레용 300g</t>
  </si>
  <si>
    <t>돈마루</t>
  </si>
  <si>
    <t>지도표성경 가루김, 400g, 1개 16,900원 (10g당 423원) 내일(일) 도착 보장 5 (18645) 최대 845원 적립</t>
  </si>
  <si>
    <t>참프레 동물복지 인증 닭안심 (냉장), 500g, 1개 7,500원 (100g당 1,500원) 내일(일) 새벽 도착 보장 5 (535) 최대 375원 적립</t>
  </si>
  <si>
    <t>[리코스] 나쵸 454g</t>
  </si>
  <si>
    <t>[파스키에] 노르망디 애플 타르트 750g</t>
  </si>
  <si>
    <t>[덴마크] 하이요구르트 (100mL X 10개)</t>
  </si>
  <si>
    <t>[보물섬] 자연산 홍새우장 300g (냉장)</t>
  </si>
  <si>
    <t>햇 통마늘 1kg</t>
  </si>
  <si>
    <t>[파스키에] 라즈베리 타르트 (80g X 2개입)</t>
  </si>
  <si>
    <t>[요고델리] 페스트리 샌드위치 3종</t>
  </si>
  <si>
    <t>요고델리</t>
  </si>
  <si>
    <t>안성마춤농협 2025년 햅쌀 고시히카리, 특등급, 4kg, 1개 할인5%19,900원 18,900원 (100g당 473원) 내일(일) 도착 보장 4.5 (10618) 최대 945원 적립</t>
  </si>
  <si>
    <t>[서울우유] 나 100% 우유 (200mL X 3개)</t>
  </si>
  <si>
    <t>풀무원샘물 생수 무라벨, 1L, 24개 17%13,200원 10,900원 (100ml당 45원) 내일(일) 도착 보장 5 (165782) 최대 518원 적립</t>
  </si>
  <si>
    <t>풀무원샘물</t>
  </si>
  <si>
    <t>[투게더] 아이스크림 4종 (택1)</t>
  </si>
  <si>
    <t>투게더</t>
  </si>
  <si>
    <t>상하목장 유기농 인증 우유, 900ml, 2개 8,200원 (100ml당 456원) 내일(일) 새벽 도착 보장 5 (37585) 최대 410원 적립</t>
  </si>
  <si>
    <t>맑은물에 참좋은 국산 숙주나물, 300g, 1개 3,000원 (100g당 1,000원) 내일(일) 새벽 도착 보장 4.5 (28435) 최대 150원 적립</t>
  </si>
  <si>
    <t>[KF365] 완도 전복 3마리 260g (대, 생물)</t>
  </si>
  <si>
    <t>오뚜기 양조 식초, 1.8L, 1개 2,710원 (10ml당 15원) 내일(일) 새벽 도착 보장 5 (11778) 최대 135원 적립</t>
  </si>
  <si>
    <t>양조식초</t>
  </si>
  <si>
    <t>[원파디] 에브리띵 스파이시 시즈닝 240g</t>
  </si>
  <si>
    <t>혼합 시즈닝</t>
  </si>
  <si>
    <t>햇님마을 국산 100% 깨가 쏟아지는 우리집 깨소금, 100g, 1개 18%9,800원 7,980원 (100g당 7,980원) 내일(일) 도착 보장 5 (570) 최대 399원 적립</t>
  </si>
  <si>
    <t>깨소금</t>
  </si>
  <si>
    <t>[붓처스컷] 뉴욕스트립 스테이크</t>
  </si>
  <si>
    <t>붓처스컷</t>
  </si>
  <si>
    <t>동광한방몰 리필용 통 흑후추, 200g, 1개 4,690원 (10g당 235원) 내일(일) 도착 보장 5 (2538) 최대 235원 적립</t>
  </si>
  <si>
    <t>동광한방몰</t>
  </si>
  <si>
    <t>[갤러리아 고메이494] 유기캔김 50g</t>
  </si>
  <si>
    <t>무항생제 1등급 암퇘지 삼겹 2종 (냉장)</t>
  </si>
  <si>
    <t>[라이틀리] 닭갈비 곤약볶음밥 (4개입)</t>
  </si>
  <si>
    <t>라이틀리</t>
  </si>
  <si>
    <t>순작 제주산 우리아이 첫 보리차, 8g, 24개입, 1개 13%6,500원 5,640원 (10g당 294원) 내일(일) 새벽 도착 보장 5 (360) 최대 282원 적립</t>
  </si>
  <si>
    <t>[횡성축협한우] 1+ 한우 등심 스테이크 200g (냉장)</t>
  </si>
  <si>
    <t>[수산곳간] 크리스피 쥐포채 튀김 100g</t>
  </si>
  <si>
    <t>[제각각] 가지 5입</t>
  </si>
  <si>
    <t>[이즈니] 포션 버터 가염 (10g X 20입)</t>
  </si>
  <si>
    <t>유로포멜라 모짜렐라 부라타 치즈 (냉동), 100g, 1개 11%6,480원 5,750원 (10g당 575원) 내일(일) 새벽 도착 보장 5 (12345) 최대 288원 적립</t>
  </si>
  <si>
    <t>유로포멜라</t>
  </si>
  <si>
    <t>[오니스트] 트리플샤인 포도 가든 에디션 선물세트 2종 84포</t>
  </si>
  <si>
    <t>[오니스트] 트리플콜라겐 오렌지 14포</t>
  </si>
  <si>
    <t>츄파춥스 미니 막대사탕, 300g, 1개 4,660원 (10g당 155원) 내일(일) 도착 보장 5 (54240) 최대 233원 적립</t>
  </si>
  <si>
    <t>츄파춥스</t>
  </si>
  <si>
    <t>[오니스트]트리플샤인 포도 28포</t>
  </si>
  <si>
    <t>곰곰 돌돌이 무연골 대패 삼겹살 (냉동), 1kg, 1개 21%14,990원 11,820원 (100g당 1,182원) 내일(일) 새벽 도착 보장 4.5 (3460) 최대 591원 적립</t>
  </si>
  <si>
    <t>[오가닉스토리] 유기농 쌀튀밥 80g</t>
  </si>
  <si>
    <t>튀밥</t>
  </si>
  <si>
    <t>[Picard] 홀밀크 케이크 (25g*6개입)</t>
  </si>
  <si>
    <t>[만전김] 일회조 만전곱창돌김 2종 (택1)</t>
  </si>
  <si>
    <t>[메디] 지중해 샐러드 3종 (택1)</t>
  </si>
  <si>
    <t>지중해 샐러드</t>
  </si>
  <si>
    <t>메디</t>
  </si>
  <si>
    <t>[채선당] 월남쌈 밀키트 2인분</t>
  </si>
  <si>
    <t>쿠즈락 소스담은 소떡소떡 (냉동), 135g, 10개 13,450원 (100g당 996원) 내일(일) 새벽 도착 보장 5 (11191) 최대 673원 적립</t>
  </si>
  <si>
    <t>소떡소떡</t>
  </si>
  <si>
    <t>쿠즈락</t>
  </si>
  <si>
    <t>[CU 픽업] 호세쿠엘보플라티노</t>
  </si>
  <si>
    <t>호세쿠엘보</t>
  </si>
  <si>
    <t>[비락] 올바른 멸균 흰우유 (180mL X 12개)</t>
  </si>
  <si>
    <t>비락</t>
  </si>
  <si>
    <t>[KF365] 새송이버섯 400g</t>
  </si>
  <si>
    <t>새송이버섯</t>
  </si>
  <si>
    <t>[태우한우] 1+ 한우 불고기용 200g (냉장) * 2팩</t>
  </si>
  <si>
    <t>루카스나인 시그니처 오리지널 라떼 커피믹스, 14.9g, 50개입, 2개 3%37,800원 36,630원 (10g당 246원) 내일(일) 도착 보장 5 (55245) 최대 1,831원 적립</t>
  </si>
  <si>
    <t>[네니아] 유기농 딸기잼 600g</t>
  </si>
  <si>
    <t>[오니스트]트리플콜라겐 오렌지 28포</t>
  </si>
  <si>
    <t>[풀무원] 식물성 지구식단 플랜또 아이스크림 90mL 2종 (택1)</t>
  </si>
  <si>
    <t>국내산 깐감자, 450g, 1개 3,190원 (100g당 709원) 내일(일) 새벽 도착 보장 4.5 (20192) 최대 160원 적립</t>
  </si>
  <si>
    <t>호주산 부채살 구이용 (냉장), 600g, 1개 43%29,590원 16,630원 (100g당 2,772원) 내일(일) 새벽 도착 보장 4.5 (10750) 최대 831원 적립</t>
  </si>
  <si>
    <t>[우주] 은빛 제주 통갈치 2종 (냉동) (택1)</t>
  </si>
  <si>
    <t>[이리아다] 유기농 엑스트라버진 올리브 오일 500mL</t>
  </si>
  <si>
    <t>[모두의식단] 통 닭가슴살 5종 (1팩/4팩) (택1)</t>
  </si>
  <si>
    <t>립톤 제로 복숭아 아이스티, 500ml, 24개 31%26,400원 18,060원 (100ml당 151원) 내일(일) 도착 보장 5 (3938) 최대 903원 적립</t>
  </si>
  <si>
    <t>[더브레드블루] 우리밀 식빵 440g</t>
  </si>
  <si>
    <t>[만전김X컬리] 갓구운 파래김 16봉</t>
  </si>
  <si>
    <t>[오다다] 스윗오렌지티 (1.5g X 24개)</t>
  </si>
  <si>
    <t>오렌지티</t>
  </si>
  <si>
    <t>[미식회관] 바로바로 호롱낙지</t>
  </si>
  <si>
    <t>호롱낙지</t>
  </si>
  <si>
    <t>미식회관</t>
  </si>
  <si>
    <t>백설 천일염꽃 구운소금, 180g, 1개 3,720원 (100g당 2,067원) 내일(일) 새벽 도착 보장 5 (43) 최대 186원 적립</t>
  </si>
  <si>
    <t>[브레댄코] 더블초코케이크 510g</t>
  </si>
  <si>
    <t>[오리온] 골드키위 알맹이 216g</t>
  </si>
  <si>
    <t>[오리온] 마이구미 포도 쉐어팩 (43.2g x 6봉지)</t>
  </si>
  <si>
    <t>마이구미</t>
  </si>
  <si>
    <t>[오리온] 통아몬드 90g</t>
  </si>
  <si>
    <t>[새로미어묵] 바른공식 0% 게맛살</t>
  </si>
  <si>
    <t>게맛살</t>
  </si>
  <si>
    <t>새로미어묵</t>
  </si>
  <si>
    <t>덴마크 소화가 잘되는 우유 락토프리, 190ml, 24개 34%26,900원 17,680원 (100ml당 388원) 내일(일) 도착 보장 5 (5372) 최대 884원 적립</t>
  </si>
  <si>
    <t>리프레쉬 부드럽고 고소한 철판구이 오징어 최대12마리~6마리, 1개, 최대12마리~6마리 150g 39%16,400원 9,980원 (10g당 665원) 내일(일) 도착 보장 4.5 (1128) 최대 499원 적립</t>
  </si>
  <si>
    <t>엉클탁 불릴필요없는 귀리쌀, 4kg, 1개 46%14,900원 7,980원 (100g당 200원) 내일(일) 도착 보장 4.5 (6676) 최대 399원 적립</t>
  </si>
  <si>
    <t>[히요코] 병아리만쥬 (35g X 7개)</t>
  </si>
  <si>
    <t>만쥬</t>
  </si>
  <si>
    <t>히요코</t>
  </si>
  <si>
    <t>[농심] 누룽지팝 142g</t>
  </si>
  <si>
    <t>누룽지 스낵</t>
  </si>
  <si>
    <t>그린래빗 루꼴라 &amp; 샐러드 Kit, 180g, 1개 3,690원 (100g당 2,050원) 내일(일) 새벽 도착 보장 4.5 (1637) 최대 185원 적립</t>
  </si>
  <si>
    <t>[샘표] 조리볶음 양념 7종</t>
  </si>
  <si>
    <t>[오백년장어] 민물양념장어 2종 (택1)</t>
  </si>
  <si>
    <t>오백년장어</t>
  </si>
  <si>
    <t>[브라잘르] 그란 모라비아 미니 치즈 (20g X 5입)</t>
  </si>
  <si>
    <t>브라잘르</t>
  </si>
  <si>
    <t>[올가] 마이스터 유기농 블루베리잼 270g</t>
  </si>
  <si>
    <t>[나도하누] 한우 차돌박이 구이용 300g (냉동)</t>
  </si>
  <si>
    <t>나도하누</t>
  </si>
  <si>
    <t>곰곰 이스트 분말, 90g, 1개 24%3,690원 2,800원 (10g당 311원) 내일(일) 도착 보장 5 (636) 최대 133원 적립</t>
  </si>
  <si>
    <t>롯데햄 에센 브런치 비엔나 오리지널, 180g, 2개 7,160원 (10g당 199원) 내일(일) 새벽 도착 보장 5 (3424) 최대 358원 적립</t>
  </si>
  <si>
    <t>[청산에] 생곱창김 25매</t>
  </si>
  <si>
    <t>청산에</t>
  </si>
  <si>
    <t>가나 프리미엄 트리플 베리 쉘 초콜릿, 68g, 1개 3,770원 (10g당 554원) 내일(일) 도착 보장 5 (227) 최대 189원 적립</t>
  </si>
  <si>
    <t xml:space="preserve">가나 </t>
  </si>
  <si>
    <t>[리치몬드 과자점] 까만식빵</t>
  </si>
  <si>
    <t>[LITTLENECK] 리틀넥 비프 머쉬룸 리조또</t>
  </si>
  <si>
    <t>LITTLENECK</t>
  </si>
  <si>
    <t>[우드앤브릭] 피칸 파이</t>
  </si>
  <si>
    <t>[KF365] 한돈 앞다리 용도별 균일가 3종 (택1)</t>
  </si>
  <si>
    <t>미스티브루 콜롬비아 수프리모 스틱 더치커피, 25ml, 1개입, 30개 18%13,200원 10,800원 (10ml당 144원) 내일(일) 도착 보장 4.5 (9881) 최대 540원 적립</t>
  </si>
  <si>
    <t>이너블릭 캐모마일 차, 1.5g, 100개입, 1개 17,400원 (10g당 1,160원) 내일(일) 도착 보장 4.5 (4089) 최대 870원 적립</t>
  </si>
  <si>
    <t>캐모마일차</t>
  </si>
  <si>
    <t>이너블릭</t>
  </si>
  <si>
    <t>녹차로 씻어낸 국산 멍게 (냉장), 120g, 2개 10,650원 (100g당 4,438원) 내일(일) 새벽 도착 보장 4.5 (2479) 최대 533원 적립</t>
  </si>
  <si>
    <t>사브레 쿠키</t>
  </si>
  <si>
    <t>[오마뎅] 파 미니 꼬치어묵</t>
  </si>
  <si>
    <t>DIAMOND 냉동 흰다리 새우살 30마리 (냉동), 300g, 2팩 13,900원 (100g당 2,317원) 내일(일) 새벽 도착 보장 5 (6329) 최대 695원 적립</t>
  </si>
  <si>
    <t>[석관동 떡볶이] 국물 떡볶이</t>
  </si>
  <si>
    <t>리얼 그레이티드 파마산치즈, 227g, 1개 2%7,500원 7,350원 (10g당 324원) 내일(일) 새벽 도착 보장 5 (3754) 최대 368원 적립</t>
  </si>
  <si>
    <t>파마산 치즈</t>
  </si>
  <si>
    <t>리얼</t>
  </si>
  <si>
    <t>비비고 군만두 (냉동), 450g, 2개입 6%9,980원 9,380원 (100g당 1,042원) 내일(일) 새벽 도착 보장 5 (23859) 최대 469원 적립</t>
  </si>
  <si>
    <t>[비비고] 순살삼치구이</t>
  </si>
  <si>
    <t>큐피 마요네즈, 450g, 1개 30%13,000원 9,000원 (100g당 2,000원) 내일(일) 새벽 도착 보장 5 (107) 최대 450원 적립</t>
  </si>
  <si>
    <t>큐피</t>
  </si>
  <si>
    <t>[올더뮤] 뮤신 아쿠아 청포도맛 10개입</t>
  </si>
  <si>
    <t>한강식품 IQFF 무항생제 인증 닭다리살 (냉동), 1kg, 1개 14,130원 (100g당 1,413원) 내일(일) 새벽 도착 보장 5 (1092) 최대 706원 적립</t>
  </si>
  <si>
    <t>[대흥] 다이버가 채취한 자연산 해삼 180g (생물)</t>
  </si>
  <si>
    <t>해삼</t>
  </si>
  <si>
    <t>[오뗄] 오팜 소시지 700g</t>
  </si>
  <si>
    <t>오뗄</t>
  </si>
  <si>
    <t>[만선] 남해안 왕바지락 500g (생물)</t>
  </si>
  <si>
    <t>햇님마을 양념이 잘 어우러지는 국산 고춧가루 보통매운맛, 110g, 1개 6,900원 (100g당 6,273원) 내일(일) 새벽 도착 보장 5 (7666) 최대 345원 적립</t>
  </si>
  <si>
    <t>무농약 인증 맑은물에 참좋은 국산콩나물, 500g, 1개 2,400원 (100g당 480원) 내일(일) 새벽 도착 보장 4.5 (98620) 최대 120원 적립</t>
  </si>
  <si>
    <t>[하인즈] 50% 슈가앤솔트 케찹 435g</t>
  </si>
  <si>
    <t>[땅끝농협] 국산 다진마늘 260g</t>
  </si>
  <si>
    <t>다진 마늘</t>
  </si>
  <si>
    <t>아쿠아시스 무라벨 생수, 500ml, 40개 8,970원 (100ml당 45원) 내일(일) 도착 보장 5 (19912) 최대 400원 적립</t>
  </si>
  <si>
    <t>아쿠아시스</t>
  </si>
  <si>
    <t>[올즙] 도라지배스틱 50포</t>
  </si>
  <si>
    <t>올즙</t>
  </si>
  <si>
    <t>[레오나르디] 모데나산 콘디멘토 로즈 화이트 발사믹</t>
  </si>
  <si>
    <t>[비비드키친] 저당 돈까스소스</t>
  </si>
  <si>
    <t>노르웨이산 고등어살 (냉동), 1kg, 1개 26,120원 (100g당 2,612원) 내일(일) 새벽 도착 보장 5 (2758) 최대 1,306원 적립</t>
  </si>
  <si>
    <t>[굽네] 볼케이노 통등심 돈카츠 280g (냉동)</t>
  </si>
  <si>
    <t>[동광젓갈] 웰빙낙지젓</t>
  </si>
  <si>
    <t>[선물세트] 브로이어 벨기에 어쏘트먼트 초콜릿 16P</t>
  </si>
  <si>
    <t>오뚜기 순후추, 240g, 1개 9,500원 (10g당 396원) 내일(일) 도착 보장 5 (7266) 최대 475원 적립</t>
  </si>
  <si>
    <t>아라보감 국내산 손질 홍합살 (냉동), 1개, 300g 6,500원 (100g당 2,167원) 내일(일) 새벽 도착 보장 4.5 (1002) 최대 293원 적립</t>
  </si>
  <si>
    <t>[PPUL] 1++(9) 한우 생갈비 450g</t>
  </si>
  <si>
    <t>성경식품 지도표 재래식 성경식탁김 4g x 10p + 파래김 4g x 10p, 80g, 1개 8,900원 (10g당 1,113원) 내일(일) 도착 보장 5 (4912) 최대 445원 적립</t>
  </si>
  <si>
    <t>성경식품</t>
  </si>
  <si>
    <t>비비고 고단백 순살 삼치구이, 60g, 1개 25%5,980원 4,480원 (100g당 7,467원) 내일(일) 새벽 도착 보장 4.5 (12054) 최대 224원 적립</t>
  </si>
  <si>
    <t>햇님마을 국산 100% 깨가 쏟아지는 우리집 볶음참깨, 105g, 1개 7,980원 (100g당 7,600원) 내일(일) 새벽 도착 보장 5 (2451) 최대 399원 적립</t>
  </si>
  <si>
    <t>[99소시지] 삼겹 후랑크 소시지 1kg (500gX2EA)</t>
  </si>
  <si>
    <t>99소시지</t>
  </si>
  <si>
    <t>친환경 가지 2입</t>
  </si>
  <si>
    <t>백설 옥수수유, 1.8L, 1개 26%10,800원 7,900원 (100ml당 439원) 내일(일) 새벽 도착 보장 5 (5166) 최대 395원 적립</t>
  </si>
  <si>
    <t>[진가] 삼선 해물 누룽지탕</t>
  </si>
  <si>
    <t>진가</t>
  </si>
  <si>
    <t>[CU 픽업] 더그레그라슈냉블랑</t>
  </si>
  <si>
    <t>[덕화명란] MSC 인증 백명란 100g</t>
  </si>
  <si>
    <t>백명란</t>
  </si>
  <si>
    <t>[농협풍산김치] 맛있는 어린이 백김치</t>
  </si>
  <si>
    <t>[카페마마스] 시그니처 리코타 치즈 230g</t>
  </si>
  <si>
    <t>카페마마스</t>
  </si>
  <si>
    <t>오뚜기 오쉐프 진한라면 스프, 285g, 2개 1%6,760원 6,650원 (100g당 1,167원) 내일(일) 도착 보장 4.5 (32546) 최대 333원 적립</t>
  </si>
  <si>
    <t>[호밍스 초간편 국물요리] 고추장 짜글이</t>
  </si>
  <si>
    <t>호밍스 초간편 국물요리</t>
  </si>
  <si>
    <t>하림 IFF 무항생제 인증 닭가슴살 다짐육 이유식용 2단계 (냉동), 300g, 1개 5,460원 (100g당 1,820원) 내일(일) 새벽 도착 보장 5 (6297) 최대 273원 적립</t>
  </si>
  <si>
    <t>닭 다짐육</t>
  </si>
  <si>
    <t>카누 미니 디카페인 아메리카노 스틱 원두커피믹스, 0.9g, 30개입, 2개 16,780원 (10g당 3,107원) 내일(일) 도착 보장 5 (69273) 최대 839원 적립</t>
  </si>
  <si>
    <t>곰곰 요리하기 편한 절단낙지 (냉동), 500g, 1개 16%12,990원 10,890원 (10g당 218원) 내일(일) 새벽 도착 보장 4.5 (2064) 최대 545원 적립</t>
  </si>
  <si>
    <t>[아그리폼] 그라나 파다노 스낵 치즈 100g</t>
  </si>
  <si>
    <t>그라노 파다노</t>
  </si>
  <si>
    <t>국내산 깐더덕, 200g, 1개 10,390원 (100g당 5,195원) 내일(일) 새벽 도착 보장 4.5 (6223) 최대 520원 적립</t>
  </si>
  <si>
    <t>더덕</t>
  </si>
  <si>
    <t>[올핏] 당제로 이지어트 파인애플사이다 비니거 14포</t>
  </si>
  <si>
    <t>오설록 피치 블랙티 티백, 2g, 20개입, 1개 쿠폰할인6%10,230원 9,570원 (10g당 2,393원) 내일(일) 도착 보장 5 (167) 최대 479원 적립</t>
  </si>
  <si>
    <t>[오뚜기] 옛날 쌀엿(조청) 2종 (택1)</t>
  </si>
  <si>
    <t>[기라델리] 스퀘어백 초콜릿 6종 (택1)</t>
  </si>
  <si>
    <t>기라델리</t>
  </si>
  <si>
    <t>면사랑 밀떡볶이떡, 1kg, 2개 6,900원 (100g당 345원) 내일(일) 새벽 도착 보장 5 (8140) 최대 345원 적립</t>
  </si>
  <si>
    <t>[올덴버거] 독일 멸균우유 1L</t>
  </si>
  <si>
    <t>올덴버거</t>
  </si>
  <si>
    <t>[맥파이앤타이거] 논카페인 티백 3종 (택1)</t>
  </si>
  <si>
    <t>[THE짙은] YBD 앞다리 구이용 300g (냉장)</t>
  </si>
  <si>
    <t>THE짙은</t>
  </si>
  <si>
    <t>[폰타나] 이탈리아 정통 파스타면 4종 (택1)</t>
  </si>
  <si>
    <t>[오가닉스토리] 유기농 발아 보리차 500g</t>
  </si>
  <si>
    <t>[옳곡] 땅콩약과 (30g X 10개)</t>
  </si>
  <si>
    <t>옳곡</t>
  </si>
  <si>
    <t>우리땅 유기가공식품 인증 다진 비트 (냉동), 100g, 1개 3,700원 (100g당 3,700원) 내일(일) 새벽 도착 보장 5 (2624) 최대 185원 적립</t>
  </si>
  <si>
    <t>우리땅</t>
  </si>
  <si>
    <t>청정원순창 쇠고기 볶음 고추장, 60g, 3개 4,800원 (100g당 2,667원) 내일(일) 새벽 도착 보장 5 (1635) 최대 240원 적립</t>
  </si>
  <si>
    <t>[PNB] 고소한 수제 전병 4종 (택1)</t>
  </si>
  <si>
    <t>전병</t>
  </si>
  <si>
    <t>PNB</t>
  </si>
  <si>
    <t>[선물세트] 법성포참맛 프리미엄 굴비 오가세트 1.4kg</t>
  </si>
  <si>
    <t>[더브레드블루] 무화과깜빠뉴 500g</t>
  </si>
  <si>
    <t>오뚜기 라이트앤조이 당을줄인 스틱딸기잼, 20g, 10개 3%4,280원 4,150원 (100g당 2,075원) 내일(일) 새벽 도착 보장 5 (465) 최대 208원 적립</t>
  </si>
  <si>
    <t>검정강낭콩 500g</t>
  </si>
  <si>
    <t>강낭콩</t>
  </si>
  <si>
    <t>검정강낭콩</t>
  </si>
  <si>
    <t>[이어수산] 8단계 선별한 군산 꽃새우 100g</t>
  </si>
  <si>
    <t>[옳곡] 피스타치오 웨하스 63g</t>
  </si>
  <si>
    <t>웨하스</t>
  </si>
  <si>
    <t>[KF365] 미국산 돼지고기 삼겹살 찌개용 300g</t>
  </si>
  <si>
    <t>서울우유 A2플러스 우유, 2개, 1.7L 12,310원 (100ml당 362원) 내일(일) 새벽 도착 보장 5 (18175) 최대 615원 적립</t>
  </si>
  <si>
    <t>[마마리] 국산 돼지고기를 가득 담은 짜장소스</t>
  </si>
  <si>
    <t>오뚜기 옛날 구수한 누룽지 60G 18개 11,500원 (100g당 1,065원) 2/11(수) 도착 예정 5 (12579) 최대 575원 적립</t>
  </si>
  <si>
    <t>자연건조 덕장명인 용대리 황태채 (냉동), 150g, 1개 11,900원 (100g당 7,933원) 내일(일) 새벽 도착 보장 4.5 (6532) 최대 545원 적립</t>
  </si>
  <si>
    <t>오뚜기 진라면 순한맛 120g, 20개 15%15,680원 13,200원 (1개당 660원) 내일(일) 도착 보장 새 상품, 반품-미개봉 (13) 최저12,010원 5 (199631) 최대 660원 적립</t>
  </si>
  <si>
    <t>곰곰 비정제 유기농 사탕수수원당, 1kg, 1개 37%8,000원 5,010원 (100g당 501원) 내일(일) 새벽 도착 보장 5 (166) 최대 250원 적립</t>
  </si>
  <si>
    <t>바로먹는 자숙 취나물 500g</t>
  </si>
  <si>
    <t>[제각각] 적상추 200g</t>
  </si>
  <si>
    <t>파스퇴르 저온살균 저지방 우유, 900ml, 1개 4,280원 (100ml당 476원) 내일(일) 새벽 도착 보장 5 (29444) 최대 214원 적립</t>
  </si>
  <si>
    <t>[꼬손] 순수 지미 명품 참기름 180mL (국산 100%)</t>
  </si>
  <si>
    <t>꼬손</t>
  </si>
  <si>
    <t>[KF365] 춘천식 닭갈비 (냉동) 1.2kg (300g*4ea)</t>
  </si>
  <si>
    <t>세브란스에이투 전용목장 단백우유, 125ml, 12개 14%11,900원 10,200원 (100ml당 680원) 내일(일) 새벽 도착 보장 5 (351) 최대 510원 적립</t>
  </si>
  <si>
    <t>[둥구나무] 통들깨 묵은지 들기름지짐</t>
  </si>
  <si>
    <t>[바름팜] 작은 무 2종</t>
  </si>
  <si>
    <t>[폼포니오] 엑스트라 버진 올리브 오일 750mL</t>
  </si>
  <si>
    <t>[비움반찬] 꽈리고추중멸치조림</t>
  </si>
  <si>
    <t>멸치조림</t>
  </si>
  <si>
    <t>덴마크 소화가 잘되는 우유 락토프리, 190ml, 24개 34%26,900원 17,680원 (100ml당 388원) 내일(일) 새벽 도착 보장 5 (786) 최대 884원 적립</t>
  </si>
  <si>
    <t>한음미가 2025년산 햅쌀 우리쌀 백미, 상등급, 5kg, 1개 18,900원 (100g당 378원) 내일(일) 새벽 도착 보장 4.5 (687) 최대 945원 적립</t>
  </si>
  <si>
    <t>[비비고] 새우왕교자 315Gx2개입</t>
  </si>
  <si>
    <t>[비비고] 왕교자 만두 대용량 1.05kg</t>
  </si>
  <si>
    <t>흰다리 새우살 (냉동), 900g 특대(26/30), 1개 18,800원 (100g당 2,089원) 내일(일) 새벽 도착 보장 5 (1453) 최대 890원 적립</t>
  </si>
  <si>
    <t>흰다리</t>
  </si>
  <si>
    <t>[비브리브] 꼬박꼬밥 고단저당 자색고구마 7개입</t>
  </si>
  <si>
    <t>고구마</t>
  </si>
  <si>
    <t>비브리브</t>
  </si>
  <si>
    <t>[블루보틀] 크래프트 인스턴트 커피 에스프레소 파우더 스틱 (3g X 10개)</t>
  </si>
  <si>
    <t>[김정환홍삼] 홍삼 쌍화 (30포) (+쇼핑백증정)</t>
  </si>
  <si>
    <t>[와인앤모어픽업]라세니 스몰배치 750mL ((미국위스키))</t>
  </si>
  <si>
    <t>[풀무원] 튜브형 쌈장 2종</t>
  </si>
  <si>
    <t>[남양] 떠먹는 불가리스 제로 요거트 딸기 (80g X 4개)</t>
  </si>
  <si>
    <t>[선물세트] 콤비타 마누카꿀 UMF10+ 더블 세트</t>
  </si>
  <si>
    <t>[올리] 야생화꿀 (1+등급)</t>
  </si>
  <si>
    <t>[올리타리아] 유기농 엑스트라버진 올리브오일</t>
  </si>
  <si>
    <t>[제로베이커리] 제로 스콘 5종 (2개입) (택1)</t>
  </si>
  <si>
    <t>프레벨롱 말랑고구마, 20g, 10개 13,900원 (100g당 6,950원) 내일(일) 새벽 도착 보장 5 (157) 최대 695원 적립</t>
  </si>
  <si>
    <t>프레벨롱</t>
  </si>
  <si>
    <t>[바비엔] 간편 삼치구이</t>
  </si>
  <si>
    <t>[우드앤브릭] 말돈 소금빵 (2개입)</t>
  </si>
  <si>
    <t>말돈</t>
  </si>
  <si>
    <t>내츄럴스파이스 페페로치노 홀, 18g, 1개 5,130원 (100g당 28,500원) 내일(일) 도착 보장 5 (25529) 최대 256원 적립</t>
  </si>
  <si>
    <t>[와인앤모어픽업]일라이저 크레이그 토스티드 배럴 750mL ((위스키))</t>
  </si>
  <si>
    <t>궁금한공작소 대용량 새콤달콤 네가지맛 200개 개별포장 할인23%20,900원 15,900원 내일(일) 도착 보장 4.5 (1024) 최대 795원 적립</t>
  </si>
  <si>
    <t>새콤달콤</t>
  </si>
  <si>
    <t>[골라담기] 비비고 인기 김치 균일가 5종 (택1)</t>
  </si>
  <si>
    <t>모둠 김치</t>
  </si>
  <si>
    <t>[Graze Cattle]자유방목 호주산 소고기 목초 척아이롤 구이용200g</t>
  </si>
  <si>
    <t>Graze Cattle</t>
  </si>
  <si>
    <t>[범산목장] 목초먹인 유기농 우유 1000mL</t>
  </si>
  <si>
    <t>[와인앤모어픽업]코노수르 20배럴 까베르네소비뇽 ((와인))</t>
  </si>
  <si>
    <t>[쿠즈락] 휴게소 원조 소떡소떡</t>
  </si>
  <si>
    <t>[벨지오이오소] 프로볼론 치즈 스낵팩 170g</t>
  </si>
  <si>
    <t>벨지오이오소</t>
  </si>
  <si>
    <t>[야미얼스] 유기농 후르츠 스낵 젤리 178.2g</t>
  </si>
  <si>
    <t>야미얼스</t>
  </si>
  <si>
    <t>[콤비타] 마누카꿀 UMF 20+ (+쇼핑백 증정)</t>
  </si>
  <si>
    <t>[캐나다 빵집, 불라트] 불라트 올리브 치아바타 디너롤 (45g X 12개)</t>
  </si>
  <si>
    <t>캐나다 빵집, 불라트</t>
  </si>
  <si>
    <t>[한생]  바로담아 국산 들기름 180mL</t>
  </si>
  <si>
    <t>[자연실록] 동물복지 매콤한 닭갈비 400g (냉장)</t>
  </si>
  <si>
    <t>밀</t>
  </si>
  <si>
    <t>청정원 순창 태양초 찰고추장, 200g, 1개 4,290원 (100g당 2,145원) 내일(일) 도착 보장 5 (194028) 최대 215원 적립</t>
  </si>
  <si>
    <t>[매일] 오리지널 우유 1.5L</t>
  </si>
  <si>
    <t>[상하치즈] 브리 자연치즈 100g</t>
  </si>
  <si>
    <t>[목우촌목장] 국내산 소고기 불고기 200g</t>
  </si>
  <si>
    <t>[모두의식단] 냉장 닭가슴살 2종 100g (1/4/10개입)</t>
  </si>
  <si>
    <t>[그로서리서울] 찰보리 흑미 곤약밥 (4개입)</t>
  </si>
  <si>
    <t>그로서리서울</t>
  </si>
  <si>
    <t>국내산 흙당근, 1개입, 1개 980원 (1개당 980원) 내일(일) 새벽 도착 보장 4.5 (84919) 최대 49원 적립</t>
  </si>
  <si>
    <t>연세우유 전용목장 흰우유, 900ml, 1개 2,780원 (100ml당 309원) 내일(일) 새벽 도착 보장 5 (32913) 최대 139원 적립</t>
  </si>
  <si>
    <t>연세우유</t>
  </si>
  <si>
    <t>롯데웰푸드 크런키 초콜릿, 34g, 12개 12,460원 (10g당 305원) 내일(일) 도착 보장 5 (14853) 최대 623원 적립</t>
  </si>
  <si>
    <t>[몬테사노] 하몽 세라노 120g</t>
  </si>
  <si>
    <t>몬테사노</t>
  </si>
  <si>
    <t>[파미고] 유기농 엑스트라 버진 올리브 오일 500mL</t>
  </si>
  <si>
    <t>[햇살굽는집] 우리야채 모닝빵 (30g X 6개입)</t>
  </si>
  <si>
    <t>[원더풀] 껍질없는 피스타치오 200g (무염)</t>
  </si>
  <si>
    <t>원더풀</t>
  </si>
  <si>
    <t>[본죽] 비트동치미 1kg</t>
  </si>
  <si>
    <t>맥심 모카골드 마일드 커피믹스, 12g, 190개입, 1개 27,500원 (10g당 121원) 2/12(목) 도착 예정 5 (177369) 최대 1,375원 적립</t>
  </si>
  <si>
    <t>파스퇴르 무항생제 인증 바른목장 우유, 125ml, 24개 29%25,200원 17,700원 (100ml당 590원) 내일(일) 도착 보장 새 상품, 반품-미개봉 (10) 최저16,810원 5 (139116) 최대 885원 적립</t>
  </si>
  <si>
    <t>안흥식품 옛날 전통 그대로 할매 안흥 쌀찐빵 혼합 1500g (냉동), 50g, 30개입, 1세트 13,500원 (10g당 90원) 내일(일) 새벽 도착 보장 4.5 (10425) 최대 675원 적립</t>
  </si>
  <si>
    <t>안흥식품</t>
  </si>
  <si>
    <t>[샘표] 순작 유기농 고소한 메밀차 (1.5g X 40개)</t>
  </si>
  <si>
    <t>마당발 알마늘 (냉동), 1kg, 1개 4,900원 (100g당 490원) 내일(일) 새벽 도착 보장 4.5 (1256) 최대 245원 적립</t>
  </si>
  <si>
    <t>곰곰 데일리 식빵, 330g, 1개 1,840원 (10g당 56원) 내일(일) 새벽 도착 보장 4.5 (11940) 최대 92원 적립</t>
  </si>
  <si>
    <t>커피빈 캡틴 아메리카노 원두커피믹스, 0.9g, 90개입, 1개 21%21,000원 16,510원 (10g당 2,038원) 내일(일) 도착 보장 5 (30532) 최대 825원 적립</t>
  </si>
  <si>
    <t>[벨지오이오소] 스위트 마스카포네 치즈 226g</t>
  </si>
  <si>
    <t>[도드람한돈] 등심 카레용 500g (냉장)</t>
  </si>
  <si>
    <t>[Kurly's] 쫀득한 베이글(플레인)(5개입)</t>
  </si>
  <si>
    <t>비비고 슈크림 붕어빵 (냉동), 300g, 2개 55%19,960원 8,800원 (100g당 1,467원) 내일(일) 새벽 도착 보장 5 (3938) 최대 440원 적립</t>
  </si>
  <si>
    <t>생율무가루, 1개, 500g 9,980원 (100g당 1,996원) 2/12(목) 도착 예정 4.5 (5953) 최대 499원 적립</t>
  </si>
  <si>
    <t>생율무가루</t>
  </si>
  <si>
    <t>[유가원] 유기농 구운 피스타치오 130g</t>
  </si>
  <si>
    <t>해태제과 연양갱, 50g, 10개 4,520원 (10g당 90원) 내일(일) 도착 보장 5 (15583) 최대 226원 적립</t>
  </si>
  <si>
    <t>친환경 유러피안 반반 상추 200g</t>
  </si>
  <si>
    <t>일리 클래식 로스트 미니 스틱원두커피, 1g, 30개입, 1개 9,100원 (10g당 3,033원) 내일(일) 도착 보장 5 (6697) 최대 455원 적립</t>
  </si>
  <si>
    <t xml:space="preserve">일리 </t>
  </si>
  <si>
    <t>한끼 깐마늘 100g</t>
  </si>
  <si>
    <t>[강훈목장] 수제 드링크 요거트 딸기 500mL</t>
  </si>
  <si>
    <t>농심 짜파게티 140g, 10개 9,730원 (1개당 973원) 내일(일) 도착 보장 5 (458231) 최대 486원 적립</t>
  </si>
  <si>
    <t>[유가원] 유기농 구운아몬드 150g</t>
  </si>
  <si>
    <t>[선물세트][농부플러스] 국산 저온압착참기름 2구세트 (쇼핑백증정)</t>
  </si>
  <si>
    <t>풀무원 직화짜장면 4인분, 1.32kg, 1개 9,980원 (100g당 756원) 내일(일) 새벽 도착 보장 5 (27122) 최대 499원 적립</t>
  </si>
  <si>
    <t>[유가원] 유기농 볶음땅콩 150g</t>
  </si>
  <si>
    <t>청정원 생크림 까르보나라 파스타소스, 1kg, 1개 11,700원 (100g당 1,170원) 내일(일) 도착 보장 새 상품, 반품-미개봉 (13) 최저11,110원 4.5 (685) 최대 585원 적립</t>
  </si>
  <si>
    <t>[Fage] 파예 플레이버 요거트 150g 4종 (택1)</t>
  </si>
  <si>
    <t>[도라지청년] 수제도라지정과 250g 2종 (택1) (+쇼핑백증정)</t>
  </si>
  <si>
    <t>도라지청년</t>
  </si>
  <si>
    <t>[아카페라] 사이즈업 커피 350mL 5종 (택1)</t>
  </si>
  <si>
    <t>아카페라</t>
  </si>
  <si>
    <t>[면사랑] 밀 떡볶이떡 1kg (지퍼백)</t>
  </si>
  <si>
    <t>곰곰 간식 소시지 오리지널, 1kg, 1개 25%14,000원 10,490원 (10g당 105원) 내일(일) 도착 보장 4.5 (19058) 최대 525원 적립</t>
  </si>
  <si>
    <t>[해통령] 이유식 육수용 다시팩 96g (8입)</t>
  </si>
  <si>
    <t>[페레로] 로쉐 초콜릿 컬렉션 9개입</t>
  </si>
  <si>
    <t>[KF365] 1+등급 무항생제 백색 대란 20구</t>
  </si>
  <si>
    <t>[로로멜로] 아이스 브륄레 80g 4종 (택1)</t>
  </si>
  <si>
    <t>브륄레</t>
  </si>
  <si>
    <t>[마이셰프] 한우 소고기 미역국</t>
  </si>
  <si>
    <t>[오뚜기]가뿐한끼_매콤닭가슴살카레 130g</t>
  </si>
  <si>
    <t>[유가원] 유기농 슬라이스 아몬드 토핑 140g</t>
  </si>
  <si>
    <t>[유가원] 유기농 아몬드 크리스피 60g</t>
  </si>
  <si>
    <t>[HBAF] 페퍼로니피자맛 팝콘 80g</t>
  </si>
  <si>
    <t>[이담] 산양 우유 750mL</t>
  </si>
  <si>
    <t>복이네먹거리 탈피 들깨가루, 300g, 1개 23%6,500원 4,990원 (100g당 1,663원) 내일(일) 도착 보장 4.5 (2447) 최대 250원 적립</t>
  </si>
  <si>
    <t>[미자언니네] 하얀콩강정</t>
  </si>
  <si>
    <t>[데르뜨] 매일유업 우유 케이크 꾸미기 세트</t>
  </si>
  <si>
    <t>[워커힐호텔] 포기김치 3kg</t>
  </si>
  <si>
    <t>[오뚜기] 유부우동 소컵 6입</t>
  </si>
  <si>
    <t>유부우동</t>
  </si>
  <si>
    <t>넛츠베리 참식품 보리떡용가루, 3kg, 1개 12,150원 (100g당 405원) 2/11(수) 도착 예정 5 (9580) 최대 608원 적립</t>
  </si>
  <si>
    <t>보리가루</t>
  </si>
  <si>
    <t>넛츠베리</t>
  </si>
  <si>
    <t>[이목] 국내산 소고기 등심 찹스테이크 200g (냉장)</t>
  </si>
  <si>
    <t>시골 볶음참깨, 1kg, 1개 10,720원 (100g당 1,072원) 내일(일) 도착 보장 5 (3296) 최대 536원 적립</t>
  </si>
  <si>
    <t>[베베스트] 처음먹는 칼슘 현미팝 2종</t>
  </si>
  <si>
    <t>베베스트</t>
  </si>
  <si>
    <t>[굽네] 바사삭 크리스피 닭가슴살 3종 (1팩) (택1)</t>
  </si>
  <si>
    <t>미트코리아 돼지고기 목전지 제육볶음용 3mm (냉동), 1kg, 1개 11,400원 (100g당 1,140원) 내일(일) 새벽 도착 보장 4.5 (8397) 최대 570원 적립</t>
  </si>
  <si>
    <t>돼지 목전지</t>
  </si>
  <si>
    <t>미트코리아</t>
  </si>
  <si>
    <t>상하목장 유기농 인증 마이리틀 플레인 요구르트, 85g, 1개입, 12개 13,820원 (10g당 135원) 내일(일) 새벽 도착 보장 5 (4716) 최대 691원 적립</t>
  </si>
  <si>
    <t>[선물세트] 콤비타 UMF15+ 마누카꿀 더블세트</t>
  </si>
  <si>
    <t>[풀무원] 식물성 지구식단 크리스피 두부스틱</t>
  </si>
  <si>
    <t>두부 스낵</t>
  </si>
  <si>
    <t>[벨베리] 무화과잼 215g</t>
  </si>
  <si>
    <t>샘표 쌀 소면, 800g, 2개 35%13,760원 8,840원 (100g당 553원) 내일(일) 도착 보장 5 (25328) 최대 442원 적립</t>
  </si>
  <si>
    <t>[선물세트] 아티제 카스텔라 3종 세트 (오리지널&amp;흑미&amp;녹차)</t>
  </si>
  <si>
    <t>[미트빌] 미국산 소고기 초이스 부채살300g (냉장)</t>
  </si>
  <si>
    <t>[마이셰프] 제주식 딱새우 된장찌개</t>
  </si>
  <si>
    <t>[선물세트] 사층빵집 버터바 버라이어티 6종 세트 417g</t>
  </si>
  <si>
    <t>버터바</t>
  </si>
  <si>
    <t>[종가] 포기김치 4kg</t>
  </si>
  <si>
    <t>[유가원] 유기농 컬티베이티드 건블루베리 160g</t>
  </si>
  <si>
    <t>국내산 못생겨도 맛있는 당근, 700g, 1개 1,690원 (100g당 241원) 내일(일) 새벽 도착 보장 4.5 (46405) 최대 85원 적립</t>
  </si>
  <si>
    <t>CJ씨푸드 주부 초밥왕 새콤달콤 유부초밥, 320g, 1개 4,280원 (100g당 1,338원) 내일(일) 새벽 도착 보장 5 (2659) 최대 214원 적립</t>
  </si>
  <si>
    <t>[농심] 감자깡 250g (지퍼백)</t>
  </si>
  <si>
    <t>감자깡</t>
  </si>
  <si>
    <t>[유가원] 유기농 호두 120g</t>
  </si>
  <si>
    <t>[죠스떡볶이] 국물 밀떡볶이</t>
  </si>
  <si>
    <t>죠스떡볶이</t>
  </si>
  <si>
    <t>[유가원] 유기농 호두 330g</t>
  </si>
  <si>
    <t>[도시곳간] 일본식 달걀말이</t>
  </si>
  <si>
    <t>[KF365] 깐마늘 200g</t>
  </si>
  <si>
    <t>[커피빈] 헤이즐넛라떼 아이스크림 (100mL X 4개)</t>
  </si>
  <si>
    <t>[유가원]유기농 마카다미아 쉘</t>
  </si>
  <si>
    <t>토레타 이온음료 무라벨, 340ml, 20개 14,260원 (100ml당 210원) 내일(일) 도착 보장 새 상품, 반품-미개봉 (9) 최저13,540원 5 (16737) 최대 713원 적립</t>
  </si>
  <si>
    <t>이온음료</t>
  </si>
  <si>
    <t>토레타</t>
  </si>
  <si>
    <t>[비비고] 총각김치1.5kg</t>
  </si>
  <si>
    <t>유기농 밀키프린스 현미 4kg</t>
  </si>
  <si>
    <t>곰곰 알뜰두부, 800g, 4팩 7,330원 (100g당 229원) 내일(일) 새벽 도착 보장 5 (62334) 최대 366원 적립</t>
  </si>
  <si>
    <t>삼립 리얼 후레쉬 치즈케익, 70g, 10개입, 1개 11,900원 (10g당 170원) 내일(일) 새벽 도착 보장 4.5 (130661) 최대 595원 적립</t>
  </si>
  <si>
    <t>[타르틴베이커리] 미니 레몬 머랭 케이크 400g</t>
  </si>
  <si>
    <t>타르틴베이커리</t>
  </si>
  <si>
    <t>[바다원] 쥐포튀김 25g 2종 (택1)</t>
  </si>
  <si>
    <t>[DARE] 브리튼 통밀 크래커 2종 (택1)</t>
  </si>
  <si>
    <t>DARE</t>
  </si>
  <si>
    <t>[본죽] 메추리알 장조림 1kg</t>
  </si>
  <si>
    <t>가나 빅 마일드 초콜릿, 110g, 3개 8,790원 (10g당 266원) 내일(일) 도착 보장 5 (43543) 최대 440원 적립</t>
  </si>
  <si>
    <t>가나</t>
  </si>
  <si>
    <t>[G7] 퓨어 블랙커피 3종 (택1)</t>
  </si>
  <si>
    <t>[신라명과] 호밀빵 430g</t>
  </si>
  <si>
    <t>신라명과</t>
  </si>
  <si>
    <t>비비드키친 저당 돈까스 소스, 285g, 1개 3,400원 (100g당 1,193원) 내일(일) 새벽 도착 보장 5 (3132) 최대 170원 적립</t>
  </si>
  <si>
    <t>[매일] 우유속에 코코아 락토프리 (300mL X 8개)</t>
  </si>
  <si>
    <t>[스미스티] No.45 페퍼민트 리브스 허브차 (1.47g X 15개)</t>
  </si>
  <si>
    <t>허브차</t>
  </si>
  <si>
    <t>친환경 깐 감자 300g</t>
  </si>
  <si>
    <t>[라치나타] 스모크 파프리카 파우더 핫</t>
  </si>
  <si>
    <t>파프리카 파우더</t>
  </si>
  <si>
    <t>라치나타</t>
  </si>
  <si>
    <t>브레드가든 착한 베이킹파우더, 155g, 1개 4,400원 (100g당 2,839원) 내일(일) 도착 보장 5 (12247) 최대 220원 적립</t>
  </si>
  <si>
    <t>베이킹파우더</t>
  </si>
  <si>
    <t>[투다리] 김치 오뎅 전골</t>
  </si>
  <si>
    <t>투다리</t>
  </si>
  <si>
    <t>[형닭마켓] 수비드 닭목살구이 250g 2종 (냉동)</t>
  </si>
  <si>
    <t>형닭마켓</t>
  </si>
  <si>
    <t>[유기샘] 국산 볶은 땅콩 200g</t>
  </si>
  <si>
    <t>유기샘</t>
  </si>
  <si>
    <t>[워커힐고메] 미니컵 아이스크림 4종 120mL</t>
  </si>
  <si>
    <t>[유기샘] 무농약 건대추 150g</t>
  </si>
  <si>
    <t>대추</t>
  </si>
  <si>
    <t>[유기샘] 생땅콩 200g</t>
  </si>
  <si>
    <t>서울우유 A2플러스 우유, 2개, 710ml 6,800원 (100ml당 479원) 내일(일) 새벽 도착 보장 5 (18175) 최대 340원 적립</t>
  </si>
  <si>
    <t>[브룩클린688] 호주산 목초육 부채살 구이용 300g (냉장)</t>
  </si>
  <si>
    <t>브룩클린688</t>
  </si>
  <si>
    <t>[고래사] 새우볼</t>
  </si>
  <si>
    <t>새우볼</t>
  </si>
  <si>
    <t>[유기샘] 오븐바삭 자색땅콩 200g</t>
  </si>
  <si>
    <t>[농심] 새우깡 미니팩 30g x 4입</t>
  </si>
  <si>
    <t>[비움반찬] 들기름 묵은지 비빔밥 (2인분)</t>
  </si>
  <si>
    <t>안동맛자반 안동 간 고등어 (냉동), 1개, 220g 3,990원 (100g당 1,814원) 내일(일) 새벽 도착 보장 4 (446) 최대 178원 적립</t>
  </si>
  <si>
    <t>안동맛</t>
  </si>
  <si>
    <t>엉클탁 완두콩, 4kg, 1개 26%10,800원 7,980원 (100g당 200원) 내일(일) 도착 보장 4.5 (2340) 최대 399원 적립</t>
  </si>
  <si>
    <t>[유기샘] 유기농 깐밤 150g</t>
  </si>
  <si>
    <t>밤</t>
  </si>
  <si>
    <t>석수 무라벨, 500ml, 60개 12,840원 내일(일) 도착 보장 5 (59544) 최대 642원 적립</t>
  </si>
  <si>
    <t>석수</t>
  </si>
  <si>
    <t>[The : 푸짐한] 햄폭탄 부대전골</t>
  </si>
  <si>
    <t>The : 푸짐한</t>
  </si>
  <si>
    <t>[이목 무항생제] 국내산 소고기 불고기용 200g (냉장)</t>
  </si>
  <si>
    <t>[캐나다 빵집, 불라트] 오리지날 치아바타 디너롤 (45g X 12개)</t>
  </si>
  <si>
    <t>루토사 코티드 씬컷 프라이 엑스트라크리스피 슈스트링 (냉동), 2kg, 1개 9,400원 (100g당 470원) 내일(일) 새벽 도착 보장 5 (2319) 최대 470원 적립</t>
  </si>
  <si>
    <t>냉동 감자튀김</t>
  </si>
  <si>
    <t>루토사</t>
  </si>
  <si>
    <t>[델리만쥬] 달콤 만쥬 300g</t>
  </si>
  <si>
    <t>델리만쥬</t>
  </si>
  <si>
    <t>푸드앤픽 서산농협 청풍명월 농협쌀 백미, 20kg, 1개, 상등급 63,500원 (100g당 318원) 내일(일) 도착 보장 5 (204) 최대 3,175원 적립</t>
  </si>
  <si>
    <t>[블루보틀] 콜드브루 커피 RTD 236mL 2종 (택1)</t>
  </si>
  <si>
    <t>[일동후디스] 아이얌 큐브치즈 3종</t>
  </si>
  <si>
    <t>일동후디스</t>
  </si>
  <si>
    <t>[은하수산] 연어배꼽살 회 100g (냉장)</t>
  </si>
  <si>
    <t>연어회</t>
  </si>
  <si>
    <t>[도드람한돈] 도깨비살(앞다리) 구이용 500g (냉장)</t>
  </si>
  <si>
    <t>대구농산 불릴필요없는 귀리쌀, 4kg, 1개 49%15,900원 7,980원 (100g당 200원) 내일(일) 도착 보장 4.5 (7448) 최대 399원 적립</t>
  </si>
  <si>
    <t>대구농산</t>
  </si>
  <si>
    <t>[CU 픽업] 올트모어12년</t>
  </si>
  <si>
    <t>올트모어</t>
  </si>
  <si>
    <t>곰곰 순후추, 100g, 1개 19%5,400원 4,330원 (10g당 433원) 내일(일) 도착 보장 5 (3098) 최대 216원 적립</t>
  </si>
  <si>
    <t>햇살담은 저당 맛간장, 500ml, 1개 35%9,980원 6,450원 (100ml당 1,290원) 내일(일) 도착 보장 5 (1308) 최대 323원 적립</t>
  </si>
  <si>
    <t>햇살담은</t>
  </si>
  <si>
    <t>탐사 샘물 무라벨, 500ml, 80개 42%25,960원 14,990원 (100ml당 37원) 내일(일) 도착 보장 5 (271873) 최대 750원 적립</t>
  </si>
  <si>
    <t>[종가] 현명한주부 포기김치10kg</t>
  </si>
  <si>
    <t>[상하목장] 유기농 멸균 우유 코코아 125mL 2종 (택1)</t>
  </si>
  <si>
    <t>코코아</t>
  </si>
  <si>
    <t>[켈로그] 프링글스 치즈맛 110g</t>
  </si>
  <si>
    <t>[자연원] 냉동 딸기 바나나 믹스 (600g)</t>
  </si>
  <si>
    <t>과일믹스</t>
  </si>
  <si>
    <t>자연원</t>
  </si>
  <si>
    <t>[농심] 짜파게티 20입</t>
  </si>
  <si>
    <t>편안하게 소화되는 신선한 1A 우유, 900ml, 2개 4,990원 (100ml당 277원) 내일(일) 새벽 도착 보장 5 (62195) 최대 250원 적립</t>
  </si>
  <si>
    <t>편안하</t>
  </si>
  <si>
    <t>카누 미니 디카페인 아메리카노 스틱 원두커피믹스, 0.9g, 30개입, 1개 8,590원 (10g당 3,181원) 내일(일) 새벽 도착 보장 5 (703) 최대 430원 적립</t>
  </si>
  <si>
    <t>[세이카] 껍질째 먹는 젤리 6종</t>
  </si>
  <si>
    <t>세이카</t>
  </si>
  <si>
    <t>[태우한우] 한우 언양식 불고기 180g(냉동)</t>
  </si>
  <si>
    <t>[매일] 매일우유 후레쉬팩 저지방 1% 900mL</t>
  </si>
  <si>
    <t>국내산 친환경 깐마늘, 150g, 1개 3,280원 (100g당 2,187원) 내일(일) 새벽 도착 보장 4.5 (10230) 최대 164원 적립</t>
  </si>
  <si>
    <t>[오뚜기] 뿌셔뿌셔 떡볶이맛 90g</t>
  </si>
  <si>
    <t>광천김 바삭바삭 파래김, 4g, 16개 36%11,000원 6,980원 (10g당 1,091원) 내일(일) 도착 보장 4.5 (4714) 최대 349원 적립</t>
  </si>
  <si>
    <t>[바다원] 홍새우 100g</t>
  </si>
  <si>
    <t>청정원 스모크햄, 1kg, 1개 32%10,990원 7,370원 (10g당 74원) 내일(일) 새벽 도착 보장 4.5 (6630) 최대 369원 적립</t>
  </si>
  <si>
    <t>[종가] 파김치 900g</t>
  </si>
  <si>
    <t>파워에이드 마운틴블라스트 무라벨, 355ml, 20개 16,310원 (100ml당 230원) 내일(일) 도착 보장 새 상품, 반품-미개봉 (3) 최저15,490원 5 (2358) 최대 815원 적립</t>
  </si>
  <si>
    <t>파워에이드</t>
  </si>
  <si>
    <t>해야미 이카소멘 오징어소면, 100g, 1개 20%9,900원 7,900원 (100g당 7,900원) 내일(일) 도착 보장 4.5 (3536) 최대 395원 적립</t>
  </si>
  <si>
    <t>오징어 소면</t>
  </si>
  <si>
    <t>해야미</t>
  </si>
  <si>
    <t>[자연원] 냉동 유기농 애플망고 500g</t>
  </si>
  <si>
    <t>냉동 망고</t>
  </si>
  <si>
    <t>[베베쿡] 쌀쿵 10개입 2종</t>
  </si>
  <si>
    <t>[풀무원] 3분간편 통영멸치볶음  KIT</t>
  </si>
  <si>
    <t>[땡스오트] 리얼 그래놀라 3종 (택1)</t>
  </si>
  <si>
    <t>땡스오트</t>
  </si>
  <si>
    <t>일가집 오이피클 슬라이스, 200g, 1개 1,780원 (100g당 890원) 내일(일) 새벽 도착 보장 5 (5083) 최대 89원 적립</t>
  </si>
  <si>
    <t>피클</t>
  </si>
  <si>
    <t>일가집</t>
  </si>
  <si>
    <t>서울우유 나100% 저지방우유, 2.3L, 2개 14,410원 (100ml당 313원) 내일(일) 새벽 도착 보장 5 (180162) 최대 720원 적립</t>
  </si>
  <si>
    <t>[오백년장어] 나홀로 민물양념장어</t>
  </si>
  <si>
    <t>[마즈] 초코 펀사이즈 믹스 3 버라이어티팩 750g</t>
  </si>
  <si>
    <t>[SOUPER] 뉴잉글랜드 클램차우더 200g</t>
  </si>
  <si>
    <t>SOUPER</t>
  </si>
  <si>
    <t>[고디바] 지큐브 다크 초콜릿 7P</t>
  </si>
  <si>
    <t>[해조랑] 밥에 뿌려먹고 비벼먹는 새우</t>
  </si>
  <si>
    <t>해조랑</t>
  </si>
  <si>
    <t>데체코 올리오 엑스트라 버진 디 올리바, 1000ml, 1개 39%37,000원 22,300원 (100ml당 2,230원) 내일(일) 새벽 도착 보장 5 (1888) 최대 1,115원 적립</t>
  </si>
  <si>
    <t>[안주플래터] 손질 먹태 120g (소스 증정)</t>
  </si>
  <si>
    <t>안주플래터</t>
  </si>
  <si>
    <t>[쉐이크 포케] 포케 샐러드 3종</t>
  </si>
  <si>
    <t>쉐이크 포케</t>
  </si>
  <si>
    <t>국내산 고구마, 1kg(중), 1개 5,090원 (100g당 509원) 내일(일) 새벽 도착 보장 4.5 (1522) 최대 255원 적립</t>
  </si>
  <si>
    <t>[Kim's butcher] 미국산 초이스 부채살 스테이크 250g</t>
  </si>
  <si>
    <t>[풀무원] 현미 또띠아 8인치 (5입)</t>
  </si>
  <si>
    <t>국내산 구이용 양송이버섯, 140g, 1개 3,490원 (100g당 2,493원) 내일(일) 새벽 도착 보장 5 (37029) 최대 175원 적립</t>
  </si>
  <si>
    <t>송이버섯</t>
  </si>
  <si>
    <t>스테비아스위트 마일드 스테비아 커피믹스, 9.6g, 30개입, 1개 20%10,900원 8,710원 (10g당 302원) 내일(일) 새벽 도착 보장 4.5 (759) 최대 435원 적립</t>
  </si>
  <si>
    <t>코카콜라 오리지널 무라벨, 370ml, 6개 10%8,900원 7,980원 (100ml당 359원) 내일(일) 도착 보장 5 (20988) 최대 399원 적립</t>
  </si>
  <si>
    <t>국내산 무, 1개입, 3개 4,790원 (1개당 1,597원) 내일(일) 새벽 도착 보장 4.5 (269495) 최대 240원 적립</t>
  </si>
  <si>
    <t>[루스티켈라] 파스타면 6종 (택1)</t>
  </si>
  <si>
    <t>루스티켈라</t>
  </si>
  <si>
    <t>청정원 우리쌀 크림수프, 60g, 3개 24%4,200원 3,170원 (100g당 1,761원) 내일(일) 새벽 도착 보장 5 (1108) 최대 159원 적립</t>
  </si>
  <si>
    <t>[맑은물에] 연천콩 흑임자 콩물 500ml /1000ml</t>
  </si>
  <si>
    <t>콩물</t>
  </si>
  <si>
    <t>[청정원] 고소한 마요네즈 800g</t>
  </si>
  <si>
    <t>[차려낸] 순살 고등어구이 80g X 2입</t>
  </si>
  <si>
    <t>[백설] 100% 통들깨 들기름 320mL</t>
  </si>
  <si>
    <t>[선물세트] 페이장브레통 데일리 치즈 세트</t>
  </si>
  <si>
    <t>남양유업 이오 요구르트, 80ml, 10개입, 3개 9,780원 (10ml당 41원) 내일(일) 새벽 도착 보장 5 (138292) 최대 489원 적립</t>
  </si>
  <si>
    <t>청정원 베이컨 앤 크림 까르보나라 파스타 소스, 350g, 1개 7%6,950원 6,450원 (100g당 1,843원) 내일(일) 도착 보장 4.5 (14671) 최대 323원 적립</t>
  </si>
  <si>
    <t>[창화당] 쫄비빔만두</t>
  </si>
  <si>
    <t>백설 숯불갈비맛 후랑크, 120g, 2개 21%3,360원 2,650원 (10g당 110원) 내일(일) 새벽 도착 보장 5 (5628) 최대 133원 적립</t>
  </si>
  <si>
    <t>핫바</t>
  </si>
  <si>
    <t>[자연원] 망고 듬뿍 냉동 망바파 믹스 (600g)</t>
  </si>
  <si>
    <t>곰곰 콩두부, 500g, 4개 6,180원 (100g당 309원) 내일(일) 새벽 도착 보장 5 (340248) 최대 309원 적립</t>
  </si>
  <si>
    <t>[오뗄두스] 사브레 쿠키 세트 (5개입)</t>
  </si>
  <si>
    <t>오뗄두스</t>
  </si>
  <si>
    <t>[선물세트] 전통주 느린마을 약주 (12도, 700mL)</t>
  </si>
  <si>
    <t>약주</t>
  </si>
  <si>
    <t>[테라큐민] 슈퍼플러스 100 (60포)</t>
  </si>
  <si>
    <t>테라큐민</t>
  </si>
  <si>
    <t>[혜인담] 홍삼정과골드 (30g x 8포)</t>
  </si>
  <si>
    <t>혜인담</t>
  </si>
  <si>
    <t>고메 소바바치킨 소이허니 순살 (냉동), 375g, 2개 36%19,960원 12,760원 (100g당 1,701원) 내일(일) 새벽 도착 보장 5 (18522) 최대 638원 적립</t>
  </si>
  <si>
    <t>[CJ] 행복한콩 반모두부(150G+150G)</t>
  </si>
  <si>
    <t>하루견과 믹스넛 넛츠 앤 요거트, 20g, 30개 28%24,900원 17,900원 (100g당 2,983원) 내일(일) 새벽 도착 보장 4.5 (42) 최대 895원 적립</t>
  </si>
  <si>
    <t>하루견과</t>
  </si>
  <si>
    <t>빽다방 커피믹스 스틱커피, 12g, 100개입, 1개 16,520원 (10g당 138원) 내일(일) 도착 보장 4.5 (1558) 최대 826원 적립</t>
  </si>
  <si>
    <t>빽다방</t>
  </si>
  <si>
    <t>[이금기] 치킨파우더, 1kg, 1개 21%20,880원 16,380원 (100g당 1,638원) 내일(일) 도착 보장 5 (22399) 최대 819원 적립</t>
  </si>
  <si>
    <t>이금기</t>
  </si>
  <si>
    <t>토레타 제로 무라벨 이온음료, 340ml, 20개 14,720원 (100ml당 216원) 내일(일) 도착 보장 5 (3763) 최대 736원 적립</t>
  </si>
  <si>
    <t>[자연원] 망고 듬뿍 냉동 아망파 믹스 (600g)</t>
  </si>
  <si>
    <t>새우깡, 90g, 5개 5,800원 (10g당 129원) 내일(일) 도착 보장 5 (105520) 최대 290원 적립</t>
  </si>
  <si>
    <t>[동원] Dole 워터젤리 망고 130ml X 10개입</t>
  </si>
  <si>
    <t>[산수골목장] 햄이야기</t>
  </si>
  <si>
    <t>산수골목장</t>
  </si>
  <si>
    <t>[KF365] 한돈 등갈비 800g(냉장)</t>
  </si>
  <si>
    <t>돼지 등갈비</t>
  </si>
  <si>
    <t>[둥구나무] 파김치</t>
  </si>
  <si>
    <t>[장수엿] 장수땅콩엿 선물세트 20개입</t>
  </si>
  <si>
    <t>엿</t>
  </si>
  <si>
    <t>[아이농] 친환경 방울토마토500g</t>
  </si>
  <si>
    <t>[CU 픽업] 9라이브스리저브리즐링 6본</t>
  </si>
  <si>
    <t>[전통주] 문배술 도자기 (40도 400mL)</t>
  </si>
  <si>
    <t>[델몬트] 슈퍼 스위트콘 (380g X 4)</t>
  </si>
  <si>
    <t>스위트콘</t>
  </si>
  <si>
    <t>집반찬연구소 미역줄기 볶음, 110g, 1개 3,800원 (10g당 345원) 내일(일) 새벽 도착 보장 4.5 (1810) 최대 190원 적립</t>
  </si>
  <si>
    <t>[하림] 안동식 찜닭 밀키트</t>
  </si>
  <si>
    <t>[전통주] 문배주 헤리티지 (25도 375mL)</t>
  </si>
  <si>
    <t>해태아이스크림 누가바 (냉동), 70ml, 6개입, 1개 3,530원 (10ml당 84원) 내일(일) 새벽 도착 보장 5 (14622) 최대 176원 적립</t>
  </si>
  <si>
    <t>해태아이스크림</t>
  </si>
  <si>
    <t>[올반] 모짜체다 찰 핫도그 400g(80gX5개입)</t>
  </si>
  <si>
    <t>[우리밀] 야채쌀건빵 120g</t>
  </si>
  <si>
    <t>[둥구나무] 쑥갓나물</t>
  </si>
  <si>
    <t>쑥갓나물</t>
  </si>
  <si>
    <t>[기장물산] 레몬갈릭소스 해초샐러드 5입</t>
  </si>
  <si>
    <t>곰곰 콩두부, 500g, 4개 6,180원 (100g당 309원) 내일(일) 새벽 도착 보장 5 (340234) 최대 309원 적립</t>
  </si>
  <si>
    <t>[KC] 노랑 옥수수 2종</t>
  </si>
  <si>
    <t>[성진] 국내산 감자 전분맛(용기형) 450g</t>
  </si>
  <si>
    <t>국내산 청상추, 400g, 1봉 5,500원 (100g당 1,375원) 내일(일) 새벽 도착 보장 5 (156609) 최대 275원 적립</t>
  </si>
  <si>
    <t>[언더프레셔] 에스프레소 커피원액 400mL</t>
  </si>
  <si>
    <t>언더프레셔</t>
  </si>
  <si>
    <t>친환경 인증 국내산 골드팽이버섯, 200g, 1개 2,760원 (100g당 1,380원) 내일(일) 새벽 도착 보장 5 (13609) 최대 138원 적립</t>
  </si>
  <si>
    <t>[백설] 유자샐러드소스 250g</t>
  </si>
  <si>
    <t>유자 드레싱</t>
  </si>
  <si>
    <t>[얼리키친] 피칸 파이 120g</t>
  </si>
  <si>
    <t>얼리키친</t>
  </si>
  <si>
    <t>[A.C.퍼치스] 버라이어티 티백세트 &amp; 에디션덴마크 머그</t>
  </si>
  <si>
    <t>[CU 픽업] 818데킬라블랑코</t>
  </si>
  <si>
    <t>Arla 하바티 슬라이스치즈, 150g, 1개입, 1개 6,100원 (10g당 407원) 내일(일) 새벽 도착 보장 5 (6356) 최대 305원 적립</t>
  </si>
  <si>
    <t>Arla</t>
  </si>
  <si>
    <t>곰곰 김치볶음밥 (냉동), 300g, 10개 29%26,000원 18,290원 (100g당 610원) 내일(일) 새벽 도착 보장 5 (125579) 최대 915원 적립</t>
  </si>
  <si>
    <t>[전통주] 배혜정도가 호땅 (6도 750mL)</t>
  </si>
  <si>
    <t>토굴 레몬생강청 600g</t>
  </si>
  <si>
    <t>레몬청</t>
  </si>
  <si>
    <t>국내산 부추, 150g, 1봉 1,800원 (100g당 1,200원) 내일(일) 새벽 도착 보장 5 (204320) 최대 90원 적립</t>
  </si>
  <si>
    <t>돌체구스토 룽고 캡슐커피, 6.5g, 30개입, 2개 29,480원 (10g당 756원) 내일(일) 도착 보장 5 (25726) 최대 1,474원 적립</t>
  </si>
  <si>
    <t>돌체구스토</t>
  </si>
  <si>
    <t>[제주도니] 제주 돼지 등갈비 500g (냉장)</t>
  </si>
  <si>
    <t>주부9단 농협목우촌 슬라이스 햄, 100g, 2개 4,930원 (10g당 247원) 내일(일) 새벽 도착 보장 5 (4058) 최대 246원 적립</t>
  </si>
  <si>
    <t>카누 마일드 로스트 아메리카노 원두커피믹스, 900mg, 30개입, 2개 13,880원 (10g당 2,570원) 내일(일) 도착 보장 5 (180735) 최대 694원 적립</t>
  </si>
  <si>
    <t>[전통주] 조은술세종 우도 땅콩 전통주 (6도 750mL)</t>
  </si>
  <si>
    <t>못생겨도 맛있는 애호박 1입, 1개입, 3개 6,530원 (1개당 2,177원) 내일(일) 새벽 도착 보장 5 (77084) 최대 326원 적립</t>
  </si>
  <si>
    <t>촉촉한 고구마 말랭이, 12개 9,640원 내일(일) 도착 보장 4.5 (190) 최대 482원 적립</t>
  </si>
  <si>
    <t>촉촉한</t>
  </si>
  <si>
    <t>[한트바커] 그릴드 냉장 닭가슴살 2종</t>
  </si>
  <si>
    <t>한트바커</t>
  </si>
  <si>
    <t>[하림] 치킨너겟 850g</t>
  </si>
  <si>
    <t>[오리온] 찍먹 나쵸 치폴레 마요 소스 168g</t>
  </si>
  <si>
    <t>치폴레 소스</t>
  </si>
  <si>
    <t>[전통주]배혜정도가 화성생막걸리 (6도 750mL) 부드러운 탄산막걸리</t>
  </si>
  <si>
    <t>[선물세트] 경주천년한우 한우 육포 선물세트</t>
  </si>
  <si>
    <t>[전통주] 포천일동 담은막걸리 무아스파탐 (6.5도 750mL)</t>
  </si>
  <si>
    <t>아스파탐</t>
  </si>
  <si>
    <t>[밥스누] 서울대 오리지널 약콩 두유 (190mL X 16개)</t>
  </si>
  <si>
    <t>맛있는두유GT 고소한 검은콩깨 병, 200ml, 30개 21,950원 (100ml당 366원) 내일(일) 도착 보장 5 (20980) 최대 1,098원 적립</t>
  </si>
  <si>
    <t>맛있는두유GT</t>
  </si>
  <si>
    <t>[데체코] 구르메 파스타면 6종</t>
  </si>
  <si>
    <t>몽쉘 실속 오리지널 24개입, 816g, 2개 14,990원 (10g당 92원) 2/10(화) 도착 예정 5 (57195) 최대 750원 적립</t>
  </si>
  <si>
    <t>[전통주]솔티마을 오롯이 포도스파클링와인 라이트 (4.5도 330mL)</t>
  </si>
  <si>
    <t>[선물세트] 브레드타임 파이만주 2종 (택1)</t>
  </si>
  <si>
    <t>[오뚜기]컵밥_오삼불고기덮밥(즉석국)</t>
  </si>
  <si>
    <t>컵밥 오삼불고기</t>
  </si>
  <si>
    <t>오뚜기 옛날 자른 미역, 50g, 1개 2,440원 (100g당 4,880원) 내일(일) 새벽 도착 보장 5 (9827) 최대 122원 적립</t>
  </si>
  <si>
    <t>매일우유 오리지널, 900ml, 4개 11,090원 (100ml당 308원) 내일(일) 새벽 도착 보장 5 (239435) 최대 555원 적립</t>
  </si>
  <si>
    <t>[청정원]햇살담은 장조림간장소스 800ml</t>
  </si>
  <si>
    <t>[바다원] 남해안 볶음조림용 멸치 150g</t>
  </si>
  <si>
    <t>돌체구스토 네스퀵 캡슐커피, 16g, 16개입, 1개 9,490원 (10g당 371원) 내일(일) 도착 보장 4.5 (3195) 최대 475원 적립</t>
  </si>
  <si>
    <t>[오뚜기] 프레스코 파스타면 6종 (택1)</t>
  </si>
  <si>
    <t>[풀무원] 비건김치</t>
  </si>
  <si>
    <t>[하코야] 사각 어묵 꼬치(20개입)</t>
  </si>
  <si>
    <t>[비바니] 유기농 초콜릿 6종</t>
  </si>
  <si>
    <t>비바니</t>
  </si>
  <si>
    <t>국내산 데친 무시래기, 300g, 1개 2,990원 (100g당 997원) 내일(일) 새벽 도착 보장 4.5 (22759) 최대 150원 적립</t>
  </si>
  <si>
    <t>무시래기</t>
  </si>
  <si>
    <t>[해태] 후렌치파이 27+3 기획팩 사과</t>
  </si>
  <si>
    <t>[미자언니네] 고등어조림</t>
  </si>
  <si>
    <t>고등어 조림</t>
  </si>
  <si>
    <t>백설 하얀설탕, 1kg, 6개 12%14,280원 12,540원 (100g당 209원) 내일(일) 도착 보장 5 (158269) 최대 627원 적립</t>
  </si>
  <si>
    <t>[백설] 포도씨유 900mL</t>
  </si>
  <si>
    <t>이디야 디카페인 아메리카노 원두커피스틱, 1g, 30개입, 1개 6,100원 (10g당 2,033원) 내일(일) 새벽 도착 보장 4.5 (606) 최대 305원 적립</t>
  </si>
  <si>
    <t>[에스푸나] 하몽 세라노 보데가 2종</t>
  </si>
  <si>
    <t>에스푸나</t>
  </si>
  <si>
    <t>[칙뽈로] 구워먹는 치킨마요 키트 400g</t>
  </si>
  <si>
    <t>칙뽈로</t>
  </si>
  <si>
    <t>티젠 페퍼민트 티백, 1.2g, 20개입, 2개 6,100원 (10g당 1,271원) 내일(일) 도착 보장 4.5 (2778) 최대 305원 적립</t>
  </si>
  <si>
    <t>[선진포크한돈] 한돈 등갈비 500g</t>
  </si>
  <si>
    <t>스타벅스 하우스블렌드 네스프레소 캡슐커피, 5.7g, 10개입, 5개 21%39,950원 31,350원 (10g당 1,100원) 내일(일) 도착 보장 5 (47069) 최대 1,568원 적립</t>
  </si>
  <si>
    <t>[롯데] 카스타드 스트로베리 &amp; 요거트 126g</t>
  </si>
  <si>
    <t>올바른 수산 냉동 연어 스테이크 (냉동), 350g, 1개 16%11,900원 9,980원 (100g당 2,851원) 내일(일) 새벽 도착 보장 4.5 (3257) 최대 449원 적립</t>
  </si>
  <si>
    <t>올바른</t>
  </si>
  <si>
    <t>표고버섯, 200g, 1개 2,990원 (100g당 1,495원) 내일(일) 새벽 도착 보장 5 (130637) 최대 150원 적립</t>
  </si>
  <si>
    <t>베지밀 에이 담백한 두유, 190ml, 16개 11,320원 (100ml당 372원) 내일(일) 도착 보장 새 상품, 반품-미개봉 (16) 최저10,750원 5 (59614) 최대 566원 적립</t>
  </si>
  <si>
    <t>백설 하얀설탕, 1kg, 5개 10%11,900원 10,700원 (100g당 214원) 내일(일) 도착 보장 5 (158269) 최대 535원 적립</t>
  </si>
  <si>
    <t>새우깡 매운새우깡, 90g, 5개 5,900원 (10g당 131원) 내일(일) 도착 보장 5 (37193) 최대 295원 적립</t>
  </si>
  <si>
    <t>서울우유 내 속이 편안한 우유, 900ml, 2개 20%7,340원 5,870원 (100ml당 326원) 내일(일) 새벽 도착 보장 5 (13303) 최대 294원 적립</t>
  </si>
  <si>
    <t>해태제과 샌드에이스 우유크림, 204g, 2개 7,520원 (10g당 184원) 내일(일) 도착 보장 4.5 (756) 최대 338원 적립</t>
  </si>
  <si>
    <t>샌드에이스</t>
  </si>
  <si>
    <t>[오스테리아 꼬또] 엔젤 소프트 스콘 (65g X 4개)</t>
  </si>
  <si>
    <t>오스테리아 꼬또</t>
  </si>
  <si>
    <t>[까사스 디 후알도] 아르베끼나 엑스트라버진 500mL</t>
  </si>
  <si>
    <t>까사스 디 후알도</t>
  </si>
  <si>
    <t>[육공육] 등심 슬라이스 250g</t>
  </si>
  <si>
    <t>육공육</t>
  </si>
  <si>
    <t>제주 브로콜리, 1개입, 1개 2,780원 (1개당 2,780원) 내일(일) 새벽 도착 보장 4.5 (2880) 최대 139원 적립</t>
  </si>
  <si>
    <t>백년농가 바나듐뿍 쌀, 2kg, 1개 14,980원 (100g당 749원) 내일(일) 도착 보장 4.5 (16177) 최대 749원 적립</t>
  </si>
  <si>
    <t>[정관장] 에브리타임 망고 플레이버 20포</t>
  </si>
  <si>
    <t>쿠라콘 시오 콘부 염장 다시마, 47g, 1개 5,980원 (100g당 12,723원) 내일(일) 도착 보장 5 (2722) 최대 299원 적립</t>
  </si>
  <si>
    <t>[법성포참맛] 영광굴비 (0.6kg 10미 / 1.2kg 20미) (냉동) (택1)</t>
  </si>
  <si>
    <t>투데이넛 너트한줌 믹스넛 치즈퀴노아, 20g, 50개 17%36,100원 29,900원 (100g당 2,990원) 내일(일) 도착 보장 4.5 (8674) 최대 1,480원 적립</t>
  </si>
  <si>
    <t>[쉐푸드] 참치마요 삼각김밥 (냉동/3개입)</t>
  </si>
  <si>
    <t>삼각김밥</t>
  </si>
  <si>
    <t>[오넛티] 아몬드 스프레드 (메이플) 230g</t>
  </si>
  <si>
    <t>[골든피스] 틴케이스 찹쌀약과 약과 3종(토끼, 사슴, 붉은말)</t>
  </si>
  <si>
    <t>골든피스</t>
  </si>
  <si>
    <t>구워져 렌지돌려 바로먹는 고등어 구이, 70g, 5개 25%18,900원 14,160원 (10g당 405원) 내일(일) 새벽 도착 보장 5 (10040) 최대 658원 적립</t>
  </si>
  <si>
    <t>구워져</t>
  </si>
  <si>
    <t>[비락] 올바른 소화가 잘되는 우유 (180mL X 12개)</t>
  </si>
  <si>
    <t>[속초해품] 명태회무침 160g (냉장)</t>
  </si>
  <si>
    <t>명태회무침</t>
  </si>
  <si>
    <t>오리지널그레인 2025년산 햅쌀 백미, 상등급, 4kg, 1개 5%16,900원 15,900원 (100g당 398원) 내일(일) 새벽 도착 보장 5 (2141) 최대 795원 적립</t>
  </si>
  <si>
    <t>[매일] 매일두유 고단백 검은콩 (190mL X 24팩)</t>
  </si>
  <si>
    <t>[야미요밀] 식빵 4종 (택1)</t>
  </si>
  <si>
    <t>[김소영 아티장의 안단테] 프랑스 레오 버터 250g 2종</t>
  </si>
  <si>
    <t>[선물세트] 콤비타 마누카꿀 UMF5+ 더블 세트 +(쇼핑백 증정)</t>
  </si>
  <si>
    <t>이롬 황성주 박사의 국산콩 두유 검은콩 고칼슘, 190ml, 20개 45%21,000원 11,360원 (100ml당 299원) 내일(일) 도착 보장 5 (171169) 최대 568원 적립</t>
  </si>
  <si>
    <t>농심 짜파게티 140g, 10개 9,730원 (1개당 973원) 내일(일) 새벽 도착 보장 5 (57674) 최대 486원 적립</t>
  </si>
  <si>
    <t>[Kim's butcher] 호주산 찜갈비 1.4kg(냉동)</t>
  </si>
  <si>
    <t>[무스] 메이플 버터 150g</t>
  </si>
  <si>
    <t>메이플 버터</t>
  </si>
  <si>
    <t>무스</t>
  </si>
  <si>
    <t>[YOZM] 그래놀라 토핑큐브 3종 (택1)</t>
  </si>
  <si>
    <t>[Kurly's] 동물복지 유정란 15구</t>
  </si>
  <si>
    <t>[하루한티] 메리골드 꽃차(국산) 25g</t>
  </si>
  <si>
    <t>꽃차</t>
  </si>
  <si>
    <t>[김소형원방] 흑염소 진액스틱 100포 + 쇼핑백증정</t>
  </si>
  <si>
    <t>[널담] 고단백 저당스콘 3종 (100g X 3개) (택1)</t>
  </si>
  <si>
    <t>유기농 찰진 오곡밥 800g</t>
  </si>
  <si>
    <t>즉석밥 오곡</t>
  </si>
  <si>
    <t>[노시타]화이트단무지</t>
  </si>
  <si>
    <t>단무지</t>
  </si>
  <si>
    <t>노시타</t>
  </si>
  <si>
    <t>[목우촌] 주부9단 베이컨 270g(90g*3)</t>
  </si>
  <si>
    <t>[진실된손맛] 메추리알 장조림</t>
  </si>
  <si>
    <t>[데체코] 통밀 파스타면 5종</t>
  </si>
  <si>
    <t>[KF365] 국산 손질 꽃게 2종 (냉동)</t>
  </si>
  <si>
    <t>꽃게</t>
  </si>
  <si>
    <t>풀무원 실의 힘 매일아침 순생나또, 49.5g, 8개입, 1개 1%7,800원 7,650원 (100g당 1,932원) 내일(일) 새벽 도착 보장 5 (54116) 최대 383원 적립</t>
  </si>
  <si>
    <t>[정미소] 유기농 특별재배 14분도미 2종</t>
  </si>
  <si>
    <t>[맥파이앤타이거] 먼슬리 티백 선물세트</t>
  </si>
  <si>
    <t>[CJ] 닭강정 480g</t>
  </si>
  <si>
    <t>한눈에 반한쌀 2종</t>
  </si>
  <si>
    <t>올가홀푸드 발아 보리차, 500g, 1개입, 1개 9,520원 (10g당 190원) 내일(일) 도착 보장 새 상품, 반품-미개봉 (8) 최저9,040원 5 (13678) 최대 476원 적립</t>
  </si>
  <si>
    <t>큐원 하얀 설탕, 3kg, 3개 15,840원 (100g당 176원) 내일(일) 도착 보장 5 (107099) 최대 792원 적립</t>
  </si>
  <si>
    <t>[라이스웰] 황동판에 구운 백미 누룽지</t>
  </si>
  <si>
    <t>라이스웰</t>
  </si>
  <si>
    <t>[매일유업] 바이오 요거트 3종 (택1)</t>
  </si>
  <si>
    <t>푸른빈 통흑후추, 200g, 1개 5,900원 (10g당 295원) 내일(일) 새벽 도착 보장 5 (1330) 최대 295원 적립</t>
  </si>
  <si>
    <t>푸른빈</t>
  </si>
  <si>
    <t>국내산 친환경 세척당근, 1kg, 1개 5,680원 (100g당 568원) 내일(일) 새벽 도착 보장 4.5 (17677) 최대 284원 적립</t>
  </si>
  <si>
    <t>농협 2025년 햅쌀 임금님표 이천쌀, 4kg, 1개, 특등급 22,780원 (100g당 570원) 내일(일) 도착 보장 4.5 (64042) 최대 1,139원 적립</t>
  </si>
  <si>
    <t>[La bocca] 레드벨벳케이크 680g</t>
  </si>
  <si>
    <t>복음자리 딸기잼, 500g, 1개 22%8,980원 7,000원 (100g당 1,400원) 내일(일) 새벽 도착 보장 5 (55468) 최대 350원 적립</t>
  </si>
  <si>
    <t>성일물산 파래와 재래김이 혼합된원초를 사용하여 향긋한 파래향을 느낄수 있는 파래김1속, 200g, 1개 11,690원 (10g당 585원) 내일(일) 도착 보장 4.5 (1886) 최대 585원 적립</t>
  </si>
  <si>
    <t>성일물산</t>
  </si>
  <si>
    <t>[제각각] 알배기 배추 2통</t>
  </si>
  <si>
    <t>[울트라잇츠] 울트라 펌킨티 호박차 3종 (2g X 20개) (택1)</t>
  </si>
  <si>
    <t>울트라잇츠</t>
  </si>
  <si>
    <t>햇님마을 양념이 잘 어우러지는 국산 고춧가루 보통매운맛, 110g, 1개 6,900원 (100g당 6,273원) 내일(일) 새벽 도착 보장 5 (7667) 최대 345원 적립</t>
  </si>
  <si>
    <t>[오뚜기] 컵누들 잔치쌀국수 6입</t>
  </si>
  <si>
    <t>컵누들</t>
  </si>
  <si>
    <t>큐원 하얀 설탕, 5kg, 2개 17,430원 (100g당 174원) 내일(일) 도착 보장 5 (107099) 최대 871원 적립</t>
  </si>
  <si>
    <t>[Kurly's] 국산콩 2컵두부 (150g*2컵)</t>
  </si>
  <si>
    <t>김치사발면 큰사발면 112g, 16개 15,750원 (1개당 984원) 내일(일) 도착 보장 5 (6474) 최대 788원 적립</t>
  </si>
  <si>
    <t>김치사발면</t>
  </si>
  <si>
    <t>[청정원] 햇살담은 맑은청간장 국찌개용 390ml</t>
  </si>
  <si>
    <t>백간장</t>
  </si>
  <si>
    <t>[라빈리커픽업][신년 특가] 스톨리치나야 초콜릿 코코넛 (스피릿)</t>
  </si>
  <si>
    <t>스톨리치나야</t>
  </si>
  <si>
    <t>초록원 딸기잼, 1kg, 1개 22%9,900원 7,650원 (100g당 765원) 내일(일) 새벽 도착 보장 4.5 (7830) 최대 383원 적립</t>
  </si>
  <si>
    <t>립톤 제로 복숭아 아이스티, 500ml, 6개 22%6,600원 5,140원 (100ml당 171원) 내일(일) 새벽 도착 보장 5 (660) 최대 257원 적립</t>
  </si>
  <si>
    <t>[제각각] 작은 양배추 1통 (600g)</t>
  </si>
  <si>
    <t>[진가네반찬] 건새우볶음 순한맛</t>
  </si>
  <si>
    <t>[투다리] 시그니처 김치우동 (2인분)</t>
  </si>
  <si>
    <t>[동원] 양반 파우치죽 8종 (택1)</t>
  </si>
  <si>
    <t>ESG 저탄소 GAP 함양 양파 1.5kg</t>
  </si>
  <si>
    <t>[발로코] 펙시네 초코 쿠키 350g</t>
  </si>
  <si>
    <t>발로코</t>
  </si>
  <si>
    <t>[KF365] 1+등급 무항생제 백색 특란 20구</t>
  </si>
  <si>
    <t>[오설록] 블렌디드 티백 4종 (택1)</t>
  </si>
  <si>
    <t>삼립 발효미종 정통단팥 호빵, 95g, 4개입, 2개 7,720원 (10g당 102원) 내일(일) 새벽 도착 보장 5 (9664) 최대 386원 적립</t>
  </si>
  <si>
    <t>[메종엠오] 바스크 치즈 케익 360g</t>
  </si>
  <si>
    <t>바스크 치즈 케이크</t>
  </si>
  <si>
    <t>[비움브레드] 비건 프로틴 베이글 (110g X 4개)</t>
  </si>
  <si>
    <t>비움브레드</t>
  </si>
  <si>
    <t>탐사스파클링 플레인 무라벨, 500ml, 20개 35%13,600원 8,790원 (100ml당 88원) 내일(일) 도착 보장 5 (59680) 최대 440원 적립</t>
  </si>
  <si>
    <t>탐사스파클링</t>
  </si>
  <si>
    <t>남양유업 맛있는우유GT 고소한 저지방우유, 900ml, 2개 5,570원 (100ml당 309원) 내일(일) 새벽 도착 보장 5 (56456) 최대 279원 적립</t>
  </si>
  <si>
    <t>오뚜기 사과식초, 1.8L, 2개 1%7,560원 7,460원 (10ml당 21원) 내일(일) 새벽 도착 보장 5 (8676) 최대 373원 적립</t>
  </si>
  <si>
    <t>[파스키에] 크루아상 (40g X 6개입)</t>
  </si>
  <si>
    <t>크루아상</t>
  </si>
  <si>
    <t>오뚜기 뉴슈가분말, 60g, 1개 5%520원 490원 (100g당 817원) 내일(일) 새벽 도착 보장 5 (2440) 최대 25원 적립</t>
  </si>
  <si>
    <t>[모두의식단] 소스 가득 닭다리살 5종 (1입/4입)</t>
  </si>
  <si>
    <t>[KF365] 양파 1.8kg</t>
  </si>
  <si>
    <t>[CU 픽업] 스파이밸리쇼비뇽블랑</t>
  </si>
  <si>
    <t>[루토사]  슈스트링 포테이토 프라이 400g</t>
  </si>
  <si>
    <t>[폰타나] 홀그레인 디종 허니머스타드 190g</t>
  </si>
  <si>
    <t>[서울우유] A2 플러스 우유 710mL</t>
  </si>
  <si>
    <t>양파 900g</t>
  </si>
  <si>
    <t>[선물세트] 명품 설편시 곶감 12구 (품종: 도근조생)</t>
  </si>
  <si>
    <t>[말돈] 플레이크 소금 2종</t>
  </si>
  <si>
    <t>[락티브] 베베&amp;키즈 칼슘 망간 비타민D 젤리 (14일분)</t>
  </si>
  <si>
    <t>[피자로빈슨] 뉴욕 메가 슬라이스 피자 페퍼로니</t>
  </si>
  <si>
    <t>피자</t>
  </si>
  <si>
    <t>[제스프리] 제주 골드키위 1.1kg (8~13입)</t>
  </si>
  <si>
    <t>제스프리</t>
  </si>
  <si>
    <t>[칸나멜라] 후추 그라인더 4종</t>
  </si>
  <si>
    <t>[푸드올로지] 발효 진저 크리스피</t>
  </si>
  <si>
    <t>[제스프리] 제주 골드키위 540g (4~6입)</t>
  </si>
  <si>
    <t>[바름팜] 친환경 꼭지제거한 마늘 200g</t>
  </si>
  <si>
    <t>[자임] 곤약젤리 5종</t>
  </si>
  <si>
    <t>곤약젤리</t>
  </si>
  <si>
    <t>베지밀 고단백두유 검은콩, 190ml, 16개 12,410원 (100ml당 408원) 내일(일) 도착 보장 새 상품, 반품-미개봉 (17) 최저11,780원 5 (12450) 최대 620원 적립</t>
  </si>
  <si>
    <t>황장군 일품 왕갈비탕 골드라벨 (냉동), 1kg, 1개 11,630원 (100g당 1,163원) 내일(일) 새벽 도착 보장 4.5 (2456) 최대 581원 적립</t>
  </si>
  <si>
    <t>황장군</t>
  </si>
  <si>
    <t>[제주맥주] 제주누보망고 프리미엄 논알콜 2종 (택1)</t>
  </si>
  <si>
    <t>제주맥주</t>
  </si>
  <si>
    <t>[사세] 빠삭한 새우링</t>
  </si>
  <si>
    <t>풀무원 동물복지 목초란, 10구, 1개 7,980원 (1구당 798원) 내일(일) 새벽 도착 보장 5 (24254) 최대 399원 적립</t>
  </si>
  <si>
    <t>[졸리넛츠] 넛츠 오리진 400g (20gX20봉)</t>
  </si>
  <si>
    <t>졸리넛츠</t>
  </si>
  <si>
    <t>[종가] 배추겉절이</t>
  </si>
  <si>
    <t>[Chai797] 블랙하가우</t>
  </si>
  <si>
    <t>[CU 픽업] 호세쿠엘보 레포사도</t>
  </si>
  <si>
    <t>[잘식비]  양파크림소스 200g (냉장)</t>
  </si>
  <si>
    <t>크림소스</t>
  </si>
  <si>
    <t>잘식비</t>
  </si>
  <si>
    <t>[더다믐] 김칩스 오리지널 44g</t>
  </si>
  <si>
    <t>김칩</t>
  </si>
  <si>
    <t>[지엔씨푸드] 아이스 파인애플 샤베트 150mL</t>
  </si>
  <si>
    <t>샤베트</t>
  </si>
  <si>
    <t>지엔씨푸드</t>
  </si>
  <si>
    <t>[진가네반찬] 땅콩조림</t>
  </si>
  <si>
    <t>땅콩조림</t>
  </si>
  <si>
    <t>곰표 밀가루 중력다목적용, 3kg, 2개 7,910원 (1개당 3,955원) 내일(일) 도착 보장 5 (78056) 최대 395원 적립</t>
  </si>
  <si>
    <t>[휘태커스] 미니슬랩 팝핑 트위츠  초콜릿 180g</t>
  </si>
  <si>
    <t>[선물세트] 일건식 생강진액 세트</t>
  </si>
  <si>
    <t>[진가네반찬] 땅콩조림 300g (대용량)</t>
  </si>
  <si>
    <t>엉클탁 볶은 통 참깨, 500g, 1개 25%7,980원 5,980원 (100g당 1,196원) 내일(일) 도착 보장 4.5 (11218) 최대 299원 적립</t>
  </si>
  <si>
    <t>[근대골목단팥빵] 앙금 모카빵 (90g X 5개)</t>
  </si>
  <si>
    <t>[진가네반찬] 양배추쌈</t>
  </si>
  <si>
    <t>양배추 쌈</t>
  </si>
  <si>
    <t>오뚜기 옛날 물엿, 2.45kg, 1개 16%8,680원 7,280원 (100g당 297원) 내일(일) 도착 보장 새 상품, 반품-미개봉 (68) 최저6,910원 5 (46073) 최대 364원 적립</t>
  </si>
  <si>
    <t>물하나 ECO 생수 무라벨, 2L, 12개 6,480원 (100ml당 27원) 내일(일) 도착 보장 5 (54090) 최대 324원 적립</t>
  </si>
  <si>
    <t>물하나</t>
  </si>
  <si>
    <t>Ballantyne 스프레더블 버터 20입, 140g, 1개 7,000원 (100g당 5,000원) 내일(일) 새벽 도착 보장 5 (11252) 최대 350원 적립</t>
  </si>
  <si>
    <t>Ballantyne</t>
  </si>
  <si>
    <t>[서울우유] 나 100% 우유 1.8L</t>
  </si>
  <si>
    <t>[조선호텔] 갈비탕 730g</t>
  </si>
  <si>
    <t>밀양 조림감자, 1kg, 1개 2,590원 (100g당 259원) 내일(일) 새벽 도착 보장 4.5 (8044) 최대 130원 적립</t>
  </si>
  <si>
    <t>밀양</t>
  </si>
  <si>
    <t>[진실된손맛] 남도 알배추 겉절이</t>
  </si>
  <si>
    <t>[집반찬연구소] 저당 양배추 짜장 덮밥 소스</t>
  </si>
  <si>
    <t>짜장소스</t>
  </si>
  <si>
    <t>[김소영 아티장의 안단테] 벨레트왈 크리미 슬라이스</t>
  </si>
  <si>
    <t>[파스퇴르] 바른목장 소화가 잘되는 우유 2.3L</t>
  </si>
  <si>
    <t>[집반찬연구소KIDS] 한우 배추볶음 110g</t>
  </si>
  <si>
    <t>한우 배추볶음</t>
  </si>
  <si>
    <t>집반찬연구소KIDS</t>
  </si>
  <si>
    <t>[단골식당] 부드러운 소고기 육전 200g</t>
  </si>
  <si>
    <t>단골식당</t>
  </si>
  <si>
    <t>[해찬미소] 깐새우장 2종 (택1)</t>
  </si>
  <si>
    <t>해찬미소</t>
  </si>
  <si>
    <t>[지유가오카] 당근케익 820g</t>
  </si>
  <si>
    <t>당근 케이크</t>
  </si>
  <si>
    <t>지유가오카</t>
  </si>
  <si>
    <t>세브란스에이투 전용목장 단백우유, 125ml, 12개 14%11,900원 10,200원 (100ml당 680원) 내일(일) 도착 보장 5 (18797) 최대 510원 적립</t>
  </si>
  <si>
    <t>[KF365] 간편한 손질오징어 600g (냉동)</t>
  </si>
  <si>
    <t>곰곰 신선한 1A 우유, 900ml, 10개 18,450원 (100ml당 205원) 내일(일) 새벽 도착 보장 5 (425978) 최대 923원 적립</t>
  </si>
  <si>
    <t>[소와나무] 모짜렐라 슬라이스 치즈 15매입</t>
  </si>
  <si>
    <t>[YOZM] 플레인 그릭요거트 소프트 100g</t>
  </si>
  <si>
    <t>[베베쿡] 처음먹는 어린이김 오리지널 10봉</t>
  </si>
  <si>
    <t>[피그인더가든] 데일리믹스 베이직샐러드</t>
  </si>
  <si>
    <t>[창억] 찰떡 5종 (택1)</t>
  </si>
  <si>
    <t>찰떡</t>
  </si>
  <si>
    <t>[천호엔케어] 블루베리 프리미엄 30팩</t>
  </si>
  <si>
    <t>[천호엔케어] 양배추청 30팩</t>
  </si>
  <si>
    <t>[1등급 한우] 등심 구이용 200g (냉장)</t>
  </si>
  <si>
    <t>[삼진어묵] 어묵탕 모듬 어묵</t>
  </si>
  <si>
    <t>[쉐푸드] 유부초밥 (4입)</t>
  </si>
  <si>
    <t>건 표고버섯 100g</t>
  </si>
  <si>
    <t>무농약 인증 단호박 죽용 (냉동), 1개, 500g 6,990원 (100g당 1,398원) 내일(일) 새벽 도착 보장 4.5 (332) 최대 350원 적립</t>
  </si>
  <si>
    <t>삼립 버터롤 클레식 21개입, 546g, 1개 4,390원 (10g당 80원) 내일(일) 새벽 도착 보장 5 (40267) 최대 220원 적립</t>
  </si>
  <si>
    <t>[이어수산] 8단계 선별한 남해안 밥새우 200g</t>
  </si>
  <si>
    <t>[하선정] 쌈무(새콤) 350g</t>
  </si>
  <si>
    <t>맥널티커피 스테비아 커피믹스, 9.5g, 30개입, 1개 7,450원 (10g당 261원) 내일(일) 도착 보장 5 (12661) 최대 373원 적립</t>
  </si>
  <si>
    <t>맥널티커피</t>
  </si>
  <si>
    <t>곰표 강력 밀가루, 2.5kg, 2개 8,950원 (100g당 179원) 내일(일) 도착 보장 5 (14644) 최대 448원 적립</t>
  </si>
  <si>
    <t>[제주 성이시돌목장] 유기농 모짜렐라 블록치즈 300g</t>
  </si>
  <si>
    <t>제주 성이시돌목장</t>
  </si>
  <si>
    <t>[청정원] 담백한 올라운드 햄 2종</t>
  </si>
  <si>
    <t>한끼통살 그릴드 닭가슴살 5종 x 2p 세트 (냉동), 100g, 1개입, 10개 21,620원 (100g당 2,162원) 내일(일) 새벽 도착 보장 5 (19734) 최대 1,081원 적립</t>
  </si>
  <si>
    <t>오뚜기 옛날 조청 쌀엿, 700g, 1개 4,470원 (100g당 639원) 내일(일) 도착 보장 5 (28250) 최대 224원 적립</t>
  </si>
  <si>
    <t>[그로서리서울] 곤약쫀드기 옥수수 (10개입)</t>
  </si>
  <si>
    <t>쫀드기</t>
  </si>
  <si>
    <t>[CU 픽업] 휘틀리 닐 루바브&amp;진저</t>
  </si>
  <si>
    <t>휘틀리 닐</t>
  </si>
  <si>
    <t>2025년산 햅쌀 곰곰 소중한 우리쌀, 4kg, 1개 31%24,500원 16,890원 (100g당 422원) 내일(일) 새벽 도착 보장 새 상품, 반품 (2) 5 (3853) 최대 845원 적립</t>
  </si>
  <si>
    <t>쿠즈락 치잇데이 큐브잇 닭가슴살 훈제 (냉동), 1kg, 1개, 1개입 11,800원 (100g당 1,180원) 내일(일) 새벽 도착 보장 4.5 (397) 최대 590원 적립</t>
  </si>
  <si>
    <t>하선정 한입쌈무 와사비맛, 200g, 1개 1,720원 (100g당 860원) 내일(일) 새벽 도착 보장 5 (696) 최대 86원 적립</t>
  </si>
  <si>
    <t>[CU 픽업] 윌더니스하이라이버번</t>
  </si>
  <si>
    <t>월더니스 트레일</t>
  </si>
  <si>
    <t>[할리스] 커피 캡슐 10개입 4종(택1)</t>
  </si>
  <si>
    <t>서울우유 A2플러스 우유, 2개, 1.7L 12,310원 (100ml당 362원) 내일(일) 새벽 도착 보장 5 (18171) 최대 615원 적립</t>
  </si>
  <si>
    <t>배대감 국산 감자전분, 350g, 1개 37%7,990원 5,000원 (100g당 1,429원) 내일(일) 새벽 도착 보장 5 (597) 최대 250원 적립</t>
  </si>
  <si>
    <t>[비비고] 든든 한섬만두 384gx2개입</t>
  </si>
  <si>
    <t>[콜린스 다이닝] 파로 쉬라즈 샐러드</t>
  </si>
  <si>
    <t>[집반찬연구소] 소고기육전과파채</t>
  </si>
  <si>
    <t>[마이셰프] 한우 사골 떡만둣국</t>
  </si>
  <si>
    <t>[고래주방] 유부주머니 어묵탕</t>
  </si>
  <si>
    <t>[김정배명인] 새우젓 4종 (택1)</t>
  </si>
  <si>
    <t>새우젓</t>
  </si>
  <si>
    <t>김정배명인</t>
  </si>
  <si>
    <t>[선물세트] GAP  상주 간편곶감세트 800g (20입)</t>
  </si>
  <si>
    <t>[우리밀] 전병 모음</t>
  </si>
  <si>
    <t>농심 짜파게티 범벅 미니 컵라면 70g, 12개 9,880원 (1개당 823원) 내일(일) 도착 보장 5 (83249) 최대 494원 적립</t>
  </si>
  <si>
    <t>[남도2대명가] 미역줄기 300g</t>
  </si>
  <si>
    <t>봉평촌 메밀 부침가루, 800g, 1개 27%9,000원 6,570원 (100g당 821원) 내일(일) 도착 보장 4.5 (5125) 최대 329원 적립</t>
  </si>
  <si>
    <t>봉평촌</t>
  </si>
  <si>
    <t>[레인코스트] 살구 무화과&amp;레몬 150g</t>
  </si>
  <si>
    <t>레인코스트</t>
  </si>
  <si>
    <t>국내산 청양고추, 60g, 1개 1,650원 (100g당 2,750원) 내일(일) 새벽 도착 보장 5 (298508) 최대 83원 적립</t>
  </si>
  <si>
    <t>[밀크앤허니] 데니쉬 미니 식빵 130g</t>
  </si>
  <si>
    <t>비비고 갈치구이, 70g, 2개 66%26,620원 8,950원 (100g당 6,393원) 내일(일) 새벽 도착 보장 4.5 (9116) 최대 448원 적립</t>
  </si>
  <si>
    <t>[풀무원] 아임뽀끼 컵 떡볶이 3종 (택1)</t>
  </si>
  <si>
    <t>[닥터유] 저당 에너지바 미니 202.5g</t>
  </si>
  <si>
    <t>본사직영 제주 성이시돌 목장 유기농 우유 멸균우유 (140ml x 24개입), 140ml, 24개 4%30,000원 28,530원 (100ml당 849원) 내일(일) 도착 보장 5 (427) 최대 1,426원 적립</t>
  </si>
  <si>
    <t>본사직영</t>
  </si>
  <si>
    <t>PSK 칠레산 블루베리, 125g, 3팩 할인49%17,970원 9,000원 (100g당 2,400원) 내일(일) 새벽 도착 보장 4.5 (43006) 최대 450원 적립</t>
  </si>
  <si>
    <t>PSK</t>
  </si>
  <si>
    <t>[청정원] 프레시 마요네즈 300g</t>
  </si>
  <si>
    <t>베버시티 후르티 딸기스무디, 세미 딸기스무디1.8kg, 1개 9,000원 내일(일) 도착 보장 새 상품, 반품-미개봉 (39) 최저8,000원 5 (1332) 최대 450원 적립</t>
  </si>
  <si>
    <t>딸기 주스</t>
  </si>
  <si>
    <t>베버시티</t>
  </si>
  <si>
    <t>[조우] No.9 1++ 뼈없는 한우 갈비탕</t>
  </si>
  <si>
    <t>조우</t>
  </si>
  <si>
    <t>딜리셔스마켓 월계수잎 향신료, 25g, 1개 5,000원 (100g당 20,000원) 내일(일) 도착 보장 5 (14692) 최대 250원 적립</t>
  </si>
  <si>
    <t>딜리셔스마켓</t>
  </si>
  <si>
    <t>[목우촌목장] 국내산 소고기 절단 양지 200g</t>
  </si>
  <si>
    <t>[신라명과] 골드바 휘낭시에 (28g X 9개)</t>
  </si>
  <si>
    <t>[도드람한돈] 갈매기살 구이용 500g (냉장)</t>
  </si>
  <si>
    <t>갈매기살</t>
  </si>
  <si>
    <t>[헬카페] 시그니처 블렌드 강배전 드립백 (12g X 7개)</t>
  </si>
  <si>
    <t>[한끼통살] 닭가슴살 볼 5종 (1팩/4팩) (택1)</t>
  </si>
  <si>
    <t>[올계] 유기농 닭가슴살 200g (냉동)</t>
  </si>
  <si>
    <t>[푸드어셈블] 시금치 크림 뇨끼</t>
  </si>
  <si>
    <t>뇨끼</t>
  </si>
  <si>
    <t>[호은] 순 볶음 참깨, 1kg, 1개 할인5%9,600원 9,060원 (100g당 906원) 내일(일) 도착 보장 4.5 (566) 최대 448원 적립</t>
  </si>
  <si>
    <t>호은</t>
  </si>
  <si>
    <t>굿뜨래 알찬 실속밤, 1kg(대), 1개 9,990원 (100g당 999원) 내일(일) 새벽 도착 보장 4 (721) 최대 500원 적립</t>
  </si>
  <si>
    <t>굿뜨래</t>
  </si>
  <si>
    <t>곰곰 중력다목적용 밀가루, 1kg, 5개 6,080원 (100g당 122원) 내일(일) 도착 보장 5 (1439) 최대 304원 적립</t>
  </si>
  <si>
    <t>[프레스버터샌드] 플레인 버터샌드 2종 (택1)</t>
  </si>
  <si>
    <t>버터샌드</t>
  </si>
  <si>
    <t>프레스버터샌드</t>
  </si>
  <si>
    <t>[크라운] 참 크래커 알프스 295g</t>
  </si>
  <si>
    <t>참 크래커</t>
  </si>
  <si>
    <t>매일우유 오리지널, 2.3L, 1개 7,820원 (100ml당 340원) 내일(일) 새벽 도착 보장 5 (30932) 최대 391원 적립</t>
  </si>
  <si>
    <t>[바샤커피] 프리미엄 커피 드립백 12g X 12개입 3종(택1)</t>
  </si>
  <si>
    <t>[CU 픽업] 크레스만레드</t>
  </si>
  <si>
    <t>메론빵</t>
  </si>
  <si>
    <t>크레스만</t>
  </si>
  <si>
    <t>[비비고] 총각김치 400g</t>
  </si>
  <si>
    <t>비비고 김말이 (냉동), 500g, 1개 50%9,980원 4,980원 (100g당 996원) 내일(일) 새벽 도착 보장 5 (7229) 최대 249원 적립</t>
  </si>
  <si>
    <t>냉동 김말이</t>
  </si>
  <si>
    <t>[포트'럭] 제철 손질 고등어자반 2종 (생물) (택1)</t>
  </si>
  <si>
    <t>할리스 스테비아 커피믹스, 9.5g, 100개입, 1개 13,990원 (10g당 147원) 2/11(수) 도착 예정 5 (1804) 최대 700원 적립</t>
  </si>
  <si>
    <t>삼호어묵 부산어묵 바른사각, 240g, 6개 쿠폰할인25%8,280원 6,130원 (100g당 426원) 내일(일) 새벽 도착 보장 5 (84141) 최대 306원 적립</t>
  </si>
  <si>
    <t>냉동 와일드 블루베리 500g (캐나다)</t>
  </si>
  <si>
    <t>냉동 블루베리</t>
  </si>
  <si>
    <t>맥심 모카골드 마일드 커피믹스 12g x 320p + 화이트골드 커피믹스 11.7g x 20p, 1세트 53,690원 내일(일) 도착 보장 5 (45095) 최대 2,685원 적립</t>
  </si>
  <si>
    <t>미원 맛소금, 2kg, 2개 10,700원 (100g당 268원) 내일(일) 도착 보장 5 (82879) 최대 535원 적립</t>
  </si>
  <si>
    <t>[서울우유] 짜먹는 요구르트 짜요짜요 3종 (40g X 6개) (택1)</t>
  </si>
  <si>
    <t>짜요짜요</t>
  </si>
  <si>
    <t>[풀무원] 모짜렐라 핫도그 320g(80gX4개입)</t>
  </si>
  <si>
    <t>드로게리아앤알리멘타리 통흑후추밀, 45g, 1개 4,950원 (10g당 1,100원) 내일(일) 새벽 도착 보장 5 (897) 최대 248원 적립</t>
  </si>
  <si>
    <t>[종근당건강] 카무트 브랜드밀 발효효소 30포</t>
  </si>
  <si>
    <t>종근당건강</t>
  </si>
  <si>
    <t>건국유업 무항생제 인증 착한목장 우유, 750ml, 2개 6,600원 (100ml당 440원) 내일(일) 새벽 도착 보장 5 (21603) 최대 330원 적립</t>
  </si>
  <si>
    <t>[호텔컬렉션 에센셜] 순두부찌개</t>
  </si>
  <si>
    <t>호텔컬렉션 에센셜</t>
  </si>
  <si>
    <t>[마이노멀] 저당 제로젤리 2종 (택1)</t>
  </si>
  <si>
    <t>크라운 땅콩카라멜, 324g, 2개 44%10,800원 5,980원 (10g당 92원) 내일(일) 도착 보장 5 (8286) 최대 299원 적립</t>
  </si>
  <si>
    <t>카라멜</t>
  </si>
  <si>
    <t>[덴마크] 드링킹 요구르트 4종 (275mL X 3개)(택1)</t>
  </si>
  <si>
    <t>썬키스트 제로 오렌지 소다, 355ml, 24개 64%36,000원 12,900원 (100ml당 151원) 내일(일) 도착 보장 5 (1957) 최대 548원 적립</t>
  </si>
  <si>
    <t>썬키스트</t>
  </si>
  <si>
    <t>[큐피] 오리지널 마요네즈</t>
  </si>
  <si>
    <t>CJ제일제당 행복한콩 큰두부, 1kg, 1개 1%3,580원 3,510원 (100g당 351원) 내일(일) 새벽 도착 보장 5 (18542) 최대 175원 적립</t>
  </si>
  <si>
    <t>[KF365] 무항생제 대란 20구</t>
  </si>
  <si>
    <t>농심 멸치 칼국수, 98g, 10개 8,800원 (100g당 898원) 내일(일) 도착 보장 5 (55393) 최대 440원 적립</t>
  </si>
  <si>
    <t>멸치칼국수</t>
  </si>
  <si>
    <t>비셰프 나초치즈 소스, 1kg, 1개 9,250원 (100g당 925원) 내일(일) 새벽 도착 보장 4.5 (1270) 최대 463원 적립</t>
  </si>
  <si>
    <t>치즈 소스</t>
  </si>
  <si>
    <t>비셰프</t>
  </si>
  <si>
    <t>[매일] 바이오 요거트 4종 (85g X 4개) (택1)</t>
  </si>
  <si>
    <t>포스틱 과자, 84g, 6개 7,800원 (10g당 155원) 내일(일) 도착 보장 5 (23308) 최대 390원 적립</t>
  </si>
  <si>
    <t>짱구 21곡 초코바 15g x 15입</t>
  </si>
  <si>
    <t>짱구</t>
  </si>
  <si>
    <t>[올가] 유기농 밀가루 500g</t>
  </si>
  <si>
    <t>[미로식당] 국물 떡볶이 (1봉/2봉) (택1)</t>
  </si>
  <si>
    <t>미로식당</t>
  </si>
  <si>
    <t>베베쿡 처음먹는 유기농 보리차, 120ml, 20개 쿠폰할인5%17,900원 16,900원 (100ml당 704원) 내일(일) 도착 보장 5 (5586) 최대 710원 적립</t>
  </si>
  <si>
    <t>[청산에] 청자채 구운 곱창 돌김(캔) 30g</t>
  </si>
  <si>
    <t>[바름팜] 창녕 양파 1.5kg</t>
  </si>
  <si>
    <t>[고메] 소바바치킨 순살 4종 (택1)</t>
  </si>
  <si>
    <t>치킨</t>
  </si>
  <si>
    <t>[KF365] 무항생제 대란 40구 (20구*2ea)</t>
  </si>
  <si>
    <t>[곡물이야기] 가마솥 누룽지 1kg (국내산)</t>
  </si>
  <si>
    <t>곡물이야기</t>
  </si>
  <si>
    <t>국내산 무, 1개입, 1개 1,680원 (1개당 1,680원) 내일(일) 새벽 도착 보장 4.5 (269494) 최대 84원 적립</t>
  </si>
  <si>
    <t>[정호영셰프의 우동카덴] 명란 크림 우동</t>
  </si>
  <si>
    <t>정호영셰프의 우동카덴</t>
  </si>
  <si>
    <t>롯데웰푸드 티코 밀크초코 아이스크림 (냉동), 34ml, 15개입, 1개 10%8,000원 7,200원 (10ml당 141원) 내일(일) 새벽 도착 보장 5 (31454) 최대 360원 적립</t>
  </si>
  <si>
    <t>자연다움 건포도, 100g, 1개 60%6,000원 2,390원 (100g당 2,390원) 내일(일) 도착 보장 4.5 (1180) 최대 120원 적립</t>
  </si>
  <si>
    <t>곰곰 미국산 만다린, 700g, 1개 7,980원 (100g당 1,140원) 내일(일) 새벽 도착 보장 4.5 (1539) 최대 399원 적립</t>
  </si>
  <si>
    <t>[집반찬연구소] 멸치주먹밥 재료</t>
  </si>
  <si>
    <t>데친 고사리 200g</t>
  </si>
  <si>
    <t>[베이비벨] 미니 베이비벨 프로틴 치즈 (20g X 5입)</t>
  </si>
  <si>
    <t>베이비벨</t>
  </si>
  <si>
    <t>[농심] 농심라면 4입</t>
  </si>
  <si>
    <t>[모두의맛집] 오세득의 가지 라자냐</t>
  </si>
  <si>
    <t>[바름팜] 간편하게 손질한 사각 무 300g</t>
  </si>
  <si>
    <t>[바디랩] 순수두유 99.9 (190mL X 24개)</t>
  </si>
  <si>
    <t>바른곡물 국산 현미, 1kg, 1개 44%9,200원 5,080원 (100g당 508원) 내일(일) 도착 보장 4.5 (406) 최대 254원 적립</t>
  </si>
  <si>
    <t>[나폴레옹] 얼그레이 파운드케이크 330g</t>
  </si>
  <si>
    <t>덴마크 테이크 얼라이브 망고, 120ml, 48개 64%42,000원 14,900원 (100ml당 259원) 내일(일) 도착 보장 5 (24602) 최대 745원 적립</t>
  </si>
  <si>
    <t>망고 주스</t>
  </si>
  <si>
    <t>오렌지 살구잼</t>
  </si>
  <si>
    <t>[라비퀸] 오리지널 떡볶이</t>
  </si>
  <si>
    <t>[라벨리] 깨먹는 티라미수 아이스크림 120mL</t>
  </si>
  <si>
    <t>국내산 깐감자, 450g, 2개 6,180원 (100g당 687원) 내일(일) 새벽 도착 보장 4.5 (20192) 최대 309원 적립</t>
  </si>
  <si>
    <t>맑은물에 곱슬이 콩나물, 1박스, 2kg 4,800원 (100g당 240원) 내일(일) 새벽 도착 보장 4.5 (10316) 최대 240원 적립</t>
  </si>
  <si>
    <t>[선물세트] 만전김 담백한 갯벌김 정성세트</t>
  </si>
  <si>
    <t>미니멜츠 쵸코바닐라 구슬아이스크림 (냉동), 50g, 6개입, 1개 11,880원 (10g당 396원) 내일(일) 새벽 도착 보장 4.5 (3276) 최대 594원 적립</t>
  </si>
  <si>
    <t>미니멜</t>
  </si>
  <si>
    <t>매일유업 바이오 요거트 백도 85g x 4개 + 딸기 85g x 4개, 8개입, 1세트 5,680원 (10g당 84원) 내일(일) 새벽 도착 보장 5 (3143) 최대 284원 적립</t>
  </si>
  <si>
    <t>친환경 진도 봄동</t>
  </si>
  <si>
    <t>봄동</t>
  </si>
  <si>
    <t>김구원선생 무농약 인증 숙주나물, 200g, 1개 2,190원 (100g당 1,095원) 내일(일) 새벽 도착 보장 4.5 (738) 최대 110원 적립</t>
  </si>
  <si>
    <t>하림 IFF 닭다리살 (냉동), 2kg, 1개 29,660원 (100g당 1,483원) 내일(일) 새벽 도착 보장 5 (5398) 최대 1,483원 적립</t>
  </si>
  <si>
    <t>[상하목장] 유기농 락토프리 멸균 우유(190mL X 6개입)</t>
  </si>
  <si>
    <t>[새로미어묵] 바른공식 0% 모듬어묵</t>
  </si>
  <si>
    <t>해슬로 노르웨이 간고등어살 6~10팩 (냉동), 1kg(100-160g,6-10팩), 1개 16,480원 (100g당 1,648원) 내일(일) 새벽 도착 보장 4.5 (473) 최대 824원 적립</t>
  </si>
  <si>
    <t>해슬로</t>
  </si>
  <si>
    <t>아이시스 8.0 에코 생수 무라벨, 1L, 24개 18%15,200원 12,460원 (100ml당 52원) 내일(일) 도착 보장 5 (117915) 최대 623원 적립</t>
  </si>
  <si>
    <t>친환경 오이맛고추 100g</t>
  </si>
  <si>
    <t>곰곰 닭 목살 (냉동), 1kg, 1개 30%12,000원 8,370원 (100g당 837원) 내일(일) 새벽 도착 보장 5 (1562) 최대 419원 적립</t>
  </si>
  <si>
    <t>루카스나인 시그니처 바닐라 라떼 커피믹스, 16.9g, 50개입, 1개 19,160원 (10g당 227원) 내일(일) 도착 보장 5 (29422) 최대 958원 적립</t>
  </si>
  <si>
    <t>[슈퍼키친] 지리멸치볶음</t>
  </si>
  <si>
    <t>[고맙당] 저당 쌈장</t>
  </si>
  <si>
    <t>[해찬들]  100% 국산 고추장 1kg</t>
  </si>
  <si>
    <t>[지리산한봉영농조합] 지리산 꿀 2종</t>
  </si>
  <si>
    <t>[남도우애] 무항생제 1++ 한우 국거리용 200g 2종 (냉장)</t>
  </si>
  <si>
    <t>[모리나가] 문라이트, 블랙문 쿠키 2종 (택1)</t>
  </si>
  <si>
    <t>모리나가</t>
  </si>
  <si>
    <t>[백설다담] 옛맛 담은 우렁강된장찌개</t>
  </si>
  <si>
    <t>제누 스테비아 단백질 커피믹스 바리스타, 9.8g, 100개입, 1개 43%69,900원 39,780원 (10g당 406원) 내일(일) 도착 보장 4.5 (12617) 최대 1,689원 적립</t>
  </si>
  <si>
    <t>너츠브라더 구운 아몬드, 500g, 1개 할인20%13,830원 11,060원 (100g당 2,212원) 내일(일) 도착 보장 5 (826) 최대 553원 적립</t>
  </si>
  <si>
    <t>너츠브라더</t>
  </si>
  <si>
    <t>[선물세트] 나주 신고배 세트 4.5kg(6~7입) (예약일 수령)</t>
  </si>
  <si>
    <t>팔도 뽀로로 아기보리차, 220ml, 24개 13%19,900원 17,200원 (100ml당 326원) 내일(일) 도착 보장 5 (22999) 최대 860원 적립</t>
  </si>
  <si>
    <t>팔도</t>
  </si>
  <si>
    <t>헤븐힐 디스틸러리</t>
  </si>
  <si>
    <t>[조선호텔]칠리새우 500g</t>
  </si>
  <si>
    <t>[셀렉스] 프로틴바 2종 (택1)</t>
  </si>
  <si>
    <t>[사조대림] 김밥애쏘옥 462g</t>
  </si>
  <si>
    <t>맛살</t>
  </si>
  <si>
    <t>파스퇴르 전용목장 우유, 200ml, 20개 16,590원 (100ml당 415원) 내일(일) 도착 보장 새 상품, 반품-미개봉 (11) 최저15,760원 5 (3335) 최대 830원 적립</t>
  </si>
  <si>
    <t>[까르미아노] 롱 파스타면 5종 (택1)</t>
  </si>
  <si>
    <t>까르미아노</t>
  </si>
  <si>
    <t>뉴뜨레 냉동 망고 다이스 베트남산, 1kg, 6개 34,300원 (100g당 572원) 내일(일) 새벽 도착 보장 5 (1109) 최대 1,500원 적립</t>
  </si>
  <si>
    <t>뉴뜨레</t>
  </si>
  <si>
    <t>[미트엔조이] 호주산 꽃갈비/늑간 반반팩</t>
  </si>
  <si>
    <t>갈비</t>
  </si>
  <si>
    <t>[건어물상회] 한입에 쏙 치즈 오징어 40g</t>
  </si>
  <si>
    <t>[브로드카세] 고소한 사브레 쿠키 2종 (택1)</t>
  </si>
  <si>
    <t>국내산 통마늘 3개입, 1개 2,480원 내일(일) 새벽 도착 보장 5 (683) 최대 124원 적립</t>
  </si>
  <si>
    <t>[앙투어솔레] 아이리쉬 그릴링 치즈 300g</t>
  </si>
  <si>
    <t>앙투어솔레</t>
  </si>
  <si>
    <t>[크라운] 크림블 크림브륄레 320g</t>
  </si>
  <si>
    <t>크림블</t>
  </si>
  <si>
    <t>크라운레스 디럭스 파인애플 점보 2통, 3.5kg, 1개 16,720원 (100g당 478원) 내일(일) 새벽 도착 보장 4.5 (2884) 최대 836원 적립</t>
  </si>
  <si>
    <t>국내산 브로콜리, 2개입, 2개 7,680원 (1개당 1,920원) 내일(일) 새벽 도착 보장 5 (204182) 최대 384원 적립</t>
  </si>
  <si>
    <t>냉동 허니 블루베리 500g (칠레산)</t>
  </si>
  <si>
    <t>아이시스 8.0 ECO 생수 무라벨, 2L, 12개 13%11,200원 9,690원 (100ml당 40원) 내일(일) 도착 보장 5 (117916) 최대 485원 적립</t>
  </si>
  <si>
    <t>[도제식빵] 통새우산도</t>
  </si>
  <si>
    <t>새우산도</t>
  </si>
  <si>
    <t>유기농 달수 고구마 1.5kg</t>
  </si>
  <si>
    <t>[벤슨] 미니컵 아이스크림 100mL 4종</t>
  </si>
  <si>
    <t>벤슨</t>
  </si>
  <si>
    <t>[창억] 이북식 인절미 360g 2종 (택1)</t>
  </si>
  <si>
    <t>[Kurly's] 돈육햄 200g</t>
  </si>
  <si>
    <t>국내산 양상추, 1통, 1개 2,240원 (1개당 2,240원) 내일(일) 새벽 도착 보장 4.5 (110263) 최대 112원 적립</t>
  </si>
  <si>
    <t>[바른식] 부산 조방낙지 낙곱새 (2인분)</t>
  </si>
  <si>
    <t>[선물세트] 녹색한우 무항생제 1+ 한우 로인 세트 (냉장)</t>
  </si>
  <si>
    <t>오뚜기 양조식초, 1.8L, 2개 4,600원 (10ml당 13원) 내일(일) 새벽 도착 보장 5 (11778) 최대 230원 적립</t>
  </si>
  <si>
    <t>믈레코비타 아이러브밀크 멸균 우유 3.5%, 1L, 36개 14%62,400원 53,660원 (100ml당 149원) 내일(일) 도착 보장 5 (77265) 최대 2,683원 적립</t>
  </si>
  <si>
    <t>[복음자리] 딸기잼 500g</t>
  </si>
  <si>
    <t>국내산 양파(소), 1kg, 1개 2,990원 (100g당 299원) 내일(일) 새벽 도착 보장 4.5 (95092) 최대 150원 적립</t>
  </si>
  <si>
    <t>국내산 청양고추, 60g, 3개 2,780원 (100g당 1,544원) 내일(일) 새벽 도착 보장 5 (298518) 최대 139원 적립</t>
  </si>
  <si>
    <t>롯데웰푸드 키스틱 소시지, 800g, 2개 15,890원 (10g당 99원) 내일(일) 도착 보장 4.5 (45929) 최대 795원 적립</t>
  </si>
  <si>
    <t>[그로서리서울] 곤약쫀드기 인절미 (10개입)</t>
  </si>
  <si>
    <t>[도드람한돈] 미트공방 비엔나 소시지 250g</t>
  </si>
  <si>
    <t>[선물세트] 아티장비스킷 커피 앤 티 페어링 비스킷 2종 (택1)</t>
  </si>
  <si>
    <t>오뚜기옛날 참기름, 350ml, 1개 5,700원 (10ml당 163원) 내일(일) 새벽 도착 보장 5 (1663) 최대 285원 적립</t>
  </si>
  <si>
    <t>[마켓컬리X매일유업] My Basic 매일 좋은 1A 우유 900mL</t>
  </si>
  <si>
    <t>[기뜬정] 수제 오란다 서울 세트 (20g X 18개)</t>
  </si>
  <si>
    <t>웅진빅토리아 더빅토리아 자두 탄산음료, 500ml, 20개 쿠폰할인45%20,000원 10,900원 (100ml당 109원) 내일(일) 도착 보장 5 (4736) 최대 545원 적립</t>
  </si>
  <si>
    <t>[태우한우] 1+ 한우 살치살 구이용 200g (냉장)</t>
  </si>
  <si>
    <t>국내산 양상추, 1통, 1개 2,240원 (1개당 2,240원) 내일(일) 새벽 도착 보장 4.5 (110278) 최대 112원 적립</t>
  </si>
  <si>
    <t>[속초해품] 실속형 백명란 330g (냉장)</t>
  </si>
  <si>
    <t>[해찬들] 100% 국산고추장500g</t>
  </si>
  <si>
    <t>웅진빅토리아 캔 탄산수 플레인, 250ml, 30개 11,500원 (100ml당 153원) 내일(일) 도착 보장 5 (15547) 최대 575원 적립</t>
  </si>
  <si>
    <t>CJ 백설 구운소금, 1kg, 1개 쿠폰할인3%5,470원 5,300원 (100g당 530원) 내일(일) 도착 보장 4.5 (4068) 최대 265원 적립</t>
  </si>
  <si>
    <t>구운소금</t>
  </si>
  <si>
    <t>국내산 친환경 흙당근, 1kg, 1개 4,800원 (100g당 480원) 내일(일) 새벽 도착 보장 4.5 (75166) 최대 240원 적립</t>
  </si>
  <si>
    <t>[하림] 치킨스테이크 다리살 320g</t>
  </si>
  <si>
    <t>[덴마크] 덴마크 하이 그릭 프로즌 아이스크림 474g</t>
  </si>
  <si>
    <t>[자연에찬] 건새우 아욱국 700g</t>
  </si>
  <si>
    <t>[선물세트] 양산도 양념민물장어 세트 (예약일수령)</t>
  </si>
  <si>
    <t>[해태] 자유시간 쿠키앤크림 미니 272g</t>
  </si>
  <si>
    <t>[속초해품] 명란젓 160g</t>
  </si>
  <si>
    <t>풀무원샘물 생수 무라벨, 330ml, 40개 9,400원 (100ml당 71원) 내일(일) 도착 보장 5 (165782) 최대 470원 적립</t>
  </si>
  <si>
    <t>[범산목장] 유기농 목초 그릭 요구르트 350mL</t>
  </si>
  <si>
    <t>[랩노쉬] 단백쿠키 10개입 5종 (택1)</t>
  </si>
  <si>
    <t>곰곰 한입 돈까스 (냉동), 1kg, 1개 7,990원 (100g당 799원) 내일(일) 새벽 도착 보장 4.5 (36866) 최대 400원 적립</t>
  </si>
  <si>
    <t>땅끝 해남 쌀 20kg</t>
  </si>
  <si>
    <t>[브로드카세] 크리스마스 쿠키 만들기 세트 2종 (택1)</t>
  </si>
  <si>
    <t>[해담촌] 봄동 김치 700g</t>
  </si>
  <si>
    <t>봄동김치</t>
  </si>
  <si>
    <t>해담촌</t>
  </si>
  <si>
    <t>사조참치 살코기 안심따개, 100g, 12개 쿠폰할인5%15,900원 15,030원 (10g당 125원) 내일(일) 도착 보장 5 (194170) 최대 751원 적립</t>
  </si>
  <si>
    <t>[자연실록] 무항생제 닭 윗날개 (봉) 500g</t>
  </si>
  <si>
    <t>윗날개</t>
  </si>
  <si>
    <t>[비마스터] 데일리 아카시아 꿀스틱 (30포)</t>
  </si>
  <si>
    <t>MORN 현미 월남쌈, 200g, 3개 5,890원 (100g당 982원) 내일(일) 도착 보장 5 (34265) 최대 295원 적립</t>
  </si>
  <si>
    <t>MORN</t>
  </si>
  <si>
    <t>[담꽃] 팥칼국수 (2인분)</t>
  </si>
  <si>
    <t>담꽃</t>
  </si>
  <si>
    <t>[온하루] 새우 잣즙냉채</t>
  </si>
  <si>
    <t>새우냉채</t>
  </si>
  <si>
    <t>[목우촌] 프라임 살코기햄 300g</t>
  </si>
  <si>
    <t>곰곰 예가체프 드립백 커피, 8g, 36개입, 1개 15%21,900원 18,490원 (1개당 514원) 내일(일) 도착 보장 4.5 (12484) 최대 925원 적립</t>
  </si>
  <si>
    <t>국내산 무, 1개입, 4개 6,190원 (1개당 1,548원) 내일(일) 새벽 도착 보장 4.5 (269502) 최대 310원 적립</t>
  </si>
  <si>
    <t>페페브루노 엑스트라버진 코코넛오일, 1개, 200ml 6,000원 (100ml당 3,000원) 내일(일) 도착 보장 5 (222) 최대 300원 적립</t>
  </si>
  <si>
    <t>페페브루노</t>
  </si>
  <si>
    <t>[풀무원] 쌈장 2종</t>
  </si>
  <si>
    <t>DIAMOND 흰다리 새우살 50~59마리 (냉동), 900g(26/30), 1팩 17,900원 (100g당 1,989원) 내일(일) 새벽 도착 보장 5 (9690) 최대 895원 적립</t>
  </si>
  <si>
    <t>[생미쉘] 비스킷 2종 (택1)</t>
  </si>
  <si>
    <t>현미 2kg</t>
  </si>
  <si>
    <t>[이야이야앤프랜즈] 크리스마스 EDT 엑스트라버진 올리브오일 500ml</t>
  </si>
  <si>
    <t>이야이야앤프랜즈</t>
  </si>
  <si>
    <t>[미즈호] 노리마키 센베 와사비 55g x 2번들</t>
  </si>
  <si>
    <t>미즈호</t>
  </si>
  <si>
    <t>지중해산 레몬식초, 900ml, 1개 3,520원 (10ml당 39원) 내일(일) 도착 보장 5 (3220) 최대 176원 적립</t>
  </si>
  <si>
    <t>레몬 식초</t>
  </si>
  <si>
    <t>[한끼통살] 곤약현미 볶음밥 5종 (택1)</t>
  </si>
  <si>
    <t>즉석 볶음밥</t>
  </si>
  <si>
    <t>국내산 양파(소), 1kg, 1개 2,990원 (100g당 299원) 내일(일) 새벽 도착 보장 4.5 (95094) 최대 150원 적립</t>
  </si>
  <si>
    <t>[미트엔조이] 육향가득 양념 토시살구이 400g</t>
  </si>
  <si>
    <t>[이상복명과] 녹차빵 (38g X 10개)</t>
  </si>
  <si>
    <t>녹차빵</t>
  </si>
  <si>
    <t>이상복명과</t>
  </si>
  <si>
    <t>[테일러] 애프터 딥워터 코코젤리밥 3종 (택1)</t>
  </si>
  <si>
    <t>테일러</t>
  </si>
  <si>
    <t>유기농 간편 대파 150g (냉동)</t>
  </si>
  <si>
    <t>[선물세트][CJ] 스팸 라이트 8호</t>
  </si>
  <si>
    <t>오뚜기 가쓰오 유부 우동 컵, 62g, 6개 3%6,980원 6,750원 (100g당 1,815원) 내일(일) 도착 보장 5 (15089) 최대 338원 적립</t>
  </si>
  <si>
    <t>가쓰오 우동</t>
  </si>
  <si>
    <t>[선물세트] 대천김 혼합 세트</t>
  </si>
  <si>
    <t>[청담미역] 가자미 미역국</t>
  </si>
  <si>
    <t>청담미역</t>
  </si>
  <si>
    <t>[마이셰프] 얼큰한 꽃게탕</t>
  </si>
  <si>
    <t>백설 천일염 꽃소금, 400g, 1개 3,040원 (100g당 760원) 내일(일) 도착 보장 5 (817) 최대 152원 적립</t>
  </si>
  <si>
    <t>큐피 참깨 드레싱, 150ml, 1개 6,250원 (100ml당 4,167원) 내일(일) 도착 보장 5 (15546) 최대 313원 적립</t>
  </si>
  <si>
    <t>곰곰 동물복지 우유, 900ml, 1팩 3,070원 (100ml당 341원) 내일(일) 새벽 도착 보장 5 (7598) 최대 154원 적립</t>
  </si>
  <si>
    <t>칠갑농산 감자전분, 500g, 1개 5,800원 (100g당 1,160원) 내일(일) 도착 보장 5 (2703) 최대 290원 적립</t>
  </si>
  <si>
    <t>[그래놀라하우스] 그래놀라 미니 10개입 2종(택1)</t>
  </si>
  <si>
    <t>그래놀라하우스</t>
  </si>
  <si>
    <t>[김소형원방] 동방비책 순녹용 진액 30포</t>
  </si>
  <si>
    <t>카누 미니 마일드 로스트 아메리카노 원두커피스틱, 0.9g, 100개입, 1개 23,260원 (10g당 2,584원) 내일(일) 도착 보장 5 (180735) 최대 1,163원 적립</t>
  </si>
  <si>
    <t>[왕애밥상] 실비깍두기</t>
  </si>
  <si>
    <t>트와이닝 얼그레이 티백, 2g, 25개입, 1개 쿠폰할인9%6,980원 6,320원 (10g당 1,264원) 내일(일) 새벽 도착 보장 5 (1426) 최대 316원 적립</t>
  </si>
  <si>
    <t>[오리온] 치킨팝 65g (택1)</t>
  </si>
  <si>
    <t>치킨팝</t>
  </si>
  <si>
    <t>[풀무원] 저당쌈장 2종</t>
  </si>
  <si>
    <t>[선물세트] 콤비타 UMF18+ 마누카꿀 더블세트</t>
  </si>
  <si>
    <t>생 앙드레 트리플 크림 치즈 200g</t>
  </si>
  <si>
    <t>[ISFI] 오레가노홀 12g</t>
  </si>
  <si>
    <t>오레가노</t>
  </si>
  <si>
    <t>[로다스] 바닐라 클로티드 크림 113g</t>
  </si>
  <si>
    <t>클로티드 크림</t>
  </si>
  <si>
    <t>로다스</t>
  </si>
  <si>
    <t>[CU 픽업] 시메이배럴숙성2023</t>
  </si>
  <si>
    <t>에일</t>
  </si>
  <si>
    <t>시메이</t>
  </si>
  <si>
    <t>현미 원형 월남쌈, 200g, 1개 20%2,400원 1,900원 (100g당 950원) 내일(일) 도착 보장 5 (4385) 최대 95원 적립</t>
  </si>
  <si>
    <t>[청양] 유기농 볶음 통 참깨 120g</t>
  </si>
  <si>
    <t>청양</t>
  </si>
  <si>
    <t>[콤비타] UMF15+ 퓨어 100% 마누카꿀 로젠지 6개입</t>
  </si>
  <si>
    <t>[미식회관] 타코와사비</t>
  </si>
  <si>
    <t>[풀무원] 튀김 가쓰오 우동 (2인분)</t>
  </si>
  <si>
    <t>[종가] 묵은지 900g</t>
  </si>
  <si>
    <t>청정원 남해안 멸치액젓 골드, 1kg, 1개 11%6,090원 5,400원 (10g당 54원) 내일(일) 새벽 도착 보장 5 (6546) 최대 270원 적립</t>
  </si>
  <si>
    <t>[하남돼지집] 고추장찌개</t>
  </si>
  <si>
    <t>영산홍어 프리미엄 흑산도 홍어회 + 초고추장(냉장), 120g, 1세트 13,900원 (100g당 9,929원) 내일(일) 새벽 도착 보장 4.5 (195) 최대 645원 적립</t>
  </si>
  <si>
    <t>홍어</t>
  </si>
  <si>
    <t>스타벅스 미디엄 로스트 아메리카노 원두커피믹스, 1.1g, 30개입, 1개 9,790원 (10g당 2,967원) 내일(일) 도착 보장 5 (20773) 최대 490원 적립</t>
  </si>
  <si>
    <t>[난축맛돈] 뼈등심 구이용 450g</t>
  </si>
  <si>
    <t>브로콜리 (냉동), 1kg, 1개, 1개입 5,400원 (100g당 540원) 내일(일) 새벽 도착 보장 4.5 (696) 최대 270원 적립</t>
  </si>
  <si>
    <t>신앙촌 양조 생명물 간장, 360ml, 1개 5,930원 (100ml당 1,647원) 내일(일) 도착 보장 5 (16817) 최대 296원 적립</t>
  </si>
  <si>
    <t>신앙촌</t>
  </si>
  <si>
    <t>[피코크] 차돌 짬뽕탕</t>
  </si>
  <si>
    <t>[하림] 구워먹는 치킨 930g (냉장)</t>
  </si>
  <si>
    <t>[쿠라콘] 시오콘부 염장다시마 2종 (47g /130g)</t>
  </si>
  <si>
    <t>[놀부보쌈] 통순살족발</t>
  </si>
  <si>
    <t>놀부보쌈</t>
  </si>
  <si>
    <t>맥심 모카골드 라이트 커피믹스, 11.8g, 50개입, 1개 9,790원 (10g당 166원) 내일(일) 도착 보장 5 (23534) 최대 490원 적립</t>
  </si>
  <si>
    <t>[선물세트] 호정가 찹쌀약과 미니세트 (소) (쇼핑백 증정)</t>
  </si>
  <si>
    <t>무농약 인증 국내산 추부깻잎, 35g, 1팩 2,040원 (100g당 5,829원) 내일(일) 새벽 도착 보장 4.5 (10374) 최대 102원 적립</t>
  </si>
  <si>
    <t>5kg 대용량 볶은 해바라기씨 꽈즈 오리지널 원맛, 1개 35,900원 (100g당 718원) 2/20 도착 예정 4.5 (295) 최대 1,795원 적립</t>
  </si>
  <si>
    <t>[바다원] 바베큐 조미 오징어 오리지널 130g</t>
  </si>
  <si>
    <t>[콤비타] 뉴질랜드 마누카꿀 3종</t>
  </si>
  <si>
    <t>뉴질랜드</t>
  </si>
  <si>
    <t>종가 포기김치, 2.3kg, 1개 23,900원 (100g당 1,039원) 내일(일) 새벽 도착 보장 4.5 (77011) 최대 1,195원 적립</t>
  </si>
  <si>
    <t>[롯데] 제로 시트러스 유자 젤리 40g X 8개입</t>
  </si>
  <si>
    <t>[픽앤치즈] 캘리포니아 슬라이스 치즈 7종</t>
  </si>
  <si>
    <t>[리터스포트] 큐브 초콜릿 골든 에디션 148g</t>
  </si>
  <si>
    <t>[초코헬스] 제로넛츠 저당 초콜릿 250g</t>
  </si>
  <si>
    <t>초코헬스</t>
  </si>
  <si>
    <t>[보물섬] 국산 데친 전복회 100g (냉장)</t>
  </si>
  <si>
    <t>[조선델리] 조선호텔 블랙포레스트 케이크 900g</t>
  </si>
  <si>
    <t>[나폴레옹] 유자 스폰지 케이크 430g</t>
  </si>
  <si>
    <t>[선물세트] [감익는 마을] GAP 경북 상주 곶감 실속세트(15입)</t>
  </si>
  <si>
    <t>어니스트 유기농 엑스트라버진 코코넛오일, 500ml, 1개 17,500원 (1개당 17,500원) 내일(일) 도착 보장 4.5 (13121) 최대 875원 적립</t>
  </si>
  <si>
    <t>롯데카스타드 스친소 스트로베리 요거트, 2개, 126g 할인6%5,800원 5,450원 (10g당 216원) 내일(일) 도착 보장 5 (40) 최대 273원 적립</t>
  </si>
  <si>
    <t>카스타드</t>
  </si>
  <si>
    <t>[존쿡 델리미트] 홀머슬 햄 100g</t>
  </si>
  <si>
    <t>오리온 와우스낵 선물세트 16팩, 포카칩 + 꼬북칩 + 오감자 + 돌아온썬칩, 1세트 11,300원 (1세트당 11,300원) 내일(일) 도착 보장 5 (22400) 최대 565원 적립</t>
  </si>
  <si>
    <t>[고메] 대가 탕수육 390g</t>
  </si>
  <si>
    <t>곰곰 구운 아몬드, 1kg, 1개 20,990원 (100g당 2,099원) 내일(일) 새벽 도착 보장 5 (2654) 최대 1,050원 적립</t>
  </si>
  <si>
    <t>[앙트르몽] 에멘탈 치즈 135g</t>
  </si>
  <si>
    <t>앙트르몽</t>
  </si>
  <si>
    <t>[미카구토] 오사츠도키 고구마칩 85g</t>
  </si>
  <si>
    <t>[보르니에르] 홀그레인 머스타드 210g</t>
  </si>
  <si>
    <t>보르니에르</t>
  </si>
  <si>
    <t>[HUGO&amp;VICTOR] 스콘 4종 (택1)</t>
  </si>
  <si>
    <t>HUGO&amp;VICTOR</t>
  </si>
  <si>
    <t>부침명장 사옹원 한입 아삭김치전 (냉동), 510g, 1개 14%8,500원 7,240원 (100g당 1,420원) 내일(일) 새벽 도착 보장 5 (14075) 최대 325원 적립</t>
  </si>
  <si>
    <t>냉동 김치전</t>
  </si>
  <si>
    <t>수영산업 2025년산 햅쌀 황토골 황금 메뚜기쌀, 상등급, 1개, 10kg 13%37,900원 32,900원 (100g당 329원) 내일(일) 도착 보장 4.5 (2512) 최대 1,645원 적립</t>
  </si>
  <si>
    <t>수영산업</t>
  </si>
  <si>
    <t>페페브루노 아보카도 오일, 1L, 1개 20%26,000원 20,800원 (100ml당 2,080원) 내일(일) 도착 보장 5 (10328) 최대 1,040원 적립</t>
  </si>
  <si>
    <t>바다맘 완도 자른 미역, 20g, 10개 10,900원 (100g당 5,450원) 내일(일) 도착 보장 5 (14040) 최대 545원 적립</t>
  </si>
  <si>
    <t>바다맘</t>
  </si>
  <si>
    <t>[아우름] 대나무 통밥</t>
  </si>
  <si>
    <t>대나무</t>
  </si>
  <si>
    <t>다조은 비파괴당도선별 샤인머스켓, 500g, 3팩 13,110원 (100g당 874원) 내일(일) 새벽 도착 보장 4.5 (32098) 최대 655원 적립</t>
  </si>
  <si>
    <t>다조은</t>
  </si>
  <si>
    <t>카누 바리스타 머신 전용 캡슐커피 세레니티문디카페인, 9.5g, 10개입, 1개 6,370원 (10g당 671원) 내일(일) 도착 보장 5 (507) 최대 319원 적립</t>
  </si>
  <si>
    <t>그린래빗 무농약 인증 버터헤드 레터스, 240g, 1개 5,990원 (100g당 2,496원) 내일(일) 새벽 도착 보장 5 (1469) 최대 300원 적립</t>
  </si>
  <si>
    <t>[가루선생] 타먹는 생두유 서리태 99.3  500g</t>
  </si>
  <si>
    <t>가루선생</t>
  </si>
  <si>
    <t>[청정원] 참깨흑임자드레싱 300g</t>
  </si>
  <si>
    <t>[와카메] 어묵탕 세트 (코다와리 오덴 후쿠로)</t>
  </si>
  <si>
    <t>와카메</t>
  </si>
  <si>
    <t>[파스키에] 브리오슈 스틱 브레드 2종 (225g X 6개입) (택1)</t>
  </si>
  <si>
    <t>[CU 픽업] 조니워커블론드700ml</t>
  </si>
  <si>
    <t>[톰볼라] 블랙올리브 새우 카사레치아 파스타</t>
  </si>
  <si>
    <t>톰볼라</t>
  </si>
  <si>
    <t>[발스낵] 그랜드 감자칩 2묶음 7종 (택1)</t>
  </si>
  <si>
    <t>감자칩</t>
  </si>
  <si>
    <t>발스낵</t>
  </si>
  <si>
    <t>감칠맛 상주곶감 달콤해 (냉동), 350g(7~10입), 1개 9,730원 (100g당 2,780원) 내일(일) 새벽 도착 보장 4.5 (652) 최대 486원 적립</t>
  </si>
  <si>
    <t>[만선] 구이용 고등어 320g (생물)</t>
  </si>
  <si>
    <t>[전통주] 중원당 청명주 약주 (17도 375mL)</t>
  </si>
  <si>
    <t>중원당</t>
  </si>
  <si>
    <t>먹태깡 청양마요맛 스낵, 60g, 4개 5,200원 (10g당 217원) 내일(일) 도착 보장 4.5 (11327) 최대 260원 적립</t>
  </si>
  <si>
    <t>먹태깡</t>
  </si>
  <si>
    <t>내츄럴스파이스 크러쉬드 레드페퍼, 40g, 1개 3,370원 (10g당 843원) 내일(일) 도착 보장 5 (729) 최대 169원 적립</t>
  </si>
  <si>
    <t>오징어링 (냉동), 1개, 400g 6,250원 (100g당 1,563원) 내일(일) 새벽 도착 보장 4.5 (593) 최대 313원 적립</t>
  </si>
  <si>
    <t>오징어링</t>
  </si>
  <si>
    <t>트윅스 미니스 초코바, 990g, 1개 15,750원 (10g당 159원) 내일(일) 도착 보장 5 (22022) 최대 788원 적립</t>
  </si>
  <si>
    <t>[샘표] 연두링 멸치디포리 140g(35정)</t>
  </si>
  <si>
    <t>[바름팜] 친환경 당근 500g</t>
  </si>
  <si>
    <t>고구마빵 생지 (80g X 5개입)</t>
  </si>
  <si>
    <t>[더오담] 김치콩비지찌개</t>
  </si>
  <si>
    <t>엉클탁 볶은 통 참깨, 500g, 1개 25%7,980원 5,980원 (100g당 1,196원) 내일(일) 새벽 도착 보장 5 (2458) 최대 299원 적립</t>
  </si>
  <si>
    <t>[일미어담] 갈치속젓 150g</t>
  </si>
  <si>
    <t>갈치속젓</t>
  </si>
  <si>
    <t>일미어담</t>
  </si>
  <si>
    <t>[올반] 치킨 데리야끼 볶음밥 (2개입)</t>
  </si>
  <si>
    <t>냉동 볶음밥</t>
  </si>
  <si>
    <t>[정관장] 홍삼진활력 (30일분)</t>
  </si>
  <si>
    <t>[휘태커스] 미니슬랩 크리미밀크 초콜릿 180g</t>
  </si>
  <si>
    <t>국내산 청상추, 1kg, 1개 8,900원 (100g당 890원) 내일(일) 새벽 도착 보장 5 (71121) 최대 445원 적립</t>
  </si>
  <si>
    <t>[고래주방] 우리쌀 한입 가래떡 500g</t>
  </si>
  <si>
    <t>서천군농협 2025년산 햅쌀 청풍명월 쌀, 상등급, 10kg, 1개 33,900원 (100g당 339원) 내일(일) 도착 보장 4.5 (14060) 최대 1,695원 적립</t>
  </si>
  <si>
    <t>[선물세트] 제주 갈치 선 세트 1.2kg (예약일 수령)</t>
  </si>
  <si>
    <t>사조참치 살코기 안심따개, 100g, 8개 11,100원 (10g당 139원) 내일(일) 도착 보장 5 (194170) 최대 555원 적립</t>
  </si>
  <si>
    <t>[내아이애] 과일엔 요거트 3종 (택1)</t>
  </si>
  <si>
    <t>내아이애</t>
  </si>
  <si>
    <t>[청오] 유기농 발아 깨소금</t>
  </si>
  <si>
    <t>[샤르봉봉] 구름 솜사탕 9g X 12개입</t>
  </si>
  <si>
    <t>솜사탕</t>
  </si>
  <si>
    <t>샤르봉봉</t>
  </si>
  <si>
    <t>[백설] 오곡참깨드레싱 240g</t>
  </si>
  <si>
    <t>[해천] 굴소스 725g</t>
  </si>
  <si>
    <t>해천</t>
  </si>
  <si>
    <t>돌체구스토 아메리카노 캡슐커피, 8.3g, 30개입, 3개 쿠폰할인43%70,950원 40,290원 (10g당 539원) 내일(일) 도착 보장 5 (16438) 최대 2,015원 적립</t>
  </si>
  <si>
    <t>[CU 픽업] 운드라가 테루아 헌터 소비뇽</t>
  </si>
  <si>
    <t>냉동식품 당근 채 (냉동), 1kg, 1개 3,990원 (100g당 399원) 내일(일) 새벽 도착 보장 4.5 (1841) 최대 200원 적립</t>
  </si>
  <si>
    <t>CJ제일제당 명가 재래김, 64g, 2개 29%13,960원 9,900원 (10g당 773원) 내일(일) 도착 보장 5 (4777) 최대 495원 적립</t>
  </si>
  <si>
    <t>오뚜기 3분 햄버그 스테이크, 140g, 3개 1%6,300원 6,180원 (100g당 1,471원) 내일(일) 도착 보장 4.5 (5689) 최대 309원 적립</t>
  </si>
  <si>
    <t>[픽어베이글] 베이글 113g 8종 (택1)</t>
  </si>
  <si>
    <t>픽어베이글</t>
  </si>
  <si>
    <t>곰곰 요거트 파우더, 1000g, 1개 32%9,570원 6,480원 내일(일) 도착 보장 5 (4558) 최대 324원 적립</t>
  </si>
  <si>
    <t>요거트 분말</t>
  </si>
  <si>
    <t>[소금집] 훈제 베이컨 140g (냉장)</t>
  </si>
  <si>
    <t>[지리산처럼] 행복한 정은씨의 햇生들기름 160mL</t>
  </si>
  <si>
    <t>바다친구 서천 명품김 도시락김, 4g, 15개 39%15,900원 9,590원 (1세트당 639원) 내일(일) 도착 보장 4.5 (1765) 최대 460원 적립</t>
  </si>
  <si>
    <t>바다친구</t>
  </si>
  <si>
    <t>[비비드키친] 저당 볶음고추장 300g</t>
  </si>
  <si>
    <t>볶음고추장</t>
  </si>
  <si>
    <t>[부침명장] 계란옷 입은 고기완자 400g</t>
  </si>
  <si>
    <t>냉동 고기완자</t>
  </si>
  <si>
    <t>[선물세트] 푸룻티 커피 드립백 3종 세트 (21개입)</t>
  </si>
  <si>
    <t>[트리투바] 볼트초콜릿 4종 (택1)</t>
  </si>
  <si>
    <t>[선물세트] 베키아에누보 피칸 파이 세트</t>
  </si>
  <si>
    <t>[포비베이글] 크림치즈 100g 5종(택1)</t>
  </si>
  <si>
    <t>포비베이글</t>
  </si>
  <si>
    <t>양반 쇠고기죽, 287.5g, 6개 34%15,600원 10,150원 (100g당 588원) 내일(일) 도착 보장 5 (27450) 최대 508원 적립</t>
  </si>
  <si>
    <t>[CU 픽업] 스카이스트로베리750ml</t>
  </si>
  <si>
    <t>스카이스피릿</t>
  </si>
  <si>
    <t>친환경 포기상추 300g</t>
  </si>
  <si>
    <t>[오뚜기]컵밥_춘천닭갈비덮밥(즉석국)</t>
  </si>
  <si>
    <t>[치즈플로] 체다커드 치즈 100g</t>
  </si>
  <si>
    <t>치즈플로</t>
  </si>
  <si>
    <t>[전통주] 조은술 세종 괴산 찰옥수수주 (6도 750mL)</t>
  </si>
  <si>
    <t>찰옥수수주</t>
  </si>
  <si>
    <t>[라니에리] 오페라 화이트트러플 엑스트라버진 올리브오일 250mL</t>
  </si>
  <si>
    <t>라니에리</t>
  </si>
  <si>
    <t>흙대파, 750g, 1개 2,790원 (100g당 372원) 내일(일) 새벽 도착 보장 4.5 (429199) 최대 140원 적립</t>
  </si>
  <si>
    <t>흙대파</t>
  </si>
  <si>
    <t>[타르틴베이커리] 크루아상 85g</t>
  </si>
  <si>
    <t>만전김 삼각김밥용 김 20매+ 리필 40매 + 성형틀 1개, 72g, 1세트 14,900원 내일(일) 새벽 도착 보장 5 (6497) 최대 720원 적립</t>
  </si>
  <si>
    <t>[기라델리] 하트 스퀘어백 초콜릿 5종 (택1)</t>
  </si>
  <si>
    <t>청차조 500g</t>
  </si>
  <si>
    <t>청차조</t>
  </si>
  <si>
    <t>[맥시칸] 크리스피 텐더&amp;청양마요소스</t>
  </si>
  <si>
    <t>[남양] 맛있는 우유 GT 2.3L</t>
  </si>
  <si>
    <t>우리아이튼튼 밥멸치 (냉동), 100g, 1개 4,300원 (100g당 4,300원) 내일(일) 새벽 도착 보장 5 (1277) 최대 215원 적립</t>
  </si>
  <si>
    <t>[정관장] 홍삼진황 (30일분) + (보자기포장 및 쇼핑백 증정)</t>
  </si>
  <si>
    <t>[Kurly's] 동물복지 비빔 반숙 계란장 순한맛</t>
  </si>
  <si>
    <t>[Kim's Butcher] 호주산 소고기 앞다리 국거리&amp;불고기&amp;다짐육</t>
  </si>
  <si>
    <t>소 앞다리살</t>
  </si>
  <si>
    <t>[올가] 현미 국산 모나카 2종 (택1)</t>
  </si>
  <si>
    <t>[그리스 프리미엄 쿠키] 쿠라비에 화이트 스노우 초코 &amp; 아몬드 270g</t>
  </si>
  <si>
    <t>그리스 프리미엄 쿠키</t>
  </si>
  <si>
    <t>[델리치오] 호주산 목초 LA꽃갈비 1kg(냉동)</t>
  </si>
  <si>
    <t>[CU 픽업] 아사히생맥주485ml*24캔</t>
  </si>
  <si>
    <t>[수산곳간] 오징어 맥반석구이</t>
  </si>
  <si>
    <t>친환경 적양배추 1/2개</t>
  </si>
  <si>
    <t>적양배추</t>
  </si>
  <si>
    <t>[종가] 볶음김치 1kg</t>
  </si>
  <si>
    <t>[훈와리 메이진] 콩가루 모찌 과자 75g (18.7g*4입)</t>
  </si>
  <si>
    <t>콩가루 모찌</t>
  </si>
  <si>
    <t>훈와리 메이진</t>
  </si>
  <si>
    <t>바다미식회 살이꽉찬 국내산 손질꽃게 2절 (냉동), 300g, 1개 8,380원 (100g당 2,793원) 내일(일) 새벽 도착 보장 4.5 (15898) 최대 419원 적립</t>
  </si>
  <si>
    <t>바다미식회</t>
  </si>
  <si>
    <t>[페레로] 로쉐 하트 초콜릿 8개입</t>
  </si>
  <si>
    <t>오리온 예감 치즈그라탕, 64g, 10개 10,700원 (10g당 167원) 내일(일) 도착 보장 5 (11628) 최대 535원 적립</t>
  </si>
  <si>
    <t>예감</t>
  </si>
  <si>
    <t>[샘표] 연두링 다시마표고야채 140g(35정)</t>
  </si>
  <si>
    <t>[창화당] 중국식 육즙 군만두</t>
  </si>
  <si>
    <t>만두</t>
  </si>
  <si>
    <t>[오뚜기] 딸기잼 500g</t>
  </si>
  <si>
    <t>[KF365] 무항생제 한돈 삼겹살 구이용 2종 (냉장)</t>
  </si>
  <si>
    <t>테메레르 유기농 홀그레인 머스타드, 200g, 1개 7,100원 (100g당 3,550원) 내일(일) 새벽 도착 보장 5 (1161) 최대 355원 적립</t>
  </si>
  <si>
    <t>[알트하우스] 녹차 델리팩 20개입 3종(택1)</t>
  </si>
  <si>
    <t>알트하우스</t>
  </si>
  <si>
    <t>오뚜기옛날 물엿, 700g, 1개 2,910원 (100g당 416원) 내일(일) 새벽 도착 보장 5 (1127) 최대 145원 적립</t>
  </si>
  <si>
    <t>곰곰 현미 곤약밥, 150g, 10개 36%25,990원 16,600원 (100g당 1,107원) 내일(일) 도착 보장 5 (2182) 최대 830원 적립</t>
  </si>
  <si>
    <t>곤약</t>
  </si>
  <si>
    <t>알찬해 명란 (냉동), 1개, 300g 8,990원 (100g당 2,997원) 내일(일) 새벽 도착 보장 4.5 (266) 최대 450원 적립</t>
  </si>
  <si>
    <t>알찬해</t>
  </si>
  <si>
    <t>[김미떡] 앙금절편 세트 (50g X 20개) (쇼핑백포함)</t>
  </si>
  <si>
    <t>김미떡</t>
  </si>
  <si>
    <t>[초록원] 유자차 2종</t>
  </si>
  <si>
    <t>[샐러드판다] 스프레드 샐러드 3종</t>
  </si>
  <si>
    <t>아보카도 (냉동), 2개, 500g 14,800원 (100g당 1,480원) 내일(일) 새벽 도착 보장 4.5 (2586) 최대 661원 적립</t>
  </si>
  <si>
    <t>냉동 아보카도</t>
  </si>
  <si>
    <t>[My little recipe] 사리듬뿍 순살 닭갈비 (2인용)</t>
  </si>
  <si>
    <t>해표 꽃소금, 1kg, 1개 2,100원 (100g당 210원) 내일(일) 새벽 도착 보장 5 (1937) 최대 105원 적립</t>
  </si>
  <si>
    <t>[CU 픽업] 사토노호마레무로카</t>
  </si>
  <si>
    <t>사토노 호마레</t>
  </si>
  <si>
    <t>[CU 픽업] 스코티시 리더 슈프림</t>
  </si>
  <si>
    <t>스코티시 리더</t>
  </si>
  <si>
    <t>[메이토] 로얄 밀크티 400g</t>
  </si>
  <si>
    <t>밀크티 분말</t>
  </si>
  <si>
    <t>메이토</t>
  </si>
  <si>
    <t>[Graze Cattle]자유방목 호주산 소고기 목초 살치살 구이용200g</t>
  </si>
  <si>
    <t>고메 소바바치킨 소이허니 순살 (냉동), 600g, 1개 할인34%15,980원 10,500원 (100g당 1,750원) 내일(일) 새벽 도착 보장 5 (18524) 최대 499원 적립</t>
  </si>
  <si>
    <t>[조니스 그로서리] 납작 그래놀라 2종</t>
  </si>
  <si>
    <t>조니스 그로서리</t>
  </si>
  <si>
    <t>[바르닭] 크런치 닭가슴살 4종</t>
  </si>
  <si>
    <t>바르닭</t>
  </si>
  <si>
    <t>[상하목장] 유기농 드링킹 요거트 750mL</t>
  </si>
  <si>
    <t>하인즈 리듀스드 슈가 토마토 케찹, 836g, 1개 8,930원 (100g당 1,068원) 내일(일) 도착 보장 5 (34929) 최대 446원 적립</t>
  </si>
  <si>
    <t>청정원 쉐프의 치킨스톡, 340g, 1개 14%7,510원 6,450원 (100g당 1,897원) 내일(일) 도착 보장 5 (65107) 최대 323원 적립</t>
  </si>
  <si>
    <t>[창억] 인기 프리미엄 인절미 4종 (택 1)</t>
  </si>
  <si>
    <t>아보카도 (냉동), 500g, 1개 6,410원 (100g당 1,282원) 내일(일) 새벽 도착 보장 5 (5176) 최대 320원 적립</t>
  </si>
  <si>
    <t>[나폴레옹] 크루아상 60g</t>
  </si>
  <si>
    <t>오레오오즈 시리얼, 500g, 1개 12%7,900원 6,950원 (100g당 1,390원) 내일(일) 새벽 도착 보장 5 (6269) 최대 348원 적립</t>
  </si>
  <si>
    <t>[화과방] 우유앙빵 선물세트 (쇼핑백 포함)</t>
  </si>
  <si>
    <t>우유앙빵</t>
  </si>
  <si>
    <t>국내산 GAP 파프리카 혼합, 2개입, 1개 4,990원 (1개당 2,495원) 내일(일) 새벽 도착 보장 5 (34675) 최대 250원 적립</t>
  </si>
  <si>
    <t>[제주벌꿀영농조합법인] 제주 벌꿀 2종</t>
  </si>
  <si>
    <t>제주벌꿀영농조합법인</t>
  </si>
  <si>
    <t>풀무원다논 그릭 플레인, 400g, 1개 3,980원 (10g당 100원) 내일(일) 새벽 도착 보장 5 (12112) 최대 199원 적립</t>
  </si>
  <si>
    <t>[덴마크] 드링킹 요구르트 포스트 바이오틱스 딸기 750mL</t>
  </si>
  <si>
    <t>[일 티넬로 델 발사미코] 화이트 콘디멘토</t>
  </si>
  <si>
    <t>일 티넬로 델 발사미코</t>
  </si>
  <si>
    <t>[목우촌] 주부9단 슬라이스햄(샌드위치햄) 100gX2개</t>
  </si>
  <si>
    <t>[부르본] 시즌 한정 알포트 초콜릿 몽블랑맛 2종 (택1)</t>
  </si>
  <si>
    <t>[지유가오카 핫초메] 시로이 케이크 580g</t>
  </si>
  <si>
    <t>지유가오카 핫초메</t>
  </si>
  <si>
    <t>[김구원선생] 매일 마시는 국산 서리태콩물 1L</t>
  </si>
  <si>
    <t>백설 참깨 드레싱, 550g, 1개 30%6,980원 4,880원 (100g당 887원) 내일(일) 새벽 도착 보장 5 (22497) 최대 244원 적립</t>
  </si>
  <si>
    <t>[제각각] 양송이버섯 300g</t>
  </si>
  <si>
    <t>[홍영의] 붉은대게 백간장 500ml</t>
  </si>
  <si>
    <t>홍영의</t>
  </si>
  <si>
    <t>대림선 부산어묵 쫄깃한 야채사각 4장, 180g, 1개 1,310원 (100g당 728원) 내일(일) 새벽 도착 보장 5 (6037) 최대 65원 적립</t>
  </si>
  <si>
    <t>그린즈 미니 양배추 (냉동), 1kg, 1개 6,800원 (100g당 680원) 내일(일) 새벽 도착 보장 4.5 (4502) 최대 340원 적립</t>
  </si>
  <si>
    <t>그린즈</t>
  </si>
  <si>
    <t>[하이포크] 무항생제 한돈 인기 부위 5종 (택1)</t>
  </si>
  <si>
    <t>맥스웰하우스 마일드 커피믹스 스틱형, 12g, 180개입, 1개 21,570원 (10g당 100원) 2/12(목) 도착 예정 4.5 (1345) 최대 1,079원 적립</t>
  </si>
  <si>
    <t>맥스웰하우스</t>
  </si>
  <si>
    <t>[해통령] 디포리 해물 다시팩 320g (20입)</t>
  </si>
  <si>
    <t>[KINU] 핑크퐁 키즈 이뮨 젤리 (30일분)</t>
  </si>
  <si>
    <t>KINU</t>
  </si>
  <si>
    <t>더담은 캐나다산 귀리쌀, 1kg, 1개 50%4,980원 2,490원 (100g당 249원) 내일(일) 도착 보장 4.5 (4855) 최대 125원 적립</t>
  </si>
  <si>
    <t>[크라운] 콘칲 초당옥수수 40g x 10개입 (대용량)</t>
  </si>
  <si>
    <t>폰타나 저당 저칼로리 무지방 오리엔탈 드레싱, 235g, 1개 12%4,480원 3,910원 (100g당 1,664원) 내일(일) 새벽 도착 보장 5 (3848) 최대 195원 적립</t>
  </si>
  <si>
    <t>오리엔탈 드레싱</t>
  </si>
  <si>
    <t>[피스피스] 펌킨파이 120g</t>
  </si>
  <si>
    <t>[하림] 매콤마늘 닭볶음탕용 750g (소스동봉)</t>
  </si>
  <si>
    <t>햇살팜 대추슬라이스칩, 300g, 1개 66%17,571원 5,800원 (100g당 1,933원) 내일(일) 도착 보장 4.5 (828) 최대 290원 적립</t>
  </si>
  <si>
    <t>대추칩</t>
  </si>
  <si>
    <t>햇살팜</t>
  </si>
  <si>
    <t>[건어물상회] 통영 국물용멸치 300g</t>
  </si>
  <si>
    <t>[마즈] 이클립스 쥬시믹스 (8개입)</t>
  </si>
  <si>
    <t>[빙그레] 제로 아이스크림 2종 (택1)</t>
  </si>
  <si>
    <t>크라운 참쌀선과, 253g, 1개 25%5,400원 4,000원 (10g당 158원) 내일(일) 새벽 도착 보장 5 (433) 최대 200원 적립</t>
  </si>
  <si>
    <t>맥심 모카골드 마일드 원두커피믹스, 170g, 1개입, 1개 8,400원 (10g당 494원) 내일(일) 새벽 도착 보장 5 (952) 최대 420원 적립</t>
  </si>
  <si>
    <t>[굴리엘미] 푸글리아 유기농 IGP 엑스트라버진 올리브오일  500mL</t>
  </si>
  <si>
    <t>[강훈목장] 수제 드링크 요거트 플레인 500mL</t>
  </si>
  <si>
    <t>[메종엠오] 휘낭시에 자허토르테</t>
  </si>
  <si>
    <t>[포트'럭] 남해안 자연산 전복 2마리 300g (왕특대, 생물)</t>
  </si>
  <si>
    <t>대왕님표 여주쌀(진상) 4kg</t>
  </si>
  <si>
    <t>[종가] 열무김치 1.5kg</t>
  </si>
  <si>
    <t>[태우한우] 1+ 한우 생갈비 450g</t>
  </si>
  <si>
    <t>[Picard] 브리오슈 프렌치 토스트(70g*2개입)</t>
  </si>
  <si>
    <t>[플라하반] 오트떡 330g</t>
  </si>
  <si>
    <t>오트떡</t>
  </si>
  <si>
    <t>플라하반</t>
  </si>
  <si>
    <t>[타무르] 데이츠 대추야자 3구</t>
  </si>
  <si>
    <t>타무르</t>
  </si>
  <si>
    <t>[쿡생] 렌지큐 저당 로제 떡볶이</t>
  </si>
  <si>
    <t>쿡생</t>
  </si>
  <si>
    <t>[CU 픽업] 1865 마스터 블랜드</t>
  </si>
  <si>
    <t>산 페드로</t>
  </si>
  <si>
    <t>마이어 올드스타일 홀그레인 머스타드, 200g, 1개 5,500원 (100g당 2,750원) 내일(일) 새벽 도착 보장 5 (2055) 최대 275원 적립</t>
  </si>
  <si>
    <t>평창수 무라벨 생수, 2L, 12개 20%10,600원 8,390원 (100ml당 35원) 내일(일) 도착 보장 5 (164239) 최대 420원 적립</t>
  </si>
  <si>
    <t>목우촌 무항생제 인증 IQF 닭가슴살 (냉동), 1개, 1kg 9,420원 (100g당 942원) 내일(일) 새벽 도착 보장 5 (5354) 최대 471원 적립</t>
  </si>
  <si>
    <t>[CU 픽업] 죠센 다루사케 1800ml</t>
  </si>
  <si>
    <t>[그리스 프리미엄 쿠키] 쿠라비에 화이트 스노우 아몬드 270g</t>
  </si>
  <si>
    <t>쿠라비에</t>
  </si>
  <si>
    <t>[자케] 미니 헤이즐넛 브라우니</t>
  </si>
  <si>
    <t>[윤서울] 인기 들기름면 3종 (택1)</t>
  </si>
  <si>
    <t>윤서울</t>
  </si>
  <si>
    <t>[브로드카세] 저당 순수 호밀통밀 깜빠뉴 360g</t>
  </si>
  <si>
    <t>[소와나무] 쿨피스 복숭아 930mL</t>
  </si>
  <si>
    <t>[다이아몬드] 볶음밥용 생새우살 200g (냉동)</t>
  </si>
  <si>
    <t>다이아몬드</t>
  </si>
  <si>
    <t>[가로팔로] 이탈리아  IGP 파스타면 8종</t>
  </si>
  <si>
    <t>가로팔로</t>
  </si>
  <si>
    <t>[동남집] 양지곰탕 600g</t>
  </si>
  <si>
    <t>동남집</t>
  </si>
  <si>
    <t>스미후루 감숙왕 파인애플, 1.2kg, 1개 4,000원 (100g당 333원) 내일(일) 새벽 도착 보장 4.5 (9096) 최대 200원 적립</t>
  </si>
  <si>
    <t>[미락] 영광 법성포 참굴비 80gX6미 (냉동)</t>
  </si>
  <si>
    <t>[KF365] 닭가슴살 샤브샤브 돌돌말이 400g (냉동)</t>
  </si>
  <si>
    <t>[바름팜] 친환경 손질한 당근 200g</t>
  </si>
  <si>
    <t>[그래놀라하우스] 그래놀라 미니 30개입 2종(택1)</t>
  </si>
  <si>
    <t>[경주미정당] 쌀로 만든 쫄면 (2인분)</t>
  </si>
  <si>
    <t>경주미정당</t>
  </si>
  <si>
    <t>[CU 픽업] 얄리까르메네르</t>
  </si>
  <si>
    <t>[농협풍산김치] 김장독맛 저온숙성김치 2.5kg</t>
  </si>
  <si>
    <t>[권영원 소담정찬] 무염 청국장 250g(냉동)</t>
  </si>
  <si>
    <t>권영원 소담정찬</t>
  </si>
  <si>
    <t>[교토마블] 통밀 데니쉬 식빵 460g</t>
  </si>
  <si>
    <t>[바찌] 초콜릿 박스 2종 (택1)</t>
  </si>
  <si>
    <t>바찌</t>
  </si>
  <si>
    <t>[선물세트] 제니쿠키 8믹스 넛츠 쿠키 460g</t>
  </si>
  <si>
    <t>[이어수산] 8단계 선별한 어린이 멸치 2종 (택1)</t>
  </si>
  <si>
    <t>곰곰 바삭한 부침가루, 1kg, 1개 30%3,600원 2,490원 (100g당 249원) 내일(일) 새벽 도착 보장 5 (2362) 최대 125원 적립</t>
  </si>
  <si>
    <t>[엘포조] 이베리코하몽 슬라이스 60g</t>
  </si>
  <si>
    <t>엘포조</t>
  </si>
  <si>
    <t>[범산목장] 유기농 멸균우유 (140mL X 24개)</t>
  </si>
  <si>
    <t>곰곰 버팔로윙봉, 700g, 1개 11,220원 (100g당 1,603원) 내일(일) 새벽 도착 보장 4.5 (5121) 최대 561원 적립</t>
  </si>
  <si>
    <t>냉동 윙</t>
  </si>
  <si>
    <t>[덴마크] 떠먹는 포스트바이오틱스 딸기 요거트 (85g X 8개)</t>
  </si>
  <si>
    <t>귤탐 한라봉, 2kg(중과/7~9입), 1박스 20,520원 (100g당 1,026원) 내일(일) 새벽 도착 보장 4.5 (17740) 최대 1,026원 적립</t>
  </si>
  <si>
    <t>한라봉</t>
  </si>
  <si>
    <t>귤탐</t>
  </si>
  <si>
    <t>아몬드초코볼</t>
  </si>
  <si>
    <t>그린덴마크 아몬드, 950ml, 2개 5,560원 (100ml당 293원) 내일(일) 새벽 도착 보장 4.5 (2956) 최대 278원 적립</t>
  </si>
  <si>
    <t>[프레시코트] 100% 아보카도 퓨레 56gx4입</t>
  </si>
  <si>
    <t>아보카도 퓨레</t>
  </si>
  <si>
    <t>프레시코트</t>
  </si>
  <si>
    <t>[오봉집] 곤드레 문어낙지 솥밥키트(밥 포함)</t>
  </si>
  <si>
    <t>[KF365] 국산 손질 고등어 3종 (냉동) (택1)</t>
  </si>
  <si>
    <t>백설 요거트 드레싱, 245g, 1개 22%4,380원 3,390원 (100g당 1,384원) 내일(일) 새벽 도착 보장 4.5 (494) 최대 170원 적립</t>
  </si>
  <si>
    <t>요거트 드레싱</t>
  </si>
  <si>
    <t>소금성 히말랴야 핑크소금 가는입자, 500g, 1개 5,700원 (100g당 1,140원) 내일(일) 도착 보장 5 (5227) 최대 285원 적립</t>
  </si>
  <si>
    <t>소금성</t>
  </si>
  <si>
    <t>자연애찬 동물복지 무항생제 백색 유정란, 15구, 1개 7,830원 (1구당 522원) 내일(일) 새벽 도착 보장 4.5 (7150) 최대 391원 적립</t>
  </si>
  <si>
    <t>[죽장연] 진간장 250ml</t>
  </si>
  <si>
    <t>죽장연</t>
  </si>
  <si>
    <t>[부르본] 알포트 미니 초콜릿 5종 (택1)</t>
  </si>
  <si>
    <t>[롯데] ABC 초코쿠키 스트로베리 &amp; 초코 130g</t>
  </si>
  <si>
    <t>ABC 초코쿠키</t>
  </si>
  <si>
    <t>백산수 무라벨 생수, 2L, 18개 12%20,514원 17,950원 (100ml당 50원) 내일(일) 도착 보장 5 (235382) 최대 898원 적립</t>
  </si>
  <si>
    <t>[김재식헬스푸드] 토마토 사과 당근즙 30포</t>
  </si>
  <si>
    <t>과채주스</t>
  </si>
  <si>
    <t>첵스초코 오곡으로 만든 시리얼, 570g, 2개 10,600원 (100g당 930원) 내일(일) 도착 보장 5 (147404) 최대 504원 적립</t>
  </si>
  <si>
    <t>행복한콩 단단한 큰두부, 800g, 1개 3%2,980원 2,880원 (100g당 360원) 내일(일) 새벽 도착 보장 5 (1486) 최대 144원 적립</t>
  </si>
  <si>
    <t>행복한콩</t>
  </si>
  <si>
    <t>[태우한우] 1+ 한우 양지 국거리용 200g 2종 (냉장)</t>
  </si>
  <si>
    <t>[오뚜기] 오즈키친 철판감자탕볶음밥 450G</t>
  </si>
  <si>
    <t>[비비고] 김말이 500g</t>
  </si>
  <si>
    <t>[뫼벤픽] 그릭스타일 요거트 100g 3종 (택1)</t>
  </si>
  <si>
    <t>뫼벤픽</t>
  </si>
  <si>
    <t>올가홀푸드 발아 보리차, 500g, 1개입, 1개 9,520원 (10g당 190원) 내일(일) 새벽 도착 보장 5 (756) 최대 476원 적립</t>
  </si>
  <si>
    <t>[정지선의 티엔미미] 우삼겹차우면</t>
  </si>
  <si>
    <t>[산줄리아노] 시금치 뇨끼 파타타 500g</t>
  </si>
  <si>
    <t>산줄리아노</t>
  </si>
  <si>
    <t>산들 경산 건대추 상초, 130g, 1봉 4,250원 (100g당 3,269원) 내일(일) 새벽 도착 보장 4.5 (8474) 최대 213원 적립</t>
  </si>
  <si>
    <t>산들</t>
  </si>
  <si>
    <t>[뉴델리 :진한 인도 커리의 맛] 치킨 마크니 커리</t>
  </si>
  <si>
    <t>그린덴마크 아몬드, 950ml, 2개 5,560원 (100ml당 293원) 내일(일) 새벽 도착 보장 4.5 (2957) 최대 278원 적립</t>
  </si>
  <si>
    <t>[켈로그] 첵스 초코 시리얼 570g</t>
  </si>
  <si>
    <t>[선물세트] 데체코 유기농 엑스트라 버진 세트</t>
  </si>
  <si>
    <t>목우촌 뽀로로와 친구들 비엔나소시지, 270g, 2개 5%8,980원 8,530원 (10g당 158원) 내일(일) 새벽 도착 보장 5 (26867) 최대 399원 적립</t>
  </si>
  <si>
    <t>[군산 이성당] 치킨 고로케 (100g X 4개입)</t>
  </si>
  <si>
    <t>고로케</t>
  </si>
  <si>
    <t>[시티델리] 스위트칠리 핫도그</t>
  </si>
  <si>
    <t>시티델리</t>
  </si>
  <si>
    <t>[맛의명태자] 짜먹는 튜브 명란젓 80g (냉동)</t>
  </si>
  <si>
    <t>맛의명태자</t>
  </si>
  <si>
    <t>청정원 천일염 굵은소금, 2.5kg, 1개 16%12,880원 10,790원 (100g당 432원) 내일(일) 도착 보장 5 (38811) 최대 540원 적립</t>
  </si>
  <si>
    <t>[미트엔조이] 육향가득 양념 안창살구이 400g</t>
  </si>
  <si>
    <t>[선물세트] GAP 청도 반건시 곶감 세트 1.2kg (24입)</t>
  </si>
  <si>
    <t>유기농 하이아미 쌀 2종</t>
  </si>
  <si>
    <t>사조참치 살코기 안심따개, 150g, 4개 7,230원 (10g당 121원) 내일(일) 도착 보장 새 상품, 반품-미개봉 (7) 최저6,500원 5 (194170) 최대 361원 적립</t>
  </si>
  <si>
    <t>자연담은 유기농 찹쌀, 250g, 1개 2,990원 (100g당 1,196원) 내일(일) 도착 보장 5 (87) 최대 150원 적립</t>
  </si>
  <si>
    <t>[경자국밥] 인기 국밥 3종 (택1)</t>
  </si>
  <si>
    <t>경자국밥</t>
  </si>
  <si>
    <t>[오리온] 핫고래밥 매콤양념 118g</t>
  </si>
  <si>
    <t>[종가] 맛김치 500g</t>
  </si>
  <si>
    <t>이금기 치킨 파우더, 273g, 1개 7,430원 (100g당 2,722원) 내일(일) 도착 보장 5 (22399) 최대 371원 적립</t>
  </si>
  <si>
    <t>치킨가루</t>
  </si>
  <si>
    <t>[엄지네포장마차] 꼬막 무침 2~3인분</t>
  </si>
  <si>
    <t>엄지네포장마차</t>
  </si>
  <si>
    <t>[HUGO&amp;VICTOR] 파운드 케이크 세트 (65g X 6개)</t>
  </si>
  <si>
    <t>태국 남독마이 골드망고 5~6입 1.8kg</t>
  </si>
  <si>
    <t>[닥터넛츠] 저당 다크초콜릿 견과 3종</t>
  </si>
  <si>
    <t>닥터넛츠</t>
  </si>
  <si>
    <t>[청정원] 맛술 생강&amp;매실 410ml</t>
  </si>
  <si>
    <t>차오차이 마라샹궈 소스, 110g, 1개 50%3,480원 1,740원 (100g당 1,582원) 내일(일) 새벽 도착 보장 4.5 (711) 최대 87원 적립</t>
  </si>
  <si>
    <t>마라샹궈 소스</t>
  </si>
  <si>
    <t>차오차이</t>
  </si>
  <si>
    <t>대천김 재래김, 22g, 10개 할인45%29,000원 15,840원 (10g당 720원) 내일(일) 도착 보장 4.5 (69156) 최대 729원 적립</t>
  </si>
  <si>
    <t>오뚜기 간편 계란국 5개입, 37.5g, 2개 12%9,960원 8,690원 (100g당 11,587원) 내일(일) 도착 보장 5 (1149) 최대 435원 적립</t>
  </si>
  <si>
    <t>[램테이블] 호주산 프렌치랙 300g</t>
  </si>
  <si>
    <t>양갈비</t>
  </si>
  <si>
    <t>[아카페라] 커피 240mL 5종 (택1)</t>
  </si>
  <si>
    <t>무항생제 신선 대란 1.56kg, 30구, 1개 8,390원 (1구당 280원) 내일(일) 새벽 도착 보장 5 (14466) 최대 420원 적립</t>
  </si>
  <si>
    <t>[리치몬드 과자점] 레몬케이크 50g</t>
  </si>
  <si>
    <t>[고메] 바르셀로나 칠리감바스 피자</t>
  </si>
  <si>
    <t>호정가 찹쌀약과세트, 1kg, 1개 31%16,000원 10,890원 (10g당 109원) 내일(일) 도착 보장 4.5 (7677) 최대 545원 적립</t>
  </si>
  <si>
    <t>동서 보리차, 10g, 30개입, 6개 14,880원 (10g당 83원) 내일(일) 도착 보장 5 (86113) 최대 744원 적립</t>
  </si>
  <si>
    <t>[김구원선생] 유기농 콩나물 500g</t>
  </si>
  <si>
    <t>[윤고집] 국내산 다시마환 500g</t>
  </si>
  <si>
    <t>신세계푸드 디럭스 파인애플 특, 1.6kg 내외, 2개 12,760원 (100g당 399원) 내일(일) 새벽 도착 보장 5 (1673) 최대 638원 적립</t>
  </si>
  <si>
    <t>신세계</t>
  </si>
  <si>
    <t>[선물세트] 법성포참맛 프리미엄 굴비 오가세트 1.2kg</t>
  </si>
  <si>
    <t>[동서] 티백 6종 (택1)</t>
  </si>
  <si>
    <t>[오뚜기]컵밥_김치참치덮밥(즉석국)</t>
  </si>
  <si>
    <t>[다정다감] 상주 곶감 또개 200g</t>
  </si>
  <si>
    <t>다정다감</t>
  </si>
  <si>
    <t>그린팟 간식용 건조 대추칩, 500g(1개), 1개 28%11,000원 7,900원 (100g당 1,580원) 내일(일) 도착 보장 4.5 (571) 최대 395원 적립</t>
  </si>
  <si>
    <t>그린팟</t>
  </si>
  <si>
    <t>[풀무원] 무쌈 3종</t>
  </si>
  <si>
    <t>싱그러운 유러피안 샐러드믹스 2종</t>
  </si>
  <si>
    <t>이디야 디카페인 아메리카노 원두커피스틱, 1g, 30개입, 1개 6,100원 (10g당 2,033원) 내일(일) 도착 보장 4.5 (10898) 최대 305원 적립</t>
  </si>
  <si>
    <t>[자임] 당근사과 착즙주스 1L</t>
  </si>
  <si>
    <t>[카르멘시타] 통흑후추 그라인더</t>
  </si>
  <si>
    <t>카르멘시타</t>
  </si>
  <si>
    <t>백설 카놀라유, 500ml, 1개 37%5,500원 3,450원 (100ml당 690원) 내일(일) 새벽 도착 보장 5 (445) 최대 173원 적립</t>
  </si>
  <si>
    <t>[오뚜기] 진라면 매운맛 소컵 6입</t>
  </si>
  <si>
    <t>제키스 제주 종합 초콜릿 5종 세트, 175g, 1세트 10,710원 (10g당 612원) 내일(일) 도착 보장 4.5 (2066) 최대 535원 적립</t>
  </si>
  <si>
    <t>제키스</t>
  </si>
  <si>
    <t>[선물세트] [파미고] 유기농 엑스트라 버진 올리브 오일 2구 세트</t>
  </si>
  <si>
    <t>베지밀 달콤한 비 두유, 190ml, 32개 21,700원 (100ml당 357원) 내일(일) 도착 보장 5 (69631) 최대 1,085원 적립</t>
  </si>
  <si>
    <t>[롯데웰푸드] 위즐 저당 리치 바닐라 660mL</t>
  </si>
  <si>
    <t>[파스키에] 에그 타르트(플랑) 720g</t>
  </si>
  <si>
    <t>[푸드어셈블] 순살 벌꿀 찜닭</t>
  </si>
  <si>
    <t>[Kurly's] 1++ 한우 안심 스테이크 250g (냉장)</t>
  </si>
  <si>
    <t>안심</t>
  </si>
  <si>
    <t>[롯데호텔] 총각김치 3kg</t>
  </si>
  <si>
    <t>[백설] 와플믹스 500g</t>
  </si>
  <si>
    <t>[솔리몬] 레몬즙 500ml/ 990ml  (레몬주스 99.9%)</t>
  </si>
  <si>
    <t>레몬주스</t>
  </si>
  <si>
    <t>솔리몬</t>
  </si>
  <si>
    <t>[왕애밥상] 매운실비김치 2종 (택1)</t>
  </si>
  <si>
    <t>[보물섬] 데친 전복 슬라이스 2종 (냉동) (택1)</t>
  </si>
  <si>
    <t>곰곰 염장미역줄기, 300g, 1개 2,400원 (100g당 800원) 내일(일) 새벽 도착 보장 5 (14787) 최대 120원 적립</t>
  </si>
  <si>
    <t>[햇반] 매일잡곡밥 210g (8입)</t>
  </si>
  <si>
    <t>건국유업 소화가 편안한 우유, 900ml, 2입 6,250원 (100ml당 347원) 내일(일) 새벽 도착 보장 5 (7260) 최대 313원 적립</t>
  </si>
  <si>
    <t>곰곰 태양초 가득한 고추장, 1kg, 1개 45%8,000원 4,380원 (100g당 438원) 내일(일) 새벽 도착 보장 5 (687) 최대 219원 적립</t>
  </si>
  <si>
    <t>곰곰 오븐구이 닭다리살 (냉동), 300g, 1개 29%9,900원 6,990원 (100g당 2,330원) 내일(일) 새벽 도착 보장 4.5 (2821) 최대 350원 적립</t>
  </si>
  <si>
    <t>냉동 닭다리살</t>
  </si>
  <si>
    <t>팽이버섯 360g X 2입</t>
  </si>
  <si>
    <t>[경기떡집] 이티떡 2종 (30g X 10개) (택1)</t>
  </si>
  <si>
    <t>경기떡집</t>
  </si>
  <si>
    <t>[선물세트] 크렘드마롱 부드러운 밤잼 쁘띠 (78g X 5입)</t>
  </si>
  <si>
    <t>[한삼인] 홍삼진 굿데이스틱 (60일분)</t>
  </si>
  <si>
    <t>한삼인</t>
  </si>
  <si>
    <t>[하림] 피카츄 돈까스 500g (냉동)</t>
  </si>
  <si>
    <t>[엔업] 파워젤 팔라티노스 복숭아 (14포)</t>
  </si>
  <si>
    <t>[Kurly's] 동물복지 구운란 10구</t>
  </si>
  <si>
    <t>[마켓오네이처] 오! 그래놀라 오트 2종 (택1)</t>
  </si>
  <si>
    <t>국내산 친환경 느타리버섯, 200g, 1개 1,780원 (100g당 890원) 내일(일) 새벽 도착 보장 5 (230195) 최대 89원 적립</t>
  </si>
  <si>
    <t>파마산 치즈 블렌드, 85g, 1개, 1개입 4,000원 (10g당 471원) 내일(일) 새벽 도착 보장 5 (901) 최대 200원 적립</t>
  </si>
  <si>
    <t>[도리깨침] 고추잡채</t>
  </si>
  <si>
    <t>고추잡채</t>
  </si>
  <si>
    <t>[선물세트] 미국산 프라임 LA꽃갈비 1.4kg(예약일 수령)</t>
  </si>
  <si>
    <t>온작 뼈없는 갈비탕, 900g, 5개 16%45,900원 38,300원 (100g당 851원) 내일(일) 도착 보장 4.5 (11480) 최대 1,915원 적립</t>
  </si>
  <si>
    <t>온작</t>
  </si>
  <si>
    <t>웰넛 자연두레 마카다미아, 500g, 1개 18%19,900원 16,290원 (100g당 3,258원) 내일(일) 도착 보장 4.5 (429) 최대 815원 적립</t>
  </si>
  <si>
    <t>호주산 블랙앵거스 윗등심 구이용 (냉장), 400g, 2개 30%39,800원 27,760원 (100g당 3,470원) 내일(일) 새벽 도착 보장 4.5 (30643) 최대 1,388원 적립</t>
  </si>
  <si>
    <t>친정엄마꾸러미 뚝딱 대파 (냉동), 500g, 1개 4,640원 (100g당 928원) 내일(일) 새벽 도착 보장 5 (25174) 최대 205원 적립</t>
  </si>
  <si>
    <t>[디 바르베로] 옐로우 틴케이스 잔두야 초콜릿 105g</t>
  </si>
  <si>
    <t>[풀무원] 통통새우 쉬림프카츠</t>
  </si>
  <si>
    <t>새우카츠</t>
  </si>
  <si>
    <t>[오마뎅] 모듬 어묵</t>
  </si>
  <si>
    <t>[쁘띠첼] 과일젤리 요거젤리 큰컵 10종 골라담기 (택1)</t>
  </si>
  <si>
    <t>쁘띠첼</t>
  </si>
  <si>
    <t>[샘표] 순작 유기농보리차 (10g X 30개)</t>
  </si>
  <si>
    <t>[더 더치] 스페셜 위스키 치즈 150g</t>
  </si>
  <si>
    <t>[대상웰라이프] 뉴케어 올프로틴 20g 프로틴 워터 18팩 2종 (택1)</t>
  </si>
  <si>
    <t>[차려낸] 새우 감칠맛 더한 봉골레파스타</t>
  </si>
  <si>
    <t>[서울우유] 아침에 버터 200g</t>
  </si>
  <si>
    <t>하겐다즈 파인트 초콜릿 (냉동), 473ml, 1개입, 1개 34%17,900원 11,670원 (10ml당 247원) 내일(일) 새벽 도착 보장 5 (6888) 최대 584원 적립</t>
  </si>
  <si>
    <t>[CU 픽업] 브로드사이드 샤도</t>
  </si>
  <si>
    <t>브로드사이드</t>
  </si>
  <si>
    <t>[선물세트] 김정환홍삼 6년근 홍삼액</t>
  </si>
  <si>
    <t>[Better me] 백색 구운란 10구</t>
  </si>
  <si>
    <t>구구 크러스터 아이스크림 (냉동), 660ml, 1개입, 1개 할인9%5,500원 5,000원 (10ml당 76원) 내일(일) 새벽 도착 보장 5 (26123) 최대 235원 적립</t>
  </si>
  <si>
    <t>곰곰 칠레산 블루베리, 125g, 1개 3,000원 (100g당 2,400원) 내일(일) 새벽 도착 보장 4.5 (4949) 최대 150원 적립</t>
  </si>
  <si>
    <t>[하이포크] 한돈 목살 구이용 500g (냉장)</t>
  </si>
  <si>
    <t>목살</t>
  </si>
  <si>
    <t>[그릭데이] 플레인 요거트 1.8L</t>
  </si>
  <si>
    <t>[Dole] 후룻컵 알로코코</t>
  </si>
  <si>
    <t>공차 허니자몽블랙티, 20g, 20개입, 1개 6,900원 (10g당 173원) 내일(일) 도착 보장 4.5 (1693) 최대 345원 적립</t>
  </si>
  <si>
    <t>공차</t>
  </si>
  <si>
    <t>탑씨 제로 파인애플향 탄산음료, 1.5L, 12개 11%14,900원 13,200원 (100ml당 73원) 내일(일) 도착 보장 5 (9251) 최대 660원 적립</t>
  </si>
  <si>
    <t>탑씨</t>
  </si>
  <si>
    <t>[더 샤퀴테리아] 블루미 살라미 까챠토레 6종</t>
  </si>
  <si>
    <t>[초야] 논알콜 유즈슈캔 350mL</t>
  </si>
  <si>
    <t>유즈슈캔</t>
  </si>
  <si>
    <t>초야</t>
  </si>
  <si>
    <t>무농약 냉동 단호박 500g</t>
  </si>
  <si>
    <t>지중해식 샐러드채소, 280g, 1개, 1개입 3,290원 (100g당 1,175원) 내일(일) 새벽 도착 보장 4.5 (284) 최대 165원 적립</t>
  </si>
  <si>
    <t>[백설] 부침 &amp; 튀김 가루 2종</t>
  </si>
  <si>
    <t>[바름팜] 친환경 우엉 300g</t>
  </si>
  <si>
    <t>우엉</t>
  </si>
  <si>
    <t>국산 100% 비이츠 우리콩 청국장가루, 1개, 500g 할인52%26,900원 12,900원 (100g당 2,580원) 내일(일) 도착 보장 5 (1362) 최대 645원 적립</t>
  </si>
  <si>
    <t>청국장 분말</t>
  </si>
  <si>
    <t>담터 아이스티 복숭아, 14g, 80개입, 1개 12,200원 (10g당 109원) 내일(일) 도착 보장 새 상품, 반품-미개봉 (52) 최저10,790원 5 (25370) 최대 610원 적립</t>
  </si>
  <si>
    <t>아이스티 분말</t>
  </si>
  <si>
    <t>롯데제과 치토스 매콤달콤 과자, 82g, 3개 60%9,000원 3,600원 (10g당 146원) 내일(일) 새벽 도착 보장 5 (1610) 최대 180원 적립</t>
  </si>
  <si>
    <t>치토스</t>
  </si>
  <si>
    <t>[Kim's butcher] 미국산 돼지고기 샤브샤브 500g(냉동)</t>
  </si>
  <si>
    <t>샤브샤브용 돼지고기</t>
  </si>
  <si>
    <t>[서울우유] 나 100% 저지방 우유 1.8L</t>
  </si>
  <si>
    <t>페이장브르통 까망베르치즈, 125g, 1개입, 3개 15,610원 (10g당 416원) 내일(일) 새벽 도착 보장 5 (3685) 최대 780원 적립</t>
  </si>
  <si>
    <t>[대한제일미] 시월미소미 20kg</t>
  </si>
  <si>
    <t>[삼육두유] 검은콩 볶은귀리 두유 (190mL X 16개)</t>
  </si>
  <si>
    <t>라인바싸 레몬 무라벨, 500ml, 20개 29%12,000원 8,450원 (100ml당 85원) 내일(일) 도착 보장 5 (4188) 최대 423원 적립</t>
  </si>
  <si>
    <t>라인바싸</t>
  </si>
  <si>
    <t>[노블레사 델 수르] 유기농 에코 나이트 엑스트라버진 오일 500mL</t>
  </si>
  <si>
    <t>노블레사 델 수르</t>
  </si>
  <si>
    <t>[오타후쿠] 초밥용 식초</t>
  </si>
  <si>
    <t>[슈퍼키친] 아삭이고추된장무침</t>
  </si>
  <si>
    <t>고추 무침</t>
  </si>
  <si>
    <t>[어게인리프레쉬] 샐러드 8종 (택1, 리뉴얼)</t>
  </si>
  <si>
    <t>어게인리프레쉬</t>
  </si>
  <si>
    <t>[해태] 홈런볼 초코 4번들 164g</t>
  </si>
  <si>
    <t>홈런볼</t>
  </si>
  <si>
    <t>매일두유 99.9 플레인, 950ml, 12개 28,200원 (100ml당 247원) 내일(일) 도착 보장 새 상품, 반품-미개봉 (7) 최저26,790원 5 (35309) 최대 1,410원 적립</t>
  </si>
  <si>
    <t>[마니커에프앤지] 바사삭 치킨 닭다리 420g</t>
  </si>
  <si>
    <t>못난이 사과, 1.5kg(소과, 8~10입), 1개 10,370원 (100g당 691원) 내일(일) 새벽 도착 보장 4.5 (16456) 최대 519원 적립</t>
  </si>
  <si>
    <t>리지 현미유 플러스, 1L, 1개 24%17,000원 12,900원 (100ml당 1,290원) 내일(일) 도착 보장 5 (6436) 최대 645원 적립</t>
  </si>
  <si>
    <t>현미유</t>
  </si>
  <si>
    <t>리지</t>
  </si>
  <si>
    <t>[던킨도너츠]  미니 베이글 2종 (50gX5개입) (택1)</t>
  </si>
  <si>
    <t>서산 육쪽 마늘 100g</t>
  </si>
  <si>
    <t>국내산 손질 부추, 100g, 1개 1,920원 (100g당 1,920원) 내일(일) 새벽 도착 보장 5 (72419) 최대 96원 적립</t>
  </si>
  <si>
    <t>국내산 무농약 백목이버섯, 150g, 1개 3,420원 (100g당 2,280원) 내일(일) 새벽 도착 보장 5 (8412) 최대 171원 적립</t>
  </si>
  <si>
    <t>백목이버섯</t>
  </si>
  <si>
    <t>[농심] 김치사발면 6입</t>
  </si>
  <si>
    <t>해태htb 갈배사이다, 355ml, 24개 12,980원 (100ml당 152원) 내일(일) 도착 보장 5 (17148) 최대 649원 적립</t>
  </si>
  <si>
    <t>사이다</t>
  </si>
  <si>
    <t>밀라 마스카포네 치즈, 250g, 1개입, 1개 8,870원 (10g당 355원) 내일(일) 새벽 도착 보장 5 (19133) 최대 444원 적립</t>
  </si>
  <si>
    <t>마스카포네 치즈</t>
  </si>
  <si>
    <t>데니쉬 브리 치즈, 125g, 1개입, 1개 5,600원 (10g당 448원) 내일(일) 새벽 도착 보장 5 (293) 최대 280원 적립</t>
  </si>
  <si>
    <t>브리 치즈</t>
  </si>
  <si>
    <t>데니쉬</t>
  </si>
  <si>
    <t>청오건강 유기농 쌀가루, 350g, 1개 3,750원 (100g당 1,071원) 내일(일) 도착 보장 5 (6483) 최대 188원 적립</t>
  </si>
  <si>
    <t>[퍼니트] 리얼 유기농 NFC 석류주스 2병 세트</t>
  </si>
  <si>
    <t>퍼니트</t>
  </si>
  <si>
    <t>[팀홀튼] 오리지날 블렌드 파인 그라인드 커피 300g</t>
  </si>
  <si>
    <t>[쟌슨빌] 소시지 3종</t>
  </si>
  <si>
    <t>쟌슨빌</t>
  </si>
  <si>
    <t>세미원 새우 피쉬볼 (냉동), 500g, 1개 8,430원 (100g당 1,686원) 내일(일) 새벽 도착 보장 4.5 (3810) 최대 421원 적립</t>
  </si>
  <si>
    <t>피쉬볼</t>
  </si>
  <si>
    <t>세미원</t>
  </si>
  <si>
    <t>청정원 국내산 콩 두부, 340g, 2입 4,990원 (100g당 734원) 내일(일) 새벽 도착 보장 5 (3700) 최대 250원 적립</t>
  </si>
  <si>
    <t>[메이준뉴트리] 쾌변했어 차전자피식이섬유 (15일분)</t>
  </si>
  <si>
    <t>차전자피 분말</t>
  </si>
  <si>
    <t>[롯데웰푸드] 구구 아이스크림 3종 (택1)</t>
  </si>
  <si>
    <t>[햇님마을] 깨소금 100g</t>
  </si>
  <si>
    <t>건강한밥상 국산 늘보리쌀, 4kg, 1개 19,900원 (100g당 498원) 내일(일) 도착 보장 4.5 (14122) 최대 995원 적립</t>
  </si>
  <si>
    <t>서울우유 나100% 저지방우유, 2.3L, 1개 7,430원 (100ml당 323원) 내일(일) 새벽 도착 보장 5 (180160) 최대 371원 적립</t>
  </si>
  <si>
    <t>[호밍스 초간편 국물요리] 소고기 미역국</t>
  </si>
  <si>
    <t>포스트 아몬드후레이크620g, 620g, 1개 5,700원 (100g당 919원) 내일(일) 새벽 도착 보장 5 (5877) 최대 285원 적립</t>
  </si>
  <si>
    <t>아몬드 후레이크</t>
  </si>
  <si>
    <t>넛츠앤베리스 건블루베리, 400g, 1개 15,270원 (100g당 3,818원) 내일(일) 도착 보장 4.5 (1478) 최대 764원 적립</t>
  </si>
  <si>
    <t>[KF365] 1+등급 무항생제 초란 20구</t>
  </si>
  <si>
    <t>서울우유 나 100% 우유, 1L, 6개 7%18,900원 17,520원 (100ml당 292원) 내일(일) 새벽 도착 보장 5 (80888) 최대 876원 적립</t>
  </si>
  <si>
    <t>오뚜기 진라면 약간매운맛 120g, 20개 23%18,320원 13,930원 (1개당 697원) 내일(일) 도착 보장 5 (8489) 최대 696원 적립</t>
  </si>
  <si>
    <t>진라면 약간매운맛</t>
  </si>
  <si>
    <t>[돈시몬] 착즙 레몬주스 1L</t>
  </si>
  <si>
    <t>[로얄오차드] 실버틴 싱글 티백 선물세트 5종 (택1)</t>
  </si>
  <si>
    <t>곰곰 국내산 참다래 그린키위, 1kg(중), 1팩 6,940원 (100g당 694원) 내일(일) 새벽 도착 보장 4.5 (3717) 최대 347원 적립</t>
  </si>
  <si>
    <t>[건어물상회] 통영 어린이멸치 200g</t>
  </si>
  <si>
    <t>[루&amp;마르셀] 텐더 크루아상 생지 (70g X 4개)</t>
  </si>
  <si>
    <t>루&amp;마르셀</t>
  </si>
  <si>
    <t>[종가] 맛김치 400g (80g*5ea)</t>
  </si>
  <si>
    <t>[설성목장] 제주 설성햄 200g</t>
  </si>
  <si>
    <t>[밀레의공방] 오란다 2종 (택1)</t>
  </si>
  <si>
    <t>밀레의공방</t>
  </si>
  <si>
    <t>스미후루 감숙왕 바나나, 1.2kg, 1개 4,580원 (100g당 382원) 내일(일) 새벽 도착 보장 4.5 (189131) 최대 229원 적립</t>
  </si>
  <si>
    <t>[우리밀] 생생 감자 옹심이 4개입</t>
  </si>
  <si>
    <t>옹심이</t>
  </si>
  <si>
    <t>바른미각 훈연 파프리카 시즈닝, 60g, 1개 44%9,800원 5,460원 (100g당 9,100원) 내일(일) 도착 보장 4.5 (1210) 최대 273원 적립</t>
  </si>
  <si>
    <t>파프리카 분말</t>
  </si>
  <si>
    <t>바른미각</t>
  </si>
  <si>
    <t>청정원순창 초고추장, 1kg, 2개 쿠폰할인11%6,980원 6,180원 (100g당 309원) 내일(일) 도착 보장 5 (73774) 최대 309원 적립</t>
  </si>
  <si>
    <t>초고추장</t>
  </si>
  <si>
    <t>자연애찬 무항생제 1등급 특란, 30구, 1개 10,500원 (1구당 350원) 내일(일) 새벽 도착 보장 4.5 (4124) 최대 525원 적립</t>
  </si>
  <si>
    <t>밀리브 현미, 5kg, 1개 14,900원 (100g당 298원) 내일(일) 도착 보장 4.5 (388) 최대 745원 적립</t>
  </si>
  <si>
    <t>밀리브</t>
  </si>
  <si>
    <t>[연세우유 x 마켓컬리] 전용목장우유 900mL</t>
  </si>
  <si>
    <t>친환경 대파 250g</t>
  </si>
  <si>
    <t>[선물세트] 맛의명태자 순명란 세트</t>
  </si>
  <si>
    <t>[Kurly's] 한돈 삼겹 베이컨</t>
  </si>
  <si>
    <t>프리미엄 블루베리 (냉동), 2개, 1kg 12,130원 (100g당 607원) 내일(일) 새벽 도착 보장 4.5 (3774) 최대 606원 적립</t>
  </si>
  <si>
    <t>[조선델리] 조선호텔 애플파이 (50g X 3개)</t>
  </si>
  <si>
    <t>[일 러스티코] 냉압착 엑스트라 버진 올리브 오일 500mL</t>
  </si>
  <si>
    <t>일 러스티코</t>
  </si>
  <si>
    <t>유기농 대파 500g</t>
  </si>
  <si>
    <t>[오뚜기] 옛날잡채 4입</t>
  </si>
  <si>
    <t>옛날 잡채라면</t>
  </si>
  <si>
    <t>양파링 오리지널, 80g, 5개 쿠폰할인13%5,800원 5,000원 (10g당 125원) 내일(일) 도착 보장 5 (20761) 최대 250원 적립</t>
  </si>
  <si>
    <t>[굽네] 닭가슴살 생야채 물만두</t>
  </si>
  <si>
    <t>농심 감자깡, 250g, 1개 4,050원 (10g당 162원) 내일(일) 도착 보장 5 (15878) 최대 203원 적립</t>
  </si>
  <si>
    <t>남양유업 맛있는 우유 GT, 8개, 200ml 7,950원 (100ml당 497원) 내일(일) 새벽 도착 보장 5 (504) 최대 398원 적립</t>
  </si>
  <si>
    <t>[미자언니네] 매콤 중멸치볶음</t>
  </si>
  <si>
    <t>[조선호텔] 고르곤졸라 피자</t>
  </si>
  <si>
    <t>[CJ] 진한 들깨칼국수 (2인분)</t>
  </si>
  <si>
    <t>[농심] 오리지널 봉지 과자 7종 (택1)(중사이즈)</t>
  </si>
  <si>
    <t>돌 베트남 바나나, 2팩, 1.2kg 내외 8,240원 (100g당 343원) 내일(일) 새벽 도착 보장 4.5 (10387) 최대 412원 적립</t>
  </si>
  <si>
    <t>돌</t>
  </si>
  <si>
    <t>[더건강한] 닭가슴살 순살 케이준 100g</t>
  </si>
  <si>
    <t>[해표] 카놀라유 900mL</t>
  </si>
  <si>
    <t>곰곰 무항생제 자연방사 유정란, 1개, 15구 9,990원 (1구당 666원) 내일(일) 새벽 도착 보장 5 (2568) 최대 500원 적립</t>
  </si>
  <si>
    <t>[청정원] 아보카도 오일 230mL</t>
  </si>
  <si>
    <t>[선물세트] 기화병가 틴케이스 쿠키 코알라 198g</t>
  </si>
  <si>
    <t>오리온 눈을감자 스낵, 56g, 3개 36%7,230원 4,570원 (10g당 272원) 내일(일) 새벽 도착 보장 5 (1825) 최대 229원 적립</t>
  </si>
  <si>
    <t>건강곡간 발아현미, 1kg, 1개 5,900원 (100g당 590원) 내일(일) 새벽 도착 보장 5 (73) 최대 295원 적립</t>
  </si>
  <si>
    <t>건강곡간</t>
  </si>
  <si>
    <t>오뚜기옛날 참기름, 500ml, 3개 18,200원 (10ml당 121원) 내일(일) 도착 보장 5 (207247) 최대 910원 적립</t>
  </si>
  <si>
    <t>[원에이커팜] 레드버터헤드 레터스 (2입)</t>
  </si>
  <si>
    <t>[CU 픽업] 부쉬밀12년싱글(신)</t>
  </si>
  <si>
    <t>[오발탄] 소곱창전골 1kg</t>
  </si>
  <si>
    <t>오발탄</t>
  </si>
  <si>
    <t>사조 명품 김밥재료 5종 세트, 520g, 1세트 9,100원 (100g당 1,750원) 내일(일) 새벽 도착 보장 5 (115540) 최대 455원 적립</t>
  </si>
  <si>
    <t xml:space="preserve">사조 </t>
  </si>
  <si>
    <t>[해담소찬] 양파 장아찌</t>
  </si>
  <si>
    <t>양파 장아찌</t>
  </si>
  <si>
    <t>해담소찬</t>
  </si>
  <si>
    <t>먹는샘물산수 가벼운샘 무라벨, 500ml, 60개 21%14,700원 11,610원 (100ml당 39원) 내일(일) 도착 보장 5 (35100) 최대 580원 적립</t>
  </si>
  <si>
    <t>먹는샘물산수</t>
  </si>
  <si>
    <t>스미후루 필리핀산 바나나, 1개, 1kg 3,790원 (100g당 379원) 내일(일) 새벽 도착 보장 4.5 (2552) 최대 170원 적립</t>
  </si>
  <si>
    <t>곰곰 당도선별 사과와 배 세트 1kg, 1세트 10,780원 내일(일) 새벽 도착 보장 4 (2085) 최대 539원 적립</t>
  </si>
  <si>
    <t>[CU 픽업] 컨트리 레인 솔티드 카라멜</t>
  </si>
  <si>
    <t>[김정배명인] 제주 통멸치젓 2종 (택1)</t>
  </si>
  <si>
    <t>[피자로빈슨] 뉴욕 메가 슬라이스 피자 마르게리따</t>
  </si>
  <si>
    <t>[사조대림] 게맛살 큰잔치 300g</t>
  </si>
  <si>
    <t>유기농 잡곡 보리 4종</t>
  </si>
  <si>
    <t>[올마레] 떡닭도리탕</t>
  </si>
  <si>
    <t>올마레</t>
  </si>
  <si>
    <t>몸애조화 제수용 건대추 특초, 150g, 1개 7,090원 (100g당 4,727원) 내일(일) 새벽 도착 보장 4.5 (1547) 최대 355원 적립</t>
  </si>
  <si>
    <t>몸애조화</t>
  </si>
  <si>
    <t>베지밀 17곡 한끼두유, 190ml, 16개 9,490원 (100ml당 312원) 내일(일) 도착 보장 5 (23608) 최대 475원 적립</t>
  </si>
  <si>
    <t>[삼립] 미니 꼬마 단팥호빵</t>
  </si>
  <si>
    <t>[알레만디] 파스타면 7종 (택1)</t>
  </si>
  <si>
    <t>알레만디</t>
  </si>
  <si>
    <t>태광선식 서리태로 더욱 고소해진 귀리쉐이크, 1.2kg, 1개 1%16,800원 16,500원 (100g당 1,375원) 내일(일) 도착 보장 4.5 (37727) 최대 784원 적립</t>
  </si>
  <si>
    <t>곡물가루</t>
  </si>
  <si>
    <t>곰곰 온가족 요구르트, 750ml, 1개입, 1개 1,820원 (10ml당 24원) 내일(일) 새벽 도착 보장 5 (21388) 최대 91원 적립</t>
  </si>
  <si>
    <t>[조셉팝] 페퍼잭&amp;마블잭&amp;몬테레이잭 치즈 907g</t>
  </si>
  <si>
    <t>조셉팝</t>
  </si>
  <si>
    <t>자른 미역 30g ( 10인분 내외)</t>
  </si>
  <si>
    <t>국내산 당근 채, 200g, 1팩 2,440원 (100g당 1,220원) 내일(일) 새벽 도착 보장 5 (10962) 최대 122원 적립</t>
  </si>
  <si>
    <t>[제주애월아빠들] 1등급 무항생제 제주란 15구</t>
  </si>
  <si>
    <t>제주애월아빠들</t>
  </si>
  <si>
    <t>[더오담] 시나몬 현미 팝스틱 200g</t>
  </si>
  <si>
    <t>해표 순후추, 200g, 1개 58%12,800원 5,350원 (10g당 268원) 내일(일) 도착 보장 5 (5566) 최대 268원 적립</t>
  </si>
  <si>
    <t>바른곡물 국산 찹쌀, 1개, 1kg 49%11,900원 5,980원 (100g당 598원) 내일(일) 도착 보장 4.5 (18387) 최대 299원 적립</t>
  </si>
  <si>
    <t>[싱코 호타스] 이베리코 베요타 하몽</t>
  </si>
  <si>
    <t>싱코 호타스</t>
  </si>
  <si>
    <t>[김소영 아티장의 안단테] 시에라 네바다 그래지어 가염 버터 227g</t>
  </si>
  <si>
    <t>[홍선장] 멸치 칼국수 2인분</t>
  </si>
  <si>
    <t>홍선장</t>
  </si>
  <si>
    <t>[25-26햇올리브] [피쿠알리아] 프리미엄 피쿠알 엑스트라버진 500mL</t>
  </si>
  <si>
    <t>오뚜기 옛날 구수한 누룽지, 300g, 1개 5,580원 (100g당 1,860원) 내일(일) 도착 보장 새 상품, 반품-미개봉 (19) 최저5,300원 5 (12579) 최대 279원 적립</t>
  </si>
  <si>
    <t>[용두동할매] 낙지 볶음</t>
  </si>
  <si>
    <t>용두동할매</t>
  </si>
  <si>
    <t>[선물세트] 호정가 찹쌀약과 미니세트 (대) (쇼핑백 증정)</t>
  </si>
  <si>
    <t>소화가잘되는우유 저지방 락토프리 우유, 930ml, 2개 7,420원 (100ml당 399원) 내일(일) 새벽 도착 보장 5 (58849) 최대 371원 적립</t>
  </si>
  <si>
    <t>소화가잘되는우유</t>
  </si>
  <si>
    <t>햇반 솥반 꿀약밥, 210g, 2개 쿠폰할인50%8,960원 4,480원 (100g당 1,067원) 내일(일) 도착 보장 5 (9478) 최대 224원 적립</t>
  </si>
  <si>
    <t>[도제식빵] 탕종 통밀식빵 440g</t>
  </si>
  <si>
    <t>[델리치오] 호주산 안심 찹스테이크 250g (냉장)</t>
  </si>
  <si>
    <t>스타벅스 블론드 로스트 아메리카노 원두커피스틱, 1.1g, 30개입, 1개 9,790원 (10g당 2,967원) 내일(일) 도착 보장 5 (1193) 최대 490원 적립</t>
  </si>
  <si>
    <t>국내산 호박고구마, 700g, 1봉 3,630원 (100g당 519원) 내일(일) 새벽 도착 보장 4.5 (61106) 최대 181원 적립</t>
  </si>
  <si>
    <t>국내산 부추, 150g, 2봉 3,490원 (100g당 1,163원) 내일(일) 새벽 도착 보장 5 (204326) 최대 175원 적립</t>
  </si>
  <si>
    <t>국내산 홍감자, 1kg, 1개 7,690원 (100g당 769원) 내일(일) 새벽 도착 보장 4.5 (1597) 최대 385원 적립</t>
  </si>
  <si>
    <t>홍감자</t>
  </si>
  <si>
    <t>[정착육]뉴질랜드산 양갈비 300g</t>
  </si>
  <si>
    <t>오뚜기 진짬뽕 컵 75g, 6개 7%6,980원 6,450원 (1개당 1,075원) 내일(일) 도착 보장 5 (12903) 최대 323원 적립</t>
  </si>
  <si>
    <t>진짬뽕</t>
  </si>
  <si>
    <t>풍년제과 우리밀 수제 초코파이 오리지널 + 화이트, 70g, 6개입, 1세트 14,350원 (10g당 342원) 내일(일) 새벽 도착 보장 4.5 (2868) 최대 718원 적립</t>
  </si>
  <si>
    <t>[청정원] 순창 (현미)덜매운 고추장 2종 (택1)</t>
  </si>
  <si>
    <t>동원 JUST 노슈가 스위트콘, 340g, 4개 34%9,120원 6,000원 (10g당 44원) 내일(일) 도착 보장 5 (8684) 최대 300원 적립</t>
  </si>
  <si>
    <t>옥수수캔</t>
  </si>
  <si>
    <t>[킹솔로몬] 씨 없는 이스라엘산 대추야자 200g (품종: 메드줄)</t>
  </si>
  <si>
    <t>대추야자</t>
  </si>
  <si>
    <t>킹솔로몬</t>
  </si>
  <si>
    <t>[피쉬쉘] 손질 칵테일새우살 200g (냉동) (31/40 사이즈)</t>
  </si>
  <si>
    <t>[CU 픽업] 올트모어18년</t>
  </si>
  <si>
    <t>[그래놀라 하우스] 그래놀라 500g 리필팩 4종 (택1)</t>
  </si>
  <si>
    <t>[온기루] 바람떡 (180g X 4개)</t>
  </si>
  <si>
    <t>온기루</t>
  </si>
  <si>
    <t>요플레 블루베리 멀티 4p, 340g, 1개 3,910원 (10g당 115원) 내일(일) 새벽 도착 보장 5 (9387) 최대 195원 적립</t>
  </si>
  <si>
    <t>[더 더치] 스모크 치즈 2종</t>
  </si>
  <si>
    <t>비비고 고단백 고등어구이, 60g, 6개 33%32,880원 21,930원 (10g당 609원) 내일(일) 새벽 도착 보장 5 (19741) 최대 1,096원 적립</t>
  </si>
  <si>
    <t>생선구이</t>
  </si>
  <si>
    <t>친환경 버터헤드레터스</t>
  </si>
  <si>
    <t>백년농가 천혜진선향 백미, 상등급, 1개, 4kg 19,900원 (100g당 498원) 내일(일) 도착 보장 5 (733) 최대 995원 적립</t>
  </si>
  <si>
    <t>[Better me] 백색 반숙란 10구</t>
  </si>
  <si>
    <t>[멜티크] 파베 초콜릿 2종</t>
  </si>
  <si>
    <t>멜티크</t>
  </si>
  <si>
    <t>[고래사] 고래틴 고단백 구운치즈</t>
  </si>
  <si>
    <t>생생포크 앞다리 불고기 (냉장), 500g, 1개 9,240원 (100g당 1,848원) 내일(일) 새벽 도착 보장 4.5 (26166) 최대 462원 적립</t>
  </si>
  <si>
    <t>[을지다락] 매콤크림 파스타 밀키트 (2인)</t>
  </si>
  <si>
    <t>을지다락</t>
  </si>
  <si>
    <t>[양포어장] 꽁치 과메기 진공포장 260g (냉장)</t>
  </si>
  <si>
    <t>[Ozen] 훈제연어 슬라이스 360g 2종 (냉동) (택1)</t>
  </si>
  <si>
    <t>[쿠위] 탑후르츠 젤리 5종 (택1)</t>
  </si>
  <si>
    <t>쿠위</t>
  </si>
  <si>
    <t>[서강유업] 삼천포아침 멸치육수</t>
  </si>
  <si>
    <t>멸치육수</t>
  </si>
  <si>
    <t>서강유업</t>
  </si>
  <si>
    <t>삼호어묵 CJ 정통어묵탕, 336g, 2개 쿠폰할인33%9,760원 6,520원 (100g당 970원) 내일(일) 새벽 도착 보장 5 (13202) 최대 326원 적립</t>
  </si>
  <si>
    <t>[고래사] 꼬치어묵전골&amp;유부주머니 (캠핑용)</t>
  </si>
  <si>
    <t>국내산 애호박, 1개입, 3개 6,920원 (1개당 2,307원) 내일(일) 새벽 도착 보장 5 (657168) 최대 346원 적립</t>
  </si>
  <si>
    <t>[돌핀] 센소 프레도 얼려먹는 아이스크림 (40mL X 60개)</t>
  </si>
  <si>
    <t>돌핀</t>
  </si>
  <si>
    <t>친정엄마 국산 데친고사리, 450g (고형량 150g), 1개 6,580원 (100g당 1,462원) 내일(일) 새벽 도착 보장 4.5 (16331) 최대 329원 적립</t>
  </si>
  <si>
    <t>이디야 모카블렌드 커피믹스, 11.5g, 120개입, 1개 16,740원 (10g당 121원) 내일(일) 도착 보장 4.5 (18790) 최대 837원 적립</t>
  </si>
  <si>
    <t>[매일] 바이오 ZERO 요구르트 (190ml X 6개)</t>
  </si>
  <si>
    <t>[매일] 허쉬 초콜릿 드링크 프로틴 (235mL X 24개)</t>
  </si>
  <si>
    <t>[레인저스벨리] 호주산 흑소MB3+ 윗등심 스테이크 200g (냉장)</t>
  </si>
  <si>
    <t>군밤용 칼집 약단밤, 1개, 500g 8,990원 (100g당 1,798원) 내일(일) 새벽 도착 보장 4 (221) 최대 450원 적립</t>
  </si>
  <si>
    <t>남양유업 스테비아 요구르트, 65ml, 16개입, 2개 5,780원 (10ml당 28원) 내일(일) 새벽 도착 보장 5 (5660) 최대 289원 적립</t>
  </si>
  <si>
    <t>[라메르풀라르] 프랑스 전통쿠키 &amp; 팔레트 6종 (택1)</t>
  </si>
  <si>
    <t>라메르풀라르</t>
  </si>
  <si>
    <t>국내산 흙당근, 5kg, 1개 11,250원 (100g당 225원) 내일(일) 새벽 도착 보장 4.5 (296853) 최대 563원 적립</t>
  </si>
  <si>
    <t>[베지밀] 담백한 A 검은콩 두유 (190mL X 24개)</t>
  </si>
  <si>
    <t>[크림서울] 트러플 크림 떡볶이</t>
  </si>
  <si>
    <t>크림서울</t>
  </si>
  <si>
    <t>가온애 알땅콩, 1kg, 2개 18,700원 (100g당 935원) 내일(일) 도착 보장 4.5 (18438) 최대 935원 적립</t>
  </si>
  <si>
    <t>가온애</t>
  </si>
  <si>
    <t>[수산곳간] 한입 촉촉 오징어 50g</t>
  </si>
  <si>
    <t>[양평상회] 월간 참기름 200mL</t>
  </si>
  <si>
    <t>양평상회</t>
  </si>
  <si>
    <t>[Biscuiterie de Provence] [밀가루0%] 아몬드&amp;초콜릿 케이크 240g</t>
  </si>
  <si>
    <t>오뚜기옛날 볶음참깨, 200g, 2개 1%10,560원 10,430원 (10g당 261원) 내일(일) 도착 보장 5 (31027) 최대 521원 적립</t>
  </si>
  <si>
    <t>만차량 단호박 1통</t>
  </si>
  <si>
    <t>고메 통등심 돈카츠 (냉동), 450g, 2개 13%21,960원 18,990원 (100g당 2,110원) 내일(일) 새벽 도착 보장 5 (27867) 최대 950원 적립</t>
  </si>
  <si>
    <t>돈카츠</t>
  </si>
  <si>
    <t>[진가네반찬] 마늘쫑장아찌</t>
  </si>
  <si>
    <t>마늘쫑 장아찌</t>
  </si>
  <si>
    <t>[남양] 마시는 불가리스 복숭아 (150mL X 4개)</t>
  </si>
  <si>
    <t>[동광젓갈] 어리굴젓</t>
  </si>
  <si>
    <t>굴젓갈</t>
  </si>
  <si>
    <t>오설록 제주 순수녹차, 2g, 20개입, 2개 20%22,000원 17,600원 (10g당 2,200원) 내일(일) 도착 보장 5 (5909) 최대 880원 적립</t>
  </si>
  <si>
    <t>[CJ] 행복한콩 모닝두부 3종 (택1)</t>
  </si>
  <si>
    <t>왕뚜껑 김치 컵라면 110g, 10개 9,570원 (1개당 957원) 내일(일) 도착 보장 5 (41625) 최대 479원 적립</t>
  </si>
  <si>
    <t>김치 왕뚜껑</t>
  </si>
  <si>
    <t>[예찬원] 계란북엇국 5개입  (블럭국)</t>
  </si>
  <si>
    <t>친환경 잎채소 깻잎 30g</t>
  </si>
  <si>
    <t>[소팔소곱창] 소곱창</t>
  </si>
  <si>
    <t>소팔소곱창</t>
  </si>
  <si>
    <t>[풀무원] 특등급 국산콩물 960g</t>
  </si>
  <si>
    <t>국내산 한끼 적상추, 80g, 1개 1,490원 (100g당 1,863원) 내일(일) 새벽 도착 보장 4.5 (7028) 최대 75원 적립</t>
  </si>
  <si>
    <t>[베이키드콘] 오븐에 구운 군옥수수 스낵 180g</t>
  </si>
  <si>
    <t>군옥수수 스낵</t>
  </si>
  <si>
    <t>베이키드콘</t>
  </si>
  <si>
    <t>[강남면옥] 사골 만두 칼국수  (2인분)</t>
  </si>
  <si>
    <t>강남면옥</t>
  </si>
  <si>
    <t>[풀무원] 동물복지 구운란 20구 (간장소스)</t>
  </si>
  <si>
    <t>유기농 다진 콜리플라워 100g</t>
  </si>
  <si>
    <t>콜리플라워</t>
  </si>
  <si>
    <t>비락 우유2U 소화가 잘되는 편안한 우유, 2개, 930ml 6,980원 (100ml당 375원) 내일(일) 새벽 도착 보장 5 (1341) 최대 349원 적립</t>
  </si>
  <si>
    <t>청정원 미원 맛소금 95g(용기형) + 250g(봉지형), 1개, 345g 5,740원 (100g당 1,664원) 내일(일) 도착 보장 5 (996) 최대 287원 적립</t>
  </si>
  <si>
    <t>GAP 트리벨리 파프리카 400g</t>
  </si>
  <si>
    <t>[파스퇴르] 바른목장 요구르트 (100mL X 5개)</t>
  </si>
  <si>
    <t>목우촌 주부 9단 살코기햄, 600g, 1개 12%8,980원 7,840원 (10g당 131원) 내일(일) 새벽 도착 보장 5 (30607) 최대 392원 적립</t>
  </si>
  <si>
    <t>[오리온] 더자일리톨 껌 2종 (택1)</t>
  </si>
  <si>
    <t>껌</t>
  </si>
  <si>
    <t>[해태] 칼바 프로틴바란스 코코아퍼지 266g</t>
  </si>
  <si>
    <t>단백질바</t>
  </si>
  <si>
    <t>머거본 볶음땅콩, 300g, 1개 3,990원 (100g당 1,330원) 내일(일) 도착 보장 5 (7958) 최대 200원 적립</t>
  </si>
  <si>
    <t>머거본</t>
  </si>
  <si>
    <t>유로푸드 유기농 레몬주스, 500ml, 1개 47%12,000원 6,300원 (100ml당 1,260원) 내일(일) 새벽 도착 보장 5 (3529) 최대 236원 적립</t>
  </si>
  <si>
    <t>유로푸드</t>
  </si>
  <si>
    <t>[조선델리] 조선호텔 쿠키선물세트 448g</t>
  </si>
  <si>
    <t>해맑은푸드 손질 황태포, 1개, 60g 4,980원 (100g당 8,300원) 내일(일) 새벽 도착 보장 5 (536) 최대 224원 적립</t>
  </si>
  <si>
    <t>[모모스커피] 보랏빛 향기 블렌드 커피 2종(택1)</t>
  </si>
  <si>
    <t>커피원두</t>
  </si>
  <si>
    <t>[옆집꽃님이네] 직화구이 전장김 30g X 6봉 (에코백 증정)</t>
  </si>
  <si>
    <t>[깁펠] 쁘띠 데니쉬 식빵 3종 (택1)</t>
  </si>
  <si>
    <t>깁펠</t>
  </si>
  <si>
    <t>남양과수원 복숭아, 190ml, 24개 쿠폰할인44%14,900원 8,200원 (100ml당 180원) 내일(일) 도착 보장 새 상품, 반품-미개봉 (53) 최저5,100원 5 (26523) 최대 410원 적립</t>
  </si>
  <si>
    <t>복숭아 주스</t>
  </si>
  <si>
    <t>[Kurly's] 1++ 한우 양지 250g (냉장)</t>
  </si>
  <si>
    <t>양반 더 바삭한 김, 5g, 24개 9,570원 (10g당 798원) 내일(일) 도착 보장 5 (2950) 최대 479원 적립</t>
  </si>
  <si>
    <t>하늘보리 에코 무라벨, 1.5L, 12개 14,450원 (100ml당 80원) 내일(일) 도착 보장 5 (40020) 최대 723원 적립</t>
  </si>
  <si>
    <t>[아카페라] 스페셜티 에티오피아 예가체프 커피 (460mL X 4개)</t>
  </si>
  <si>
    <t>[진가네반찬] 청양고추 장아찌</t>
  </si>
  <si>
    <t>청양고추 장아찌</t>
  </si>
  <si>
    <t>억만금 창녕군농협 2025년 햅쌀 황금 메뚜기쌀, 상등급, 2kg, 1개 9%9,900원 8,980원 (100g당 449원) 내일(일) 도착 보장 4.5 (269246) 최대 449원 적립</t>
  </si>
  <si>
    <t>[베키아에누보] 랑드샤 2종 (택1)</t>
  </si>
  <si>
    <t>양배추용 소스</t>
  </si>
  <si>
    <t>[CU 픽업] 쵸요후쿠무스메쥰마이</t>
  </si>
  <si>
    <t>[탄단지] 통 닭가슴살 4종 (1입/4입)</t>
  </si>
  <si>
    <t>탄단지</t>
  </si>
  <si>
    <t>[타르틴베이커리] 레몬파운드케이크 410g</t>
  </si>
  <si>
    <t>[진가네반찬] 순한 진미채볶음</t>
  </si>
  <si>
    <t>진미채 볶음</t>
  </si>
  <si>
    <t>[김소영 아티장의 안단테] 포인트 레이스 토마</t>
  </si>
  <si>
    <t>토마 치즈</t>
  </si>
  <si>
    <t>[KF365] 미국산 돼지고기 삼겹살 구이용 1kg</t>
  </si>
  <si>
    <t>친환경 절단대파, 300g, 1개 3,990원 (100g당 1,330원) 내일(일) 새벽 도착 보장 4.5 (9631) 최대 200원 적립</t>
  </si>
  <si>
    <t>[샐러드판다] 그린랩 샌드위치 3종</t>
  </si>
  <si>
    <t>[밀크앤허니] 미니 올리브식빵 (127g X 3개)</t>
  </si>
  <si>
    <t>[KF365] 원양산 손질오징어 320g (냉장)</t>
  </si>
  <si>
    <t>풀무원 자연건면 튀기지 않는 사리면 460g, 10개 5,460원 (1개당 546원) 내일(일) 도착 보장 5 (2365) 최대 273원 적립</t>
  </si>
  <si>
    <t>사리면</t>
  </si>
  <si>
    <t>서울우유 목장의 신선함이 살아있는 우유, 1L, 2개 3%7,400원 7,140원 (100ml당 357원) 내일(일) 새벽 도착 보장 5 (253777) 최대 357원 적립</t>
  </si>
  <si>
    <t>[타바론] 슈페리어 스피어민트 (1.5g X15개)</t>
  </si>
  <si>
    <t>타바론</t>
  </si>
  <si>
    <t>아이시스 8.0 에코 생수 무라벨, 1L, 24개 18%15,200원 12,460원 (100ml당 52원) 내일(일) 도착 보장 5 (117916) 최대 623원 적립</t>
  </si>
  <si>
    <t>[카필라노] 퓨어꿀</t>
  </si>
  <si>
    <t>[KF365] 밤고구마 800g</t>
  </si>
  <si>
    <t>[비비고] 계란옷 입은 고기완자 480G</t>
  </si>
  <si>
    <t>[레오나르디] 모데나산 콘디멘토 화이트 발사믹</t>
  </si>
  <si>
    <t>스리라차 핫 칠리 시즈닝, 255g, 1개 4,500원 (100g당 1,765원) 내일(일) 도착 보장 5 (91482) 최대 225원 적립</t>
  </si>
  <si>
    <t>신선한 바지락 모음 7종 (생물) (택1)</t>
  </si>
  <si>
    <t>[선물세트][오곡담] 프리미엄 스틱형 미숫가루 &amp; 벌꿀세트</t>
  </si>
  <si>
    <t>안옥남 자르고 씻어나온 간편미역, 300g, 1개 9,900원 (100g당 3,300원) 내일(일) 새벽 도착 보장 5 (2240) 최대 495원 적립</t>
  </si>
  <si>
    <t>[선물세트] 만전김 갓구운 돌김 캔 세트</t>
  </si>
  <si>
    <t>[야미얼스] 유기농 웜 젤리 237.6g (19.8g x 12입)</t>
  </si>
  <si>
    <t>[조지아] 오리지널 캔커피 (240mL X 6개)</t>
  </si>
  <si>
    <t>[압구정포차] IQF 버팔로 윙 600g (냉동)</t>
  </si>
  <si>
    <t>[다담] 된장찌개 양념 530g</t>
  </si>
  <si>
    <t>[브로드카세] 72시간 저당 컨트리 통밀 깜빠뉴 680g</t>
  </si>
  <si>
    <t>[그릭데이] 홀 그래놀라 150g</t>
  </si>
  <si>
    <t>쿠바라 우마타레 양배추용 소스, 280g, 1개 6,340원 (100g당 2,264원) 내일(일) 도착 보장 4.5 (756) 최대 317원 적립</t>
  </si>
  <si>
    <t>[윤서울] 생들기름면</t>
  </si>
  <si>
    <t>[맛의명태자] 명란젓 230g(냉동)</t>
  </si>
  <si>
    <t>친환경 깐양파, 300g, 1개 2,930원 (100g당 977원) 내일(일) 새벽 도착 보장 5 (12862) 최대 146원 적립</t>
  </si>
  <si>
    <t>[일상味소] 육전용 200g (냉동)</t>
  </si>
  <si>
    <t>우둔살</t>
  </si>
  <si>
    <t>곰곰 무항생제 신선한 대란, 60구, 1개 15,990원 (1구당 267원) 내일(일) 새벽 도착 보장 5 (451693) 최대 800원 적립</t>
  </si>
  <si>
    <t>프레샤인 충주 못난이사과, 2kg, 1개 13,830원 (100g당 692원) 내일(일) 새벽 도착 보장 4.5 (85130) 최대 691원 적립</t>
  </si>
  <si>
    <t>프레샤인</t>
  </si>
  <si>
    <t>[존쿡 델리미트] 캠핑 바베큐용 모듬 소시지 410g</t>
  </si>
  <si>
    <t>[벨지오이오소] 리코타 치즈 453g</t>
  </si>
  <si>
    <t>롯데 펩시 제로슈거 라임 500ml x 20개 업소용 음료 53%22,000원 10,200원 (100ml당 102원) 2/12(목) 도착 예정 5 (6422) 최대 510원 적립</t>
  </si>
  <si>
    <t>맥코믹 시저샐러드 드레싱, 1kg, 1개 9,650원 (100g당 965원) 내일(일) 도착 보장 4.5 (1224) 최대 483원 적립</t>
  </si>
  <si>
    <t>시저드레싱</t>
  </si>
  <si>
    <t>맥코믹</t>
  </si>
  <si>
    <t>농심 짜파게티 140g, 15개 13,970원 (1개당 931원) 내일(일) 새벽 도착 보장 5 (57674) 최대 699원 적립</t>
  </si>
  <si>
    <t>[일리] 클래식 로스트 디카페인 스틱커피 3종 (택1)</t>
  </si>
  <si>
    <t>건국유업 소화가 편안한 우유, 2.3L, 1개 7,760원 (100ml당 337원) 내일(일) 새벽 도착 보장 5 (9201) 최대 388원 적립</t>
  </si>
  <si>
    <t>[뉴트리원] 맥주 효모 골드 (90정)</t>
  </si>
  <si>
    <t>뉴트리원</t>
  </si>
  <si>
    <t>[내츄럴스파이스] 통흑후추 200g (실속 리필형)</t>
  </si>
  <si>
    <t>[맛의명태자] 냉장 명란 120g</t>
  </si>
  <si>
    <t>사미헌 갈비탕 (냉동), 1kg, 1개 11,700원 (100g당 1,170원) 내일(일) 새벽 도착 보장 5 (29558) 최대 585원 적립</t>
  </si>
  <si>
    <t>갈비탕</t>
  </si>
  <si>
    <t>[피스피스] 애플파이 138g</t>
  </si>
  <si>
    <t>[해찬들] 새콤달콤 초고추장 300g</t>
  </si>
  <si>
    <t>곰곰 체다치즈 슬라이스, 18g, 100개입, 1개 21,980원 (10g당 122원) 내일(일) 새벽 도착 보장 5 (198112) 최대 1,099원 적립</t>
  </si>
  <si>
    <t>닥터루템 정품 유기농 엑스트라버진 올리브오일 레몬즙 핏, 14회분, 280ml, 1개 14,800원 (1정당 1,057원) 내일(일) 도착 보장 새 상품, 반품-미개봉 (5) 최저11,950원 5 (472) 최대 629원 적립</t>
  </si>
  <si>
    <t>레몬즙</t>
  </si>
  <si>
    <t>닥터루템</t>
  </si>
  <si>
    <t>[가농바이오] 오메가에그 무항생제 1+등급 특란 20구</t>
  </si>
  <si>
    <t>[Kurly's] 쫄깃쫄깃 사각 어묵</t>
  </si>
  <si>
    <t>타코 녹차라떼 분말, 500g, 1개입, 1개 쿠폰할인5%7,170원 6,800원 (10g당 136원) 내일(일) 도착 보장 4.5 (6695) 최대 340원 적립</t>
  </si>
  <si>
    <t>라떼 분말</t>
  </si>
  <si>
    <t>타코</t>
  </si>
  <si>
    <t>쿡탁 감자수제비 2~3인분, 400g, 1개 1,990원 (100g당 498원) 내일(일) 새벽 도착 보장 5 (1573) 최대 100원 적립</t>
  </si>
  <si>
    <t>감자수제비</t>
  </si>
  <si>
    <t>쿡탁</t>
  </si>
  <si>
    <t>[이목] 국내산 소고기 불고기용 200g (냉장)</t>
  </si>
  <si>
    <t>햇살나래 간편한 식혜 만들기 엿기름 티백, 240g, 2개 8,200원 (100g당 1,708원) 내일(일) 도착 보장 4.5 (1014) 최대 410원 적립</t>
  </si>
  <si>
    <t>[CU 픽업] 코마사 진</t>
  </si>
  <si>
    <t>이안 바나나 (냉동), 1개, 1kg 6,500원 (100g당 650원) 내일(일) 새벽 도착 보장 5 (351) 최대 325원 적립</t>
  </si>
  <si>
    <t>냉동 바나나</t>
  </si>
  <si>
    <t>이안</t>
  </si>
  <si>
    <t>[백설] 육수에는 1분링 야채와겨울무 4gx20개입</t>
  </si>
  <si>
    <t>[1등급 한우] 불고기용 200g (냉장)</t>
  </si>
  <si>
    <t>[펄세스] 스테비아 단백질 커피 믹스 (9.5g X 30개)</t>
  </si>
  <si>
    <t>영주마실 못난이 사과 소과 15~21개입, 3kg, 1개 19,710원 (100g당 657원) 내일(일) 새벽 도착 보장 4.5 (17410) 최대 985원 적립</t>
  </si>
  <si>
    <t>칠레 블루베리, 310g, 1팩 6,490원 (100g당 2,094원) 내일(일) 새벽 도착 보장 4.5 (25255) 최대 325원 적립</t>
  </si>
  <si>
    <t>팔당 오징어볶음 2종 (냉동) (택1)</t>
  </si>
  <si>
    <t>[자연실록] 동물복지 한입 닭가슴살 2종</t>
  </si>
  <si>
    <t>백태 1kg</t>
  </si>
  <si>
    <t>약콩두유 오리지널, 190ml, 16개 32%21,600원 14,680원 (100ml당 483원) 내일(일) 도착 보장 새 상품, 반품-미개봉 (12) 최저13,940원 4.5 (31068) 최대 734원 적립</t>
  </si>
  <si>
    <t>오뚜기 진라면 약간매운맛 120g, 5개 18%4,580원 3,720원 (1개당 744원) 내일(일) 도착 보장 5 (8489) 최대 186원 적립</t>
  </si>
  <si>
    <t>[우물우물] 구룡포에서 말린 몸통 건오징어 90g (2~3미)</t>
  </si>
  <si>
    <t>우물우물</t>
  </si>
  <si>
    <t>오뚜기 김치라면 120g, 5개 3,140원 (1개당 628원) 내일(일) 새벽 도착 보장 5 (7496) 최대 157원 적립</t>
  </si>
  <si>
    <t>김치라면</t>
  </si>
  <si>
    <t>곰곰 멸균 딸기 우유, 190ml, 24개 27%18,400원 13,370원 (100ml당 293원) 내일(일) 도착 보장 5 (17389) 최대 669원 적립</t>
  </si>
  <si>
    <t>[사층빵집] 버터바 5종 (택1)</t>
  </si>
  <si>
    <t>사층빵집</t>
  </si>
  <si>
    <t>[종가] 갓김치 500g</t>
  </si>
  <si>
    <t>[선물세트] 궁 쇠고기육포세트 420g (70g X 6EA)</t>
  </si>
  <si>
    <t>[슈퍼키친] 무청시래기된장지짐</t>
  </si>
  <si>
    <t>타무르 데이츠 8p, 148g, 1개 8%22,800원 20,800원 (100g당 14,054원) 내일(일) 도착 보장 5 (1038) 최대 1,040원 적립</t>
  </si>
  <si>
    <t>[김소형원방] 온궁진 30포</t>
  </si>
  <si>
    <t>우리집 건강한 딸기 요거트 750mL</t>
  </si>
  <si>
    <t>우리집</t>
  </si>
  <si>
    <t>[마땡] 저당 그래놀라 3종 (택1)</t>
  </si>
  <si>
    <t>마땡</t>
  </si>
  <si>
    <t>[풀무원] 우리아이 홍시 깍두기 300g</t>
  </si>
  <si>
    <t>[해태] 후렌치파이 27+3 기획팩 딸기</t>
  </si>
  <si>
    <t>밀라 마스카포네 치즈, 500g, 1개입, 1개 10,960원 (10g당 219원) 내일(일) 새벽 도착 보장 5 (19133) 최대 548원 적립</t>
  </si>
  <si>
    <t>청정원 생강 매실 맛술, 410ml, 2개 4,760원 (100ml당 580원) 내일(일) 도착 보장 5 (212) 최대 238원 적립</t>
  </si>
  <si>
    <t>곰곰 누들 밀 떡볶이떡 (냉장), 500g, 1개 2,650원 (100g당 530원) 내일(일) 새벽 도착 보장 4.5 (7056) 최대 133원 적립</t>
  </si>
  <si>
    <t>[허쉬] DIY 토핑용 초콜릿칩 2종 (택1)</t>
  </si>
  <si>
    <t>[빕스] 부채살 찹스테이크</t>
  </si>
  <si>
    <t>빕스</t>
  </si>
  <si>
    <t>[지유가오카] 초코 케이크 DIY 세트 600g</t>
  </si>
  <si>
    <t>곰곰 콩두부, 500g, 4개 6,180원 (100g당 309원) 내일(일) 새벽 도착 보장 5 (340247) 최대 309원 적립</t>
  </si>
  <si>
    <t>[마즈] 스니커즈 미니 초콜릿바 픽앤믹스 800g (40입)</t>
  </si>
  <si>
    <t>[롯데] 왓따 캐치티니핑 판박이 풍선껌 25개입</t>
  </si>
  <si>
    <t>[이담] 산양우유 100% 750mL</t>
  </si>
  <si>
    <t>냉동 망고 1kg (베트남산)</t>
  </si>
  <si>
    <t>마이쮸 필로우 포도 사과 츄잉캔디, 720g, 1개 35%12,000원 7,790원 (10g당 108원) 내일(일) 도착 보장 5 (18809) 최대 390원 적립</t>
  </si>
  <si>
    <t>마이쮸</t>
  </si>
  <si>
    <t>[만치니] 프리미엄 파스타면 7종 (택1)</t>
  </si>
  <si>
    <t>만치니</t>
  </si>
  <si>
    <t>풀무원 퓨어 무라벨 생수, 2L, 18개 8,850원 (100ml당 25원) 내일(일) 도착 보장 5 (109261) 최대 443원 적립</t>
  </si>
  <si>
    <t>오뚜기 순후추, 100g, 2개 21%13,760원 10,800원 (10g당 540원) 내일(일) 도착 보장 5 (102257) 최대 540원 적립</t>
  </si>
  <si>
    <t>덴마크 리코타치즈, 150g, 1개입, 3개 9,890원 (10g당 220원) 내일(일) 새벽 도착 보장 5 (7854) 최대 495원 적립</t>
  </si>
  <si>
    <t>아이시스 8.0 ECO 생수 무라벨, 300ml, 80개 7%24,000원 22,280원 (100ml당 93원) 내일(일) 도착 보장 5 (117915) 최대 1,114원 적립</t>
  </si>
  <si>
    <t>신선함을 그대로 옐로우믹스 샐러드, 80g, 3팩 7,500원 (100g당 3,125원) 내일(일) 새벽 도착 보장 4.5 (22866) 최대 375원 적립</t>
  </si>
  <si>
    <t>[바다소리] 해품은 김 22g</t>
  </si>
  <si>
    <t>[선물세트] 모니니 10호 (엑스트라버진 500ml/2입)</t>
  </si>
  <si>
    <t>[Kim's butcher] 미국산 소고기 샤브샤브용 500g (냉동)</t>
  </si>
  <si>
    <t>샤브샤브용 소고기</t>
  </si>
  <si>
    <t>[앙팡드봉봉] 한입에 쏙! 유기농 한입 솜사탕 3종</t>
  </si>
  <si>
    <t>앙팡드봉봉</t>
  </si>
  <si>
    <t>대국민 고구마스틱, 800g, 1개 13,480원 (10g당 169원) 내일(일) 도착 보장 4.5 (5059) 최대 674원 적립</t>
  </si>
  <si>
    <t>고구마스낵</t>
  </si>
  <si>
    <t>대국민</t>
  </si>
  <si>
    <t>[농협] 구수한 옛날 누룽지 450g</t>
  </si>
  <si>
    <t>백설 우리밀 밀가루, 750g, 1개 3,200원 (100g당 427원) 내일(일) 도착 보장 5 (318) 최대 160원 적립</t>
  </si>
  <si>
    <t>국내산 통마늘, 1kg, 1개 12,900원 (100g당 1,290원) 내일(일) 새벽 도착 보장 4.5 (9923) 최대 645원 적립</t>
  </si>
  <si>
    <t>[강봉석 명인조청] 깨범벅 강정 (10g X 8개)</t>
  </si>
  <si>
    <t>[임실치즈마을] 프로바이오요거트 플레인 900mL</t>
  </si>
  <si>
    <t>[아이배냇] 끙아 젤리 3종 (택1)</t>
  </si>
  <si>
    <t>아이배냇</t>
  </si>
  <si>
    <t>주일 완도 명품 건실미역, 500g, 1개 11,990원 (100g당 2,398원) 내일(일) 새벽 도착 보장 5 (4283) 최대 600원 적립</t>
  </si>
  <si>
    <t>비비고 계란옷입은 고기완자 (냉동), 480g, 1개 20%9,980원 7,980원 (100g당 1,663원) 내일(일) 새벽 도착 보장 5 (3889) 최대 399원 적립</t>
  </si>
  <si>
    <t>샘표 장아찌 간장, 1.7L, 1개 38%8,900원 5,480원 (100ml당 322원) 내일(일) 도착 보장 4.5 (7934) 최대 274원 적립</t>
  </si>
  <si>
    <t>장아찌간장</t>
  </si>
  <si>
    <t>[미자언니네 장아찌] 깻잎 장아찌</t>
  </si>
  <si>
    <t>깻잎 장아찌</t>
  </si>
  <si>
    <t>미자언니네 장아찌</t>
  </si>
  <si>
    <t>오뚜기 고소한 골드 마요네즈, 3.2kg, 1개 13,990원 (100g당 437원) 내일(일) 도착 보장 5 (159217) 최대 700원 적립</t>
  </si>
  <si>
    <t>여왕의만찬 삼광미 우리쌀 백미, 특등급, 4kg, 1개 22%21,900원 16,980원 (100g당 425원) 내일(일) 도착 보장 4.5 (214096) 최대 849원 적립</t>
  </si>
  <si>
    <t>서울우유 A2플러스 우유, 2개, 900ml 7,330원 (100ml당 407원) 내일(일) 새벽 도착 보장 5 (1356) 최대 366원 적립</t>
  </si>
  <si>
    <t>[남도2대명가] 해초 무침 200g 2종 (택1)</t>
  </si>
  <si>
    <t>해초 무침</t>
  </si>
  <si>
    <t>[메종드조에] 쁘띠 쿠키 4종 (택1)</t>
  </si>
  <si>
    <t>[선물세트] 사미헌 갈비탕 &amp; 한우꼬리곰탕 세트 (4입)</t>
  </si>
  <si>
    <t>[윤슬] 흰새우살 180g (냉장)</t>
  </si>
  <si>
    <t>[큐피] 하프 마요네즈 210g</t>
  </si>
  <si>
    <t>[한우물] 한끼 든든 매콤 잡채 (3개입)</t>
  </si>
  <si>
    <t>청정원 프레시 마요네즈, 500g, 1개 13%4,830원 4,160원 (100g당 832원) 내일(일) 도착 보장 5 (53054) 최대 208원 적립</t>
  </si>
  <si>
    <t>곰곰 방울토마토, 500g, 1팩 4,980원 (100g당 996원) 내일(일) 새벽 도착 보장 4.5 (44083) 최대 249원 적립</t>
  </si>
  <si>
    <t>자이카오 현미유, 500ml, 2개 25%13,960원 10,400원 (100ml당 1,040원) 내일(일) 도착 보장 5 (2531) 최대 520원 적립</t>
  </si>
  <si>
    <t>자이카오</t>
  </si>
  <si>
    <t>백설 갈색설탕, 3kg, 2개 14,220원 (100g당 237원) 내일(일) 도착 보장 5 (69379) 최대 711원 적립</t>
  </si>
  <si>
    <t>이엔푸드 미니 양조 맛간장, 5.6ml, 186개 5,730원 (100ml당 550원) 내일(일) 도착 보장 5 (1934) 최대 286원 적립</t>
  </si>
  <si>
    <t>이엔푸드</t>
  </si>
  <si>
    <t>맥심 모카골드 마일드 커피믹스, 12g, 50개입, 2개 16,620원 (10g당 139원) 내일(일) 새벽 도착 보장 5 (5118) 최대 831원 적립</t>
  </si>
  <si>
    <t>[올계] 유기농 닭다리살 200g (냉동)</t>
  </si>
  <si>
    <t>[조인] 동물복지 백색 유정 구운란 20구</t>
  </si>
  <si>
    <t>[하루한콩] 고단백 파바빈 군옥수수맛(15g*22개)</t>
  </si>
  <si>
    <t>파바빈</t>
  </si>
  <si>
    <t>하루한콩</t>
  </si>
  <si>
    <t>[종가] 담백한 나박김치 1.2kg</t>
  </si>
  <si>
    <t>나박김치</t>
  </si>
  <si>
    <t>맥스웰하우스 커피믹스 오리지날, 11.8g, 50개입, 1개 6,370원 (10g당 108원) 내일(일) 도착 보장 5 (47534) 최대 319원 적립</t>
  </si>
  <si>
    <t>[메글레] 에멘탈 슬라이스 치즈 125g</t>
  </si>
  <si>
    <t>17차 몸이 가벼워지는 시간 차음료, 340ml, 20개 7%13,000원 12,000원 (100ml당 176원) 내일(일) 도착 보장 새 상품, 반품-미개봉 (122) 최저9,100원 5 (39278) 최대 600원 적립</t>
  </si>
  <si>
    <t>[조선델리] 조선호텔 애플타르트 630g</t>
  </si>
  <si>
    <t>[제각각] 브로콜리 3입</t>
  </si>
  <si>
    <t>참크래커 참 알프스, 295g, 1개 4,000원 (10g당 136원) 내일(일) 도착 보장 5 (425) 최대 200원 적립</t>
  </si>
  <si>
    <t>[KF365] 무항생제 대란 반반팩 20구 (백색/갈색)</t>
  </si>
  <si>
    <t>[CU 픽업] 레칙10년</t>
  </si>
  <si>
    <t>방앗간청년 압력으로 볶은 보리차, 500g, 1개입, 3개 할인51%28,900원 14,020원 (10g당 93원) 내일(일) 도착 보장 5 (13669) 최대 701원 적립</t>
  </si>
  <si>
    <t>오뚜기 옛날 미역, 150g, 1개 5,360원 (100g당 3,573원) 내일(일) 도착 보장 5 (33861) 최대 268원 적립</t>
  </si>
  <si>
    <t>[사조대림] 부산어묵 얇은사각 240g</t>
  </si>
  <si>
    <t>[선물세트] 프리미엄 영광 굴비 세트 2.0kg</t>
  </si>
  <si>
    <t>[덴마크] 소화가 잘되는 우유 (190mL X 24개)</t>
  </si>
  <si>
    <t>강화군농협 2025년산 햅쌀 강화섬쌀 삼광미플러스 백미, 특등급, 4kg, 1개 17,900원 (100g당 448원) 내일(일) 도착 보장 4.5 (51038) 최대 895원 적립</t>
  </si>
  <si>
    <t>일드프랑스 미니 브리 치즈, 25g, 5개입, 1개 10,460원 (10g당 837원) 내일(일) 새벽 도착 보장 5 (3549) 최대 523원 적립</t>
  </si>
  <si>
    <t>[하인즈] 핫도그 렐리쉬 401g</t>
  </si>
  <si>
    <t>렐리쉬</t>
  </si>
  <si>
    <t>[뚝방길홍차가게] 스콘생지 5종 (4개) (택1)</t>
  </si>
  <si>
    <t>뚝방길홍차가게</t>
  </si>
  <si>
    <t>[풀무원] 식물성 지구식단 두부텐더</t>
  </si>
  <si>
    <t>두부텐더</t>
  </si>
  <si>
    <t>곰곰 매일매일 담백한 베이컨, 1kg, 1개 15,170원 (10g당 152원) 내일(일) 새벽 도착 보장 5 (12306) 최대 759원 적립</t>
  </si>
  <si>
    <t>Prime Field 유기농 현미, 1kg, 1개 22%8,980원 6,980원 (100g당 698원) 내일(일) 새벽 도착 보장 5 (188) 최대 349원 적립</t>
  </si>
  <si>
    <t>승인식품 최순희 전통명장이 만든 볶은참깨, 200g, 1개 6,800원 (100g당 3,400원) 내일(일) 도착 보장 5 (721) 최대 340원 적립</t>
  </si>
  <si>
    <t>승인식품</t>
  </si>
  <si>
    <t>[헤르데즈] 멕시칸 아보카도 소스</t>
  </si>
  <si>
    <t>아보카도 소스</t>
  </si>
  <si>
    <t>헤르데즈</t>
  </si>
  <si>
    <t>[건어수라] 육수용 황태머리 300g</t>
  </si>
  <si>
    <t>[더오담] 가마솥 누룽지 150g (국내산)</t>
  </si>
  <si>
    <t>미니 파스텔 초코케이크 280g</t>
  </si>
  <si>
    <t>[달떡볶이] 떡꼬치</t>
  </si>
  <si>
    <t>달떡볶이</t>
  </si>
  <si>
    <t>[KF365] 완도 전복 5마리 260g (중, 생물)</t>
  </si>
  <si>
    <t>[티네] 노르웨이 브라운치즈 스프레드 150g</t>
  </si>
  <si>
    <t>치즈 스프레드</t>
  </si>
  <si>
    <t>티네</t>
  </si>
  <si>
    <t>유기농 찰진 오곡밥 500g</t>
  </si>
  <si>
    <t>오곡</t>
  </si>
  <si>
    <t>대구농산 귀리쌀, 5kg, 1개 6,980원 (100g당 140원) 내일(일) 새벽 도착 보장 4.5 (652) 최대 349원 적립</t>
  </si>
  <si>
    <t>[폴 바셋] 시그니처 블렌드 스틱 커피 (2g X 5개)</t>
  </si>
  <si>
    <t>폴 바셋</t>
  </si>
  <si>
    <t>[펀나쵸] 치즈소스  99gx2입</t>
  </si>
  <si>
    <t>펀나쵸</t>
  </si>
  <si>
    <t>[FELT] 오리지널 콜드브루 500mL</t>
  </si>
  <si>
    <t>콜드브루</t>
  </si>
  <si>
    <t>FELT</t>
  </si>
  <si>
    <t>맥심 오리지날 커피믹스, 11.8g, 100개입, 1개 15,990원 (10g당 136원) 내일(일) 도착 보장 5 (19775) 최대 800원 적립</t>
  </si>
  <si>
    <t>[남양] 불가리스 락토프리 플레인 요거트 400g</t>
  </si>
  <si>
    <t>[롯데햄] 의성마늘 프랑크 420g(210g*2)</t>
  </si>
  <si>
    <t>[탄단지] 현미 다이어트 도시락 5종</t>
  </si>
  <si>
    <t>[풀무원] 얄피꽉찬 만두 2종 (2개입)</t>
  </si>
  <si>
    <t>[오뚜기]컵밥_매콤낙지덮밥(즉석국)</t>
  </si>
  <si>
    <t>[아카페라] 사이즈업 커피 RTD 350mL X 20병 5종 (택1)</t>
  </si>
  <si>
    <t>프로모락 치킨스톡 큐브 40p, 400g, 1개 5,700원 (100g당 1,425원) 내일(일) 도착 보장 5 (2240) 최대 285원 적립</t>
  </si>
  <si>
    <t>프로모락</t>
  </si>
  <si>
    <t>비비고 감태김 12p, 48g, 1개 18%8,480원 6,950원 (10g당 1,448원) 내일(일) 도착 보장 4.5 (531) 최대 348원 적립</t>
  </si>
  <si>
    <t>[도시곳간] 칙피렌틸콩샐러드</t>
  </si>
  <si>
    <t>[한강식품] 닭가슴살 시즈닝 스테이크 500g (냉장)</t>
  </si>
  <si>
    <t>가족 못난이 사과, 2kg(랜덤과), 1개 13,830원 (100g당 692원) 내일(일) 새벽 도착 보장 4.5 (8405) 최대 691원 적립</t>
  </si>
  <si>
    <t>가족</t>
  </si>
  <si>
    <t>[선물세트] 레오나르디 발사믹 입문세트 (IGP핑크/화이트콘디멘토)</t>
  </si>
  <si>
    <t>아산율림 햇밤 특, 700g, 1개 10,900원 (100g당 1,557원) 내일(일) 새벽 도착 보장 4.5 (1187) 최대 545원 적립</t>
  </si>
  <si>
    <t>아산율림</t>
  </si>
  <si>
    <t>[선물세트] 이브뚜리에 봉봉 초콜릿 8P</t>
  </si>
  <si>
    <t>[진가네반찬] 오삼불고기</t>
  </si>
  <si>
    <t>오삼불고기</t>
  </si>
  <si>
    <t>[HBAF] 넛츠앤스낵스 치즈 앤 믹스넛 190g</t>
  </si>
  <si>
    <t>[만전김] 유기 만전곱창돌김 생김 25매</t>
  </si>
  <si>
    <t>[Kim's butcher] 돌돌말이 대패 삼겹살 1kg(냉동)</t>
  </si>
  <si>
    <t>냉동 삼겹살</t>
  </si>
  <si>
    <t>[허쉬] 펄즈 초콜릿 틴케이스 2종 (택1)</t>
  </si>
  <si>
    <t>하림 커플치킨 통닭 백숙용 (냉장) 2입, 1.1kg, 1개 10,990원 (100g당 1,998원) 내일(일) 새벽 도착 보장 5 (44908) 최대 550원 적립</t>
  </si>
  <si>
    <t>[비움반찬] 느타리버섯볶음</t>
  </si>
  <si>
    <t>느타리버섯 볶음</t>
  </si>
  <si>
    <t>[니뽕내뽕] 차뽕 (차이나짬뽕)</t>
  </si>
  <si>
    <t>니뽕내뽕</t>
  </si>
  <si>
    <t>[올림푸스] 그리스 그릭 요거트 150g 2종 (택1)</t>
  </si>
  <si>
    <t>[달롤] 글루텐프리 쌀카스테라 2종 (택1)</t>
  </si>
  <si>
    <t>쌀카스테라</t>
  </si>
  <si>
    <t>달롤</t>
  </si>
  <si>
    <t>해표 더 고소한자반 김돌자반, 300g, 1개 25%9,980원 7,480원 (10g당 249원) 내일(일) 도착 보장 5 (56) 최대 374원 적립</t>
  </si>
  <si>
    <t>고급진 캐나다산 삼겹살 수육보쌈용 (냉장), 1개, 1kg 16,260원 (100g당 1,626원) 내일(일) 새벽 도착 보장 4.5 (7800) 최대 813원 적립</t>
  </si>
  <si>
    <t>[고래사] 어묵탕 한그릇 200g (2개입)</t>
  </si>
  <si>
    <t>[자연실록] 동물복지 닭갈비 3종 400g (냉장)</t>
  </si>
  <si>
    <t>[컨디션] 컨디션 스틱 18g x 10포 (그린애플, 자두, 망고, 컨디션) 4종 (택1)</t>
  </si>
  <si>
    <t>컨디션</t>
  </si>
  <si>
    <t>[하선정] 쌈무(와사비)350g</t>
  </si>
  <si>
    <t>다조은 당도선별 신고 배, 1kg(대, 2입), 1팩 7,990원 (100g당 799원) 내일(일) 새벽 도착 보장 4.5 (8240) 최대 400원 적립</t>
  </si>
  <si>
    <t>[CJ] 행복한콩 고소한 촌두부 300g</t>
  </si>
  <si>
    <t>백설 갈색설탕, 3kg, 1개 6%8,380원 7,860원 (100g당 262원) 내일(일) 도착 보장 5 (69379) 최대 393원 적립</t>
  </si>
  <si>
    <t>[알마자라스] 알마올리바 유기농 엑스트라버진 500mL</t>
  </si>
  <si>
    <t>알마자라스</t>
  </si>
  <si>
    <t>[메종엠오] 앙 휘낭시에 30g</t>
  </si>
  <si>
    <t>양반 쇠고기죽, 287.5g, 2개 37%5,200원 3,230원 (100g당 562원) 내일(일) 새벽 도착 보장 5 (1759) 최대 161원 적립</t>
  </si>
  <si>
    <t>국내산 깐마늘, 80g, 2개 3,390원 (100g당 2,119원) 내일(일) 새벽 도착 보장 5 (98636) 최대 170원 적립</t>
  </si>
  <si>
    <t>[슈퍼키친] 더블치즈함박스테이크</t>
  </si>
  <si>
    <t>[스마일찬] 도라지초무침</t>
  </si>
  <si>
    <t>도라지초무침</t>
  </si>
  <si>
    <t>스마일찬</t>
  </si>
  <si>
    <t>[감코리아] 각양각색 소용량 햇곶감 3종 (택1)</t>
  </si>
  <si>
    <t>[동원] Dole 파인애플 439g</t>
  </si>
  <si>
    <t>과일캔</t>
  </si>
  <si>
    <t>[빙그레] 요구르트 (280mL X 4개)</t>
  </si>
  <si>
    <t>[선물세트] 포천이동갈비 한입 LA갈비 세트 2kg</t>
  </si>
  <si>
    <t>[CU 픽업] 주라21년</t>
  </si>
  <si>
    <t>[진가네반찬] 동그랑땡</t>
  </si>
  <si>
    <t>[톰볼라] 쉬림프 바질 크림 파스타</t>
  </si>
  <si>
    <t>[스마일찬] 잘라놓은 진미채볶음 200g (대용량)</t>
  </si>
  <si>
    <t>[립톤] 밀크티 2종 (19g X 10개입) (택1)</t>
  </si>
  <si>
    <t>두루웰 2025년 햅쌀 GAP 인증 철원 오대쌀 백미, 2kg, 1개, 상등급 8%10,900원 9,980원 (100g당 499원) 내일(일) 도착 보장 4.5 (15643) 최대 499원 적립</t>
  </si>
  <si>
    <t>두루웰</t>
  </si>
  <si>
    <t>[삼진어묵] 종합어묵탕 (순한맛+매운맛)</t>
  </si>
  <si>
    <t>첵스초코 오곡으로 만든 마시멜로 시리얼, 400g, 1개 23%6,880원 5,270원 (100g당 1,318원) 내일(일) 새벽 도착 보장 5 (5976) 최대 264원 적립</t>
  </si>
  <si>
    <t>[클뤼젤] 태블릿 초콜릿 5종</t>
  </si>
  <si>
    <t>클뤼젤</t>
  </si>
  <si>
    <t>도드람한돈 1등급 등심 카레용 (냉장), 300g, 2개 13,230원 (100g당 2,205원) 내일(일) 새벽 도착 보장 5 (17399) 최대 661원 적립</t>
  </si>
  <si>
    <t>[락티브] 베베&amp;키즈 아연 면역젤리 (30일분)</t>
  </si>
  <si>
    <t>호주산 소고기 국거리용 (냉장), 300g, 2개 15%19,980원 16,850원 (100g당 2,808원) 내일(일) 새벽 도착 보장 4.5 (10136) 최대 843원 적립</t>
  </si>
  <si>
    <t>고소한 글루텐프리 100% 구운 아몬드 가루 비건 베이킹 분말 파우더, 1개 14%22,000원 18,900원 (100g당 1,890원) 내일(일) 도착 보장 5 (632) 최대 945원 적립</t>
  </si>
  <si>
    <t>동원 미니 돈까스 (냉동), 900g, 2개 21%17,960원 14,150원 (100g당 786원) 내일(일) 새벽 도착 보장 5 (12090) 최대 708원 적립</t>
  </si>
  <si>
    <t>씻어나온 귀리쌀, 1.2kg, 1통 4,180원 (100g당 348원) 내일(일) 새벽 도착 보장 5 (14866) 최대 209원 적립</t>
  </si>
  <si>
    <t>바다몰 자연산 아르헨티나 붉은새우 이지필 (냉동), 300g(특대), 2개 20,830원 (100g당 3,472원) 내일(일) 새벽 도착 보장 5 (3566) 최대 1,041원 적립</t>
  </si>
  <si>
    <t>바다몰</t>
  </si>
  <si>
    <t>Dole 칠레산 아보카도, 1개, 1kg 10,900원 (100g당 1,090원) 내일(일) 새벽 도착 보장 4.5 (120) 최대 545원 적립</t>
  </si>
  <si>
    <t>CRYSTAL 생수 무라벨, 500ml, 40개 9,350원 (100ml당 47원) 내일(일) 도착 보장 5 (31977) 최대 458원 적립</t>
  </si>
  <si>
    <t>CRYSTAL</t>
  </si>
  <si>
    <t>[해찬들] 저당 초고추장 280g</t>
  </si>
  <si>
    <t>[KF365] 1+등급 무항생제 대란 30구 (15구*2ea)</t>
  </si>
  <si>
    <t>[서울우유] A2 플러스 우유 1.7L</t>
  </si>
  <si>
    <t>만나다 페루산 씨없는 청포도, 1개, 600g 7,350원 (100g당 1,225원) 내일(일) 새벽 도착 보장 4.5 (16) 최대 368원 적립</t>
  </si>
  <si>
    <t>[비움반찬] 들깨 연근 샐러드</t>
  </si>
  <si>
    <t>연근 샐러드</t>
  </si>
  <si>
    <t>[칠갑농산] 떡볶이용 밀떡 1kg</t>
  </si>
  <si>
    <t>[ardo] 냉동 브로콜리 믹스 2종</t>
  </si>
  <si>
    <t>블루베리 주스</t>
  </si>
  <si>
    <t>[온하루] 잣 멸치볶음</t>
  </si>
  <si>
    <t>하루한콩 튀기지 않아 담백한 구운 파바빈 군옥수수맛, 15g, 22개 13%14,900원 12,900원 (100g당 3,909원) 내일(일) 도착 보장 4.5 (89) 최대 645원 적립</t>
  </si>
  <si>
    <t>[제주 성이시돌목장] 유기농 우유 750mL</t>
  </si>
  <si>
    <t>곰곰 부여 알밤, 1.5kg, 1팩 14,980원 (100g당 999원) 내일(일) 새벽 도착 보장 4.5 (10100) 최대 749원 적립</t>
  </si>
  <si>
    <t>곰곰 간편한 손질 새우살 35미~50미(냉동), 300g, 1개 22%8,990원 6,990원 (100g당 2,330원) 내일(일) 새벽 도착 보장 5 (9352) 최대 350원 적립</t>
  </si>
  <si>
    <t>오뚜기옛날 구수한 끓여먹는 누룽지, 900g, 1개 13%10,800원 9,370원 (100g당 1,041원) 내일(일) 도착 보장 4.5 (69210) 최대 469원 적립</t>
  </si>
  <si>
    <t>대구농산 불릴필요없는 귀리쌀, 2kg, 1개 44%8,900원 4,980원 (100g당 249원) 내일(일) 도착 보장 4.5 (1425) 최대 249원 적립</t>
  </si>
  <si>
    <t>[풀무원] 지구식단 찰곤약 떡볶이</t>
  </si>
  <si>
    <t>통밤빵 생지 (80g X 5개입)</t>
  </si>
  <si>
    <t>[산코제과] 일본 콩 과자 2종 (택1)</t>
  </si>
  <si>
    <t>산코제과</t>
  </si>
  <si>
    <t>첵스초코 오곡으로 만든 마시멜로 시리얼, 400g, 1개 23%6,880원 5,270원 (100g당 1,318원) 내일(일) 도착 보장 5 (35149) 최대 264원 적립</t>
  </si>
  <si>
    <t>룩트 아이슬란딕 요거트 띠크, 100g, 3개 11,700원 (10g당 390원) 내일(일) 새벽 도착 보장 5 (8826) 최대 585원 적립</t>
  </si>
  <si>
    <t>해남고구마 해남에서 만든 반시 고구마, 60g, 10개 쿠폰할인3%22,700원 21,850원 (100g당 3,642원) 내일(일) 도착 보장 4.5 (8704) 최대 1,093원 적립</t>
  </si>
  <si>
    <t>[라메르풀라르] 프랑스 전통쿠키 2종 (택1)</t>
  </si>
  <si>
    <t>[KF365] 무항생제 특란 40구 (20구*2ea)</t>
  </si>
  <si>
    <t>[에머이] 매운 소고기 쌀국수</t>
  </si>
  <si>
    <t>[푸디버디] 부드러운 유기농 쌀밥 3입</t>
  </si>
  <si>
    <t>계란의정원 킹단백 구운계란 1260g, 1개, 30구 12,900원 (1구당 430원) 내일(일) 새벽 도착 보장 4.5 (2539) 최대 645원 적립</t>
  </si>
  <si>
    <t>계란의정원</t>
  </si>
  <si>
    <t>맥심 화이트골드 커피믹스, 11.7g, 50개입, 1개 8,790원 (10g당 150원) 내일(일) 새벽 도착 보장 5 (1660) 최대 440원 적립</t>
  </si>
  <si>
    <t>[삼양목장] 유기농우유 1000mL</t>
  </si>
  <si>
    <t>삼양목장</t>
  </si>
  <si>
    <t>[사리원] 왕만두전골</t>
  </si>
  <si>
    <t>파스퇴르 바른목장 소화가 잘되는 우유, 200ml, 20개 20,010원 (100ml당 500원) 내일(일) 도착 보장 5 (4673) 최대 1,000원 적립</t>
  </si>
  <si>
    <t>스위티오 파인애플 특, 1500g, 1개 6,540원 (100g당 436원) 내일(일) 새벽 도착 보장 4.5 (5245) 최대 327원 적립</t>
  </si>
  <si>
    <t>스위티오</t>
  </si>
  <si>
    <t>[창억] 구름떡 3종 (택1)</t>
  </si>
  <si>
    <t>구름떡</t>
  </si>
  <si>
    <t>버터링 딥초코, 155g, 1개 14%4,400원 3,760원 (10g당 243원) 내일(일) 새벽 도착 보장 5 (1465) 최대 169원 적립</t>
  </si>
  <si>
    <t>원농산</t>
  </si>
  <si>
    <t>[크루드] 유기농 엑스트라 버진 올리브오일 500mL</t>
  </si>
  <si>
    <t>크루드</t>
  </si>
  <si>
    <t>[선물세트] 르까도드마비 그랑 쇼콜라 (16개입)</t>
  </si>
  <si>
    <t>[KF365] 완도 전복 11~15마리 500g (소, 생물)</t>
  </si>
  <si>
    <t>[마요라] 커피조이 351g (39g X 9개입)</t>
  </si>
  <si>
    <t>커피 과자</t>
  </si>
  <si>
    <t>마요라</t>
  </si>
  <si>
    <t>[롯데웰푸드] 위즐 660mL 3종 (택1)</t>
  </si>
  <si>
    <t>아임피쉬 가시바른 두툼한 순살 갈치 (냉동), 600g, 1개 5%17,900원 16,980원 (100g당 2,830원) 1,000원 와우 가입 쿠폰 내일(일) 새벽 도착 보장 4.5 (453) 최대 714원 적립</t>
  </si>
  <si>
    <t>아임피쉬</t>
  </si>
  <si>
    <t>[제로베이커리] 와플 코코넛 (48g X 2개입)</t>
  </si>
  <si>
    <t>[남양] 불가리스 락토프리 요거트 플레인 (85g X 8개)</t>
  </si>
  <si>
    <t>[PPUL] 1++(9) 한우 광양식 불고기 (냉장)</t>
  </si>
  <si>
    <t>[김정환홍삼] 사과나무아래 달콤홍삼 (어린이용)</t>
  </si>
  <si>
    <t>[바오담] 올리브 정과 140g</t>
  </si>
  <si>
    <t>[맑은물에] 연천콩 콩물 100% 특급콩 2종</t>
  </si>
  <si>
    <t>곰곰 뒷다리살 불고기용 (냉장), 1000g, 1개 12,250원 (100g당 1,225원) 내일(일) 새벽 도착 보장 4.5 (16495) 최대 613원 적립</t>
  </si>
  <si>
    <t>[또보겠지떡볶이집] 떡볶이 1봉/2봉 (맵기선택)</t>
  </si>
  <si>
    <t>또보겠지떡볶이집</t>
  </si>
  <si>
    <t>[풀무원] 상큼유자 꼬들무 장아찌 220g</t>
  </si>
  <si>
    <t>무 장아찌</t>
  </si>
  <si>
    <t>[광천김] 핑크퐁 키즈김자반 40g</t>
  </si>
  <si>
    <t>[겐츠베이커리] 쿠키 6종 세트 800g</t>
  </si>
  <si>
    <t>매일유업 소화가 잘되는 우유 단백질, 930ml, 2개 8,000원 (100ml당 430원) 내일(일) 새벽 도착 보장 5 (12098) 최대 400원 적립</t>
  </si>
  <si>
    <t>[횡성축협한우] 1등급 한우 등심 200g</t>
  </si>
  <si>
    <t>냉동 망고슬라이스 (냉동), 1개, 1kg 5,830원 (100g당 583원) 내일(일) 새벽 도착 보장 4.5 (674) 최대 291원 적립</t>
  </si>
  <si>
    <t>[미락] 영광 법성포 참굴비 180g (2미) (냉동)</t>
  </si>
  <si>
    <t>[할리스] 스테비아 커피믹스 2종 (택1)</t>
  </si>
  <si>
    <t>곰곰 화이트 체다치즈 슬라이스, 18g, 22개입, 1개 6,110원 (10g당 154원) 내일(일) 새벽 도착 보장 5 (5525) 최대 305원 적립</t>
  </si>
  <si>
    <t>프리미엄 유기농 부추, 150g, 1개 4,310원 (100g당 2,873원) 내일(일) 새벽 도착 보장 5 (529) 최대 215원 적립</t>
  </si>
  <si>
    <t>카누 더블샷 라떼 커피믹스 스틱, 13.5g, 50개입, 2개 35,600원 (10g당 264원) 내일(일) 도착 보장 5 (41605) 최대 1,780원 적립</t>
  </si>
  <si>
    <t>비비고 도톰 동그랑땡 (냉동), 795g, 1개 1%9,480원 9,300원 (100g당 1,170원) 내일(일) 새벽 도착 보장 5 (44687) 최대 465원 적립</t>
  </si>
  <si>
    <t>환타 파인애플, 350ml, 24개 15,690원 (100ml당 187원) 내일(일) 도착 보장 5 (16172) 최대 785원 적립</t>
  </si>
  <si>
    <t>환타 파인애플</t>
  </si>
  <si>
    <t>다조은 비파괴당도선별 샤인머스켓, 500g, 4팩 16,960원 (100g당 848원) 내일(일) 새벽 도착 보장 4.5 (32098) 최대 848원 적립</t>
  </si>
  <si>
    <t>[칙뽈로] IQF 무뼈닭발 300g (냉동)</t>
  </si>
  <si>
    <t>[KF365] 간편한 6가지 해물 모듬</t>
  </si>
  <si>
    <t>해물믹스</t>
  </si>
  <si>
    <t>[올드페리도넛] 페이보릿 도넛 4종 (2개입) (택1)</t>
  </si>
  <si>
    <t>[올가] 현미 모나카 3종 선물세트 (13g X 36개)</t>
  </si>
  <si>
    <t>[형제상회] 모둠회 스페셜(퀵배송/서울한정)</t>
  </si>
  <si>
    <t>모둠회</t>
  </si>
  <si>
    <t>형제상회</t>
  </si>
  <si>
    <t>해통령 디포리 해물 다시팩, 16g, 20개입, 1개 할인1%14,000원 13,730원 (10g당 429원) 내일(일) 새벽 도착 보장 5 (18178) 최대 650원 적립</t>
  </si>
  <si>
    <t>[졸리팝] 막대사탕 125g</t>
  </si>
  <si>
    <t>졸리팝</t>
  </si>
  <si>
    <t>[대한제일미] 시월미소미 쌀 4kg</t>
  </si>
  <si>
    <t>[하림] 참진 토종닭 볶음탕용 1kg (냉장)</t>
  </si>
  <si>
    <t>유기농 밀키퀸 쌀 2kg</t>
  </si>
  <si>
    <t>투데이넛 너트한줌 요거트, 14개 9,280원 (1세트당 663원) 내일(일) 도착 보장 5 (125803) 최대 464원 적립</t>
  </si>
  <si>
    <t>[킨더] 부에노 초콜릿바 3개입</t>
  </si>
  <si>
    <t>[기장물산] 비빔밥용 해초샐러드 2종 (택1)</t>
  </si>
  <si>
    <t>[CJ] 습 맵찔이 실비김치 400g</t>
  </si>
  <si>
    <t>김치</t>
  </si>
  <si>
    <t>One-Frozen 노르웨이 고등어 3종 (냉동) (택1)</t>
  </si>
  <si>
    <t>[김구원선생] 서리태 두부 2개</t>
  </si>
  <si>
    <t>베트남산 흰다리새우살 (냉동), 2개, 200g(71 / 90) 7,520원 (100g당 1,880원) 내일(일) 새벽 도착 보장 5 (548) 최대 376원 적립</t>
  </si>
  <si>
    <t>[달롤] 저당 글루텐프리 롤케이크 3종 (택1)</t>
  </si>
  <si>
    <t>[청담동 피양옥] 인기 평양냉면&amp;만두&amp;녹두전 3종 (택1)</t>
  </si>
  <si>
    <t>[케오스] 아이리시 감자칩 베스트플레이버 2종 (택1)</t>
  </si>
  <si>
    <t>케오스</t>
  </si>
  <si>
    <t>그린너트 건포도, 300g, 1개 5,490원 (100g당 1,830원) 내일(일) 새벽 도착 보장 5 (2919) 최대 275원 적립</t>
  </si>
  <si>
    <t>[풀무원] 얄피꽉찬 생 물만두 X 3입</t>
  </si>
  <si>
    <t>튀김우동 110g, 6개 6,960원 (1개당 1,160원) 내일(일) 도착 보장 4.5 (13938) 최대 348원 적립</t>
  </si>
  <si>
    <t>튀김우동</t>
  </si>
  <si>
    <t>[치즈문] 구워먹는 할루미 치즈 100g</t>
  </si>
  <si>
    <t>친환경 국내산 팽이버섯, 360g, 2개 2,010원 (100g당 279원) 내일(일) 새벽 도착 보장 5 (12740) 최대 100원 적립</t>
  </si>
  <si>
    <t>착한상점 구수하게 끓여먹는 솥뚜껑 누룽지, 500g, 1개 37%8,000원 4,990원 (100g당 998원) 내일(일) 새벽 도착 보장 4.5 (15766) 최대 250원 적립</t>
  </si>
  <si>
    <t>캐나다드라이 진저에일 토닉, 250ml, 30개 15,770원 (100ml당 210원) 내일(일) 도착 보장 새 상품, 반품-미개봉 (68) 최저13,100원 5 (22040) 최대 789원 적립</t>
  </si>
  <si>
    <t>[진가네반찬] 닭가슴살 장조림</t>
  </si>
  <si>
    <t>장조림</t>
  </si>
  <si>
    <t>네스카페수프리모 아메리카노 블랙 원두커피믹스 파우치, 180g, 1개 15,870원 (100g당 8,817원) 내일(일) 도착 보장 5 (23742) 최대 794원 적립</t>
  </si>
  <si>
    <t>네스카페수프리모</t>
  </si>
  <si>
    <t>[선물세트] 군산 이성당 초콜릿 랑그드샤 세트</t>
  </si>
  <si>
    <t>모아미트 캐나다산 보리먹인 항정살 (냉장), 600g, 1개 34%24,510원 16,080원 (100g당 2,680원) 내일(일) 새벽 도착 보장 5 (14716) 최대 804원 적립</t>
  </si>
  <si>
    <t>리지 현미유, 500ml, 2개 13,360원 (100ml당 1,336원) 내일(일) 도착 보장 5 (28036) 최대 668원 적립</t>
  </si>
  <si>
    <t>롯데웰푸드 구구 콘 아이스크림 (냉동), 160ml, 5개입, 1개 7,000원 (10ml당 88원) 내일(일) 새벽 도착 보장 5 (11252) 최대 350원 적립</t>
  </si>
  <si>
    <t>[동원] 구운 김밥김 22g (10매)</t>
  </si>
  <si>
    <t>김밥김</t>
  </si>
  <si>
    <t>[KF365] 한돈 통 항정살 (수육용) 500g (냉장)</t>
  </si>
  <si>
    <t>[제니쿠키] 마카다미아 코코아 크리스피 255g</t>
  </si>
  <si>
    <t>제니쿠키</t>
  </si>
  <si>
    <t>수정김 광천 파래김, 4g, 16개, 1개입 6,590원 (10g당 1,030원) 내일(일) 새벽 도착 보장 5 (127) 최대 296원 적립</t>
  </si>
  <si>
    <t>수정김</t>
  </si>
  <si>
    <t>[대천김] 미니도시락김 10봉</t>
  </si>
  <si>
    <t>피그인더가든 콥 샐러드, 152g, 2개 8,710원 (100g당 2,865원) 내일(일) 새벽 도착 보장 4.5 (112) 최대 435원 적립</t>
  </si>
  <si>
    <t>샘표 저당 제육볶음 양념, 440g, 1개 28%6,980원 4,980원 (100g당 1,132원) 내일(일) 도착 보장 4.5 (400) 최대 224원 적립</t>
  </si>
  <si>
    <t>제육볶음 양념</t>
  </si>
  <si>
    <t>몽베스트 위드어스 무라벨 생수, 500ml, 80개 21,480원 (100ml당 54원) 내일(일) 도착 보장 5 (167582) 최대 1,074원 적립</t>
  </si>
  <si>
    <t>[바오담] 피칸강정 130g</t>
  </si>
  <si>
    <t>[프레시메이드] 소고기 무국</t>
  </si>
  <si>
    <t>[정지선의 티엔미미] 새우완탕면</t>
  </si>
  <si>
    <t>홍초 음용식초 석류, 1.5L, 1개 40%15,900원 9,490원 (10ml당 63원) 내일(일) 도착 보장 5 (87169) 최대 475원 적립</t>
  </si>
  <si>
    <t>홍초</t>
  </si>
  <si>
    <t>해찬들 고기전용 쌈장, 450g, 2개 7,100원 (100g당 789원) 내일(일) 도착 보장 5 (28825) 최대 355원 적립</t>
  </si>
  <si>
    <t>[미자언니네] 전 6종 (택1)</t>
  </si>
  <si>
    <t>전</t>
  </si>
  <si>
    <t>[RARE : 레어] 1++(8) 한우 오이스터 스테이크 300g</t>
  </si>
  <si>
    <t>[성경김] 독도에디션 재래 도시락김 4g X 16봉</t>
  </si>
  <si>
    <t>성경김</t>
  </si>
  <si>
    <t>[이금선명인] 오징어 씨앗젓갈 180g (냉동)</t>
  </si>
  <si>
    <t>[센터커피] No.7 스페셜티 커피 드립백 (10g X 7개)</t>
  </si>
  <si>
    <t>센터커피</t>
  </si>
  <si>
    <t>살맛나요 껍질 벗긴 손질 새우살 특대 (냉장), 180g, 1개 7,890원 (100g당 4,383원) 내일(일) 새벽 도착 보장 5 (1699) 최대 395원 적립</t>
  </si>
  <si>
    <t>[린트] 린도르 초콜릿 3종 (택1)</t>
  </si>
  <si>
    <t>[헤이밀] 비건 만두 4종(택1)</t>
  </si>
  <si>
    <t>헤이밀</t>
  </si>
  <si>
    <t>프리미엄 블루베리 (냉동), 1개, 1kg 6,940원 (100g당 694원) 내일(일) 새벽 도착 보장 4.5 (3777) 최대 347원 적립</t>
  </si>
  <si>
    <t>카누 바리스타 머신 전용 캡슐커피 케어링스타 디카페인, 9.5g, 10개입, 2개 15%15,800원 13,300원 (10g당 700원) 내일(일) 도착 보장 5 (4376) 최대 665원 적립</t>
  </si>
  <si>
    <t>[청정원] 쉐프의치킨스톡 270g(튜브)</t>
  </si>
  <si>
    <t>[이목] 국내산 소고기 육전용 200g (냉동)</t>
  </si>
  <si>
    <t>백설 하얀설탕, 400g, 1개 1,880원 (100g당 470원) 내일(일) 새벽 도착 보장 5 (2672) 최대 94원 적립</t>
  </si>
  <si>
    <t>[백설] 유기농 갈색설탕 2종 (400g/1kg)</t>
  </si>
  <si>
    <t>리챔 오리지널 햄통조림, 200g, 4개 46%19,920원 10,640원 (10g당 133원) 내일(일) 새벽 도착 보장 5 (2987) 최대 532원 적립</t>
  </si>
  <si>
    <t>리챔</t>
  </si>
  <si>
    <t>[보노] 스프 3개입 5종 (택1)</t>
  </si>
  <si>
    <t>보노</t>
  </si>
  <si>
    <t>곰곰 국내산 파김치, 1kg, 1개 27%21,390원 15,540원 (100g당 1,554원) 내일(일) 새벽 도착 보장 4.5 (17686) 최대 777원 적립</t>
  </si>
  <si>
    <t>[한끼통살] 그릴드 닭가슴살 13종 (1입/4입)</t>
  </si>
  <si>
    <t>베베스트 처음 먹는 아이 보리차, 30g, 3개 9,830원 내일(일) 도착 보장 4.5 (3788) 최대 491원 적립</t>
  </si>
  <si>
    <t>지리산처럼 행복한 정은씨의 고소한 들깨가루, 150g, 1개 10,280원 (100g당 6,853원) 내일(일) 도착 보장 4.5 (7859) 최대 514원 적립</t>
  </si>
  <si>
    <t>[허쉬] 다크초콜릿 석류 210g</t>
  </si>
  <si>
    <t>맥스봉 치즈 15p, 525g, 1개 30%8,480원 5,900원 (10g당 112원) 내일(일) 도착 보장 5 (8886) 최대 295원 적립</t>
  </si>
  <si>
    <t>[히말라야] 숙취해소 파티스마트 소프트 츄 망고맛 10개입</t>
  </si>
  <si>
    <t>히말라야</t>
  </si>
  <si>
    <t>[남양] 맛있는두유GT 달콤한맛 (190mL X 24개)</t>
  </si>
  <si>
    <t>[25-26 햇올리브][까사스 디 후알도] 피쿠알 엑스트라버진 500mL</t>
  </si>
  <si>
    <t>[비움반찬] 아삭우엉채볶음</t>
  </si>
  <si>
    <t>우엉채 볶음</t>
  </si>
  <si>
    <t>[달래해장] 속 풀리는 우삼겹 소곱창전골</t>
  </si>
  <si>
    <t>달래해장</t>
  </si>
  <si>
    <t>[마더네스트] 프로폴리스 마누카허니 버터멘톨 로젠지 캔디 300g</t>
  </si>
  <si>
    <t>마더네스트</t>
  </si>
  <si>
    <t>[왕애밥상] 실비파김치</t>
  </si>
  <si>
    <t>[Non-GMO 100%] 비이츠 차전자피 가루 분말, 1개, 400g 할인52%20,900원 9,900원 (10g당 248원) 내일(일) 도착 보장 4.5 (244) 최대 495원 적립</t>
  </si>
  <si>
    <t>주스용 못난이 토마토, 5kg, 1박스 19,440원 (100g당 389원) 내일(일) 새벽 도착 보장 4.5 (11238) 최대 972원 적립</t>
  </si>
  <si>
    <t>그시절 즉석구이 김 15매</t>
  </si>
  <si>
    <t>[전통주] 안동소주일품 제로슈거 (25도 350mL)</t>
  </si>
  <si>
    <t>서정옥의 느린부엌 느린 수정과, 1L, 2개 9,060원 (100ml당 453원) 내일(일) 새벽 도착 보장 5 (16054) 최대 453원 적립</t>
  </si>
  <si>
    <t>수정과</t>
  </si>
  <si>
    <t>홍영의 붉은대게 백간장, 500ml, 1개 30%13,000원 8,990원 (100ml당 1,798원) 내일(일) 새벽 도착 보장 5 (1413) 최대 450원 적립</t>
  </si>
  <si>
    <t>[고메] 바삭탱글한 칠리새우</t>
  </si>
  <si>
    <t>칠리새우</t>
  </si>
  <si>
    <t>오바다 국내산 손질 오징어 4미 (냉동), 700g(4미), 1개 13%22,900원 19,900원 (100g당 2,843원) 내일(일) 새벽 도착 보장 4.5 (46066) 최대 925원 적립</t>
  </si>
  <si>
    <t>[가보팜스] 사양벌꿀 선물세트</t>
  </si>
  <si>
    <t>[올반] 숙성 매콤한 춘천식닭갈비 180gx3팩</t>
  </si>
  <si>
    <t>[무화당] 생크림롤 (1개입)</t>
  </si>
  <si>
    <t>무화당</t>
  </si>
  <si>
    <t>담터 고구마라떼 분말, 18g, 40개입, 1개 13%15,800원 13,600원 (10g당 189원) 내일(일) 도착 보장 4.5 (7995) 최대 680원 적립</t>
  </si>
  <si>
    <t>라떼가루</t>
  </si>
  <si>
    <t>[선물세트] 황태 선물 세트 특호</t>
  </si>
  <si>
    <t>국내산 당근 채, 200g, 2팩 4,730원 (100g당 1,183원) 내일(일) 새벽 도착 보장 5 (10962) 최대 236원 적립</t>
  </si>
  <si>
    <t>[바른우유연구소] 바른 유기농 우유(오리지널) 900mL</t>
  </si>
  <si>
    <t>[25-26 햇올리브] [꾸악] 블랙 로얄 엑스트라버진 500mL</t>
  </si>
  <si>
    <t>꾸악</t>
  </si>
  <si>
    <t>[그래인스 쿠키] 콜렉션 (50개)</t>
  </si>
  <si>
    <t>[매일] 소화가 잘되는 우유 2종</t>
  </si>
  <si>
    <t>유가원 유기농 호두, 200g, 1개 20,400원 (100g당 10,200원) 내일(일) 도착 보장 새 상품, 반품 (2) 4.5 (446) 최대 918원 적립</t>
  </si>
  <si>
    <t>[QBB] 와사비 스모크 치즈 50g</t>
  </si>
  <si>
    <t>동원 자연산 꽁치 통조림, 400g, 1개 8%5,480원 5,000원 (10g당 125원) 내일(일) 새벽 도착 보장 새 상품, 반품-미개봉 (2) 최저4,750원 5 (5186) 최대 250원 적립</t>
  </si>
  <si>
    <t>꽁치캔</t>
  </si>
  <si>
    <t>[안심촉촉] 골드 치킨텐더 800g</t>
  </si>
  <si>
    <t>[선물세트] 소호好담 완도 활전복  11~13마리 1kg (대, 생물)(예약일 수령)</t>
  </si>
  <si>
    <t>[Kurly's] 1++ 한우 불고기 250g (냉장)</t>
  </si>
  <si>
    <t>맑은물에 참좋은 국산 숙주나물, 500g, 1개 4,480원 (100g당 896원) 내일(일) 새벽 도착 보장 4.5 (28435) 최대 199원 적립</t>
  </si>
  <si>
    <t>샹달프 딸기잼, 284g, 1개 7,040원 (100g당 2,479원) 내일(일) 새벽 도착 보장 5 (126) 최대 352원 적립</t>
  </si>
  <si>
    <t>샹달프</t>
  </si>
  <si>
    <t>[마요라] 코피코 커피캔디 지퍼백 2종 (택1)</t>
  </si>
  <si>
    <t>[백설] 요리올리고당 700g</t>
  </si>
  <si>
    <t>비비고 소고기양지육수, 500g, 6개 55%20,880원 9,200원 (100g당 307원) 내일(일) 도착 보장 5 (4154) 최대 460원 적립</t>
  </si>
  <si>
    <t>[태우한우] 1+ 한우 안심 스테이크 200g (냉장)</t>
  </si>
  <si>
    <t>[킹] 프리미엄 현미유 2종 (택1)</t>
  </si>
  <si>
    <t>킹</t>
  </si>
  <si>
    <t>[올가]  진한 프리미엄 참치액 220g</t>
  </si>
  <si>
    <t>국내산 감자채, 500g, 1개 5,100원 (100g당 1,020원) 내일(일) 새벽 도착 보장 4.5 (5832) 최대 255원 적립</t>
  </si>
  <si>
    <t>[김규흔한과] 꿀약과 4종 (택1)</t>
  </si>
  <si>
    <t>김규흔한과</t>
  </si>
  <si>
    <t>[먹쉬돈나] 부대떡볶이 3인분</t>
  </si>
  <si>
    <t>먹쉬돈나</t>
  </si>
  <si>
    <t>[우주] 강원도 건조 부드러운 황태채 100g</t>
  </si>
  <si>
    <t>[Picard] 블랙트러플 매쉬드 포테이토</t>
  </si>
  <si>
    <t>[배러] 그래놀라 프로틴볼 50g</t>
  </si>
  <si>
    <t>배러</t>
  </si>
  <si>
    <t>[6다이닝] 이베리코 대패 목살 400g(냉동)</t>
  </si>
  <si>
    <t>CJ제일제당 행복한콩 큰두부, 1kg, 2개 12%7,160원 6,270원 (100g당 314원) 내일(일) 새벽 도착 보장 5 (18542) 최대 314원 적립</t>
  </si>
  <si>
    <t>[이디야] PET커피 500mL 6종 (택1)</t>
  </si>
  <si>
    <t>[널담] 아메리칸 쿠키 6개입 (100g x 6입)</t>
  </si>
  <si>
    <t>[외계인방앗간] 블랙올리브 쌀빵 200g</t>
  </si>
  <si>
    <t>쌀빵</t>
  </si>
  <si>
    <t>외계인방앗간</t>
  </si>
  <si>
    <t>[하림 The미식] 소고기미역국 350g</t>
  </si>
  <si>
    <t>하림 The미식</t>
  </si>
  <si>
    <t>[한끼통살] 닭가슴살 스테이크 5종 (1팩/4팩) (택1)</t>
  </si>
  <si>
    <t>[청정원] 순창 고기전용 쌈장 3종 (택1)</t>
  </si>
  <si>
    <t>웅진빅토리아 더 빅토리아 레몬, 500ml, 20개 쿠폰할인49%20,000원 10,120원 (100ml당 101원) 내일(일) 도착 보장 5 (82174) 최대 506원 적립</t>
  </si>
  <si>
    <t>[치즈문] 찍어먹는 치즈 딥 200g 2종 (택1)</t>
  </si>
  <si>
    <t>[바름팜] 친환경 손질한 잎몸 대파 200g</t>
  </si>
  <si>
    <t>[알마자라스] 링콘 델라 수베티카 유기농 엑스트라버진 세트 (250mlx2입)</t>
  </si>
  <si>
    <t>남양유업 불가리스 플레인 요거트, 1.8kg, 1개, 1개입 7,480원 (10g당 42원) 내일(일) 새벽 도착 보장 5 (5137) 최대 374원 적립</t>
  </si>
  <si>
    <t>[브레드가든] 동물 친구들 초콜릿 만들기 세트 130g</t>
  </si>
  <si>
    <t>펩시 제로 슈거 라임향, 500ml, 20개 48%20,000원 10,310원 (100ml당 103원) 2/10(화) 도착 예정 새 상품, 박스 훼손 (62) 최저10,300원 5 (98195) 최대 515원 적립</t>
  </si>
  <si>
    <t>콜라</t>
  </si>
  <si>
    <t>[본죽] 뼈없는 갈비찜</t>
  </si>
  <si>
    <t>비비고 소고기 미역국, 500g, 4개 46%23,920원 12,770원 (100g당 639원) 내일(일) 도착 보장 5 (45887) 최대 639원 적립</t>
  </si>
  <si>
    <t>건 표고버섯 슬라이스 100g</t>
  </si>
  <si>
    <t>[로다스] 클로티드 크림 2종 (택1)</t>
  </si>
  <si>
    <t>[풀무원] 노엣지피자 코리안 BBQ</t>
  </si>
  <si>
    <t>[집반찬연구소] 느타리버섯볶음</t>
  </si>
  <si>
    <t>친환경 저민마늘, 50g, 1개 2,990원 (100g당 5,980원) 내일(일) 새벽 도착 보장 5 (3247) 최대 150원 적립</t>
  </si>
  <si>
    <t>국내산 손질브로콜리, 300g, 1개 5,070원 (100g당 1,690원) 내일(일) 새벽 도착 보장 4.5 (29002) 최대 254원 적립</t>
  </si>
  <si>
    <t>[도드람한돈] 안심 장조림용 500g (냉장)</t>
  </si>
  <si>
    <t>[종가] 총각김치5kg</t>
  </si>
  <si>
    <t>[폴트] 프랑스 타르트 비스킷 2종</t>
  </si>
  <si>
    <t>폴트</t>
  </si>
  <si>
    <t>[KF365] 파프리카 2입</t>
  </si>
  <si>
    <t>[하늘찬] 볶음 참깨 200g</t>
  </si>
  <si>
    <t>하늘찬</t>
  </si>
  <si>
    <t>[팀밸] MCT오일 초콜릿 틴 2종 (택1)</t>
  </si>
  <si>
    <t>팀밸</t>
  </si>
  <si>
    <t>목우촌 무항생제 인증 닭다리살 정육 (냉장), 400g, 2팩 18,570원 (100g당 2,321원) 1,150원 와우 가입 쿠폰 내일(일) 새벽 도착 보장 5 (2489) 최대 871원 적립</t>
  </si>
  <si>
    <t>덴마크 유기가공식품 인증 짜지않은 아기치즈 2, 17g, 10개입, 1개 4,480원 (10g당 264원) 내일(일) 새벽 도착 보장 5 (953) 최대 224원 적립</t>
  </si>
  <si>
    <t>유기농 밀키퀸 현미 2kg</t>
  </si>
  <si>
    <t>[상하치즈] 유기농 어린이 고칼슘치즈 (10매입/20매입) (택1)</t>
  </si>
  <si>
    <t>스미후루 바나플 바나나, 350g, 1개 5,990원 (100g당 1,711원) 내일(일) 새벽 도착 보장 4 (362) 최대 300원 적립</t>
  </si>
  <si>
    <t>[정다운] 통바베큐치킨 600g</t>
  </si>
  <si>
    <t>정다운</t>
  </si>
  <si>
    <t>친환경 쌈배추 1/2통</t>
  </si>
  <si>
    <t>땅끝 해남 쌀 10kg</t>
  </si>
  <si>
    <t>곡물을 만나다 찹쌀, 1kg, 1개 14%6,980원 5,980원 (100g당 598원) 내일(일) 도착 보장 4.5 (14205) 최대 249원 적립</t>
  </si>
  <si>
    <t>[전통주] 착한농부 밀담 (17도 360mL)  국산 단수수 3번 증류한 럼</t>
  </si>
  <si>
    <t>럼</t>
  </si>
  <si>
    <t>깐마늘 1kg</t>
  </si>
  <si>
    <t>[비바니] 유기농 다크 초콜릿 5종 (택1)</t>
  </si>
  <si>
    <t>[도제식빵] 탕종 베이글 11종 (택1)</t>
  </si>
  <si>
    <t>[경복궁 BLACK] 양념 소 불고기 600g</t>
  </si>
  <si>
    <t>[농협] 달콤바삭 쌀크룽지 (25g X 6개)</t>
  </si>
  <si>
    <t>크룽지</t>
  </si>
  <si>
    <t>[대천김] 프리미엄 곱창 전장김 26g X 3봉</t>
  </si>
  <si>
    <t>[해찬들] 새콤달콤 초고추장 500g</t>
  </si>
  <si>
    <t>양반 구운생김 곱창돌김 5매 x 3봉, 45g, 1개 27%8,980원 6,550원 (10g당 1,456원) 내일(일) 도착 보장 5 (1716) 최대 328원 적립</t>
  </si>
  <si>
    <t>[CU 픽업] 소스보드카</t>
  </si>
  <si>
    <t>[둥구나무] 시래기 된장국</t>
  </si>
  <si>
    <t>굿뜨래 은산 깐밤, 1kg, 1개 26,900원 (100g당 2,690원) 내일(일) 새벽 도착 보장 4.5 (4300) 최대 1,345원 적립</t>
  </si>
  <si>
    <t>마이노멀 딸기잼, 320g, 1개 39%16,500원 9,980원 (100g당 3,119원) 내일(일) 도착 보장 5 (12183) 최대 499원 적립</t>
  </si>
  <si>
    <t>대흥물산 익혀서 먹는 굴 (냉장), 150g, 1개 할인1%5,090원 4,990원 (100g당 3,327원) 내일(일) 새벽 도착 보장 4.5 (607) 최대 250원 적립</t>
  </si>
  <si>
    <t>[KF365] 명인 명란 2종 (택1)</t>
  </si>
  <si>
    <t>[오뗄블랙라벨] 레트로 부대찌개 햄류 6종 골라담기</t>
  </si>
  <si>
    <t>[정착육] 뉴질랜드산 크라운 프렌치랙 스테이크</t>
  </si>
  <si>
    <t>프렌치랙</t>
  </si>
  <si>
    <t>설탕대신 알룰로스, 400g, 2개 39%19,960원 12,140원 (100g당 1,518원) 내일(일) 도착 보장 5 (10242) 최대 607원 적립</t>
  </si>
  <si>
    <t>흙대파, 750g, 1개 2,790원 (100g당 372원) 내일(일) 새벽 도착 보장 4.5 (429214) 최대 140원 적립</t>
  </si>
  <si>
    <t>[VASAK] 김부각 지퍼백 6종 (택1)</t>
  </si>
  <si>
    <t>[KF365] 유기농 현미 2kg</t>
  </si>
  <si>
    <t>국내산 사각썰기 양배추, 1kg, 1개 4,890원 (100g당 489원) 내일(일) 새벽 도착 보장 5 (17880) 최대 245원 적립</t>
  </si>
  <si>
    <t>국내산 알배기, 1개입, 1개 2,990원 (1개당 2,990원) 내일(일) 새벽 도착 보장 4.5 (276702) 최대 150원 적립</t>
  </si>
  <si>
    <t>[한성] 프리미엄 김밥세트S 440g</t>
  </si>
  <si>
    <t>한성</t>
  </si>
  <si>
    <t>[디어패밀리] 마누카꿀 프로폴리스 캔디 300g</t>
  </si>
  <si>
    <t>디어패밀리</t>
  </si>
  <si>
    <t>[지리산처럼] 짜먹는 생 들기름 (10개입)</t>
  </si>
  <si>
    <t>한양식품 꽃보다 오징어, 160g, 1개 25%20,900원 15,650원 (100g당 9,781원) 내일(일) 새벽 도착 보장 5 (59239) 최대 783원 적립</t>
  </si>
  <si>
    <t>탐사 아쿠아 스파클링 레몬 무라벨, 6개, 500ml 37%5,400원 3,390원 (100ml당 113원) 내일(일) 새벽 도착 보장 5 (1019) 최대 170원 적립</t>
  </si>
  <si>
    <t>일리 캡슐 커피 다크 1팩 캡슐커피, 18개입, 1개 37%19,900원 12,400원 (1개당 689원) 2/10(화) 도착 예정 5 (12503) 최대 620원 적립</t>
  </si>
  <si>
    <t>[콤비타] 퓨어 마누카꿀 블랙커런트 로젠지 6개입</t>
  </si>
  <si>
    <t>[청년제과] 말랑말랑 흑임자 꿀오랑 (26g X 10개)</t>
  </si>
  <si>
    <t>청년제과</t>
  </si>
  <si>
    <t>[오트사이드] 초콜릿맛 귀리음료 1L</t>
  </si>
  <si>
    <t>오트사이드</t>
  </si>
  <si>
    <t>무항생제 1등급 한돈 인기 구이용 3종 (택1)</t>
  </si>
  <si>
    <t>엉클탁 바비달다 착한 현미, 2kg, 1개 42%13,900원 7,980원 (100g당 399원) 내일(일) 도착 보장 4.5 (2293) 최대 399원 적립</t>
  </si>
  <si>
    <t>곰표 중력다목적용 밀가루, 1kg, 10개 14,690원 (1개당 1,469원) 내일(일) 도착 보장 새 상품, 반품-미개봉 (15) 최저12,290원 5 (78056) 최대 735원 적립</t>
  </si>
  <si>
    <t>오뚜기 뉴슈가분말, 60g, 2개 5%1,040원 980원 (100g당 817원) 내일(일) 새벽 도착 보장 5 (2440) 최대 49원 적립</t>
  </si>
  <si>
    <t>국내산 알배기, 1개입, 1개 2,990원 (1개당 2,990원) 내일(일) 새벽 도착 보장 4.5 (276716) 최대 150원 적립</t>
  </si>
  <si>
    <t>건국유업 딸기가 우유에 반했다쿠, 900ml, 2개 4,480원 (100ml당 249원) 내일(일) 새벽 도착 보장 5 (23102) 최대 224원 적립</t>
  </si>
  <si>
    <t>국내산 알배기, 1개입, 2개 5,800원 (1개당 2,900원) 내일(일) 새벽 도착 보장 4.5 (276702) 최대 290원 적립</t>
  </si>
  <si>
    <t>[서울우유] 신선함이 살아있는 목장 딸기 요거트 750mL</t>
  </si>
  <si>
    <t>[미자언니네] 바싹 견과멸치볶음</t>
  </si>
  <si>
    <t>[둥구나무] 지리멸치볶음</t>
  </si>
  <si>
    <t>곰곰 국산 찹쌀가루, 500g, 1개 21%5,570원 4,390원 (100g당 878원) 내일(일) 도착 보장 5 (2019) 최대 220원 적립</t>
  </si>
  <si>
    <t>국내산 알배기, 1개입, 2개 5,800원 (1개당 2,900원) 내일(일) 새벽 도착 보장 4.5 (276716) 최대 290원 적립</t>
  </si>
  <si>
    <t>풀무원 국산 숙주, 260g, 2봉 4,170원 (100g당 802원) 내일(일) 새벽 도착 보장 5 (75316) 최대 209원 적립</t>
  </si>
  <si>
    <t>리틀스푼 엄마까투리 쫀득고구마 10p, 200g, 1개 20%20,000원 15,900원 (100g당 7,950원) 내일(일) 도착 보장 5 (1094) 최대 795원 적립</t>
  </si>
  <si>
    <t>곰곰 국내산 쌀가루, 1kg, 1개 21%7,000원 5,480원 (100g당 548원) 내일(일) 도착 보장 4.5 (2349) 최대 274원 적립</t>
  </si>
  <si>
    <t>매일두유 고단백 플레인 두유, 190ml, 24개 쿠폰할인42%31,200원 17,950원 (100ml당 394원) 내일(일) 도착 보장 5 (78012) 최대 898원 적립</t>
  </si>
  <si>
    <t>[덕화명란] 프리미엄명란 200g</t>
  </si>
  <si>
    <t>친환경 포기상추, 250g, 1개 4,400원 (100g당 1,760원) 내일(일) 새벽 도착 보장 4.5 (2533) 최대 220원 적립</t>
  </si>
  <si>
    <t>[CU 픽업] 디카이퍼버터스카치</t>
  </si>
  <si>
    <t>[삼삼물산] 남해안 개조개 500g</t>
  </si>
  <si>
    <t>개조개</t>
  </si>
  <si>
    <t>Prime Field 유기농 쌀 백미, 1kg, 1개, 상 30%9,980원 6,980원 (100g당 698원) 내일(일) 도착 보장 5 (2054) 최대 324원 적립</t>
  </si>
  <si>
    <t>국산 반건조 민어 (냉동), 2팩, 230g 15,800원 (100g당 3,435원) 내일(일) 새벽 도착 보장 4.5 (546) 최대 710원 적립</t>
  </si>
  <si>
    <t>동서 보리차, 10g, 30개입, 4개 9,920원 (10g당 83원) 내일(일) 도착 보장 5 (86113) 최대 496원 적립</t>
  </si>
  <si>
    <t>[디나닥스] 디나닥스 에너지 10입</t>
  </si>
  <si>
    <t>디나닥스</t>
  </si>
  <si>
    <t>밀키트</t>
    <phoneticPr fontId="1" type="noConversion"/>
  </si>
  <si>
    <t>과자/스낵</t>
    <phoneticPr fontId="1" type="noConversion"/>
  </si>
  <si>
    <t>오징어 스낵</t>
    <phoneticPr fontId="1" type="noConversion"/>
  </si>
  <si>
    <t>탄산음료</t>
    <phoneticPr fontId="1" type="noConversion"/>
  </si>
  <si>
    <t>탄산수</t>
    <phoneticPr fontId="1" type="noConversion"/>
  </si>
  <si>
    <t>커피캡슐</t>
    <phoneticPr fontId="1" type="noConversion"/>
  </si>
  <si>
    <t>기타</t>
    <phoneticPr fontId="1" type="noConversion"/>
  </si>
  <si>
    <t>기타 주류</t>
    <phoneticPr fontId="1" type="noConversion"/>
  </si>
  <si>
    <t>오란다</t>
    <phoneticPr fontId="1" type="noConversion"/>
  </si>
  <si>
    <t>주스</t>
    <phoneticPr fontId="1" type="noConversion"/>
  </si>
  <si>
    <t>곡물 음료</t>
    <phoneticPr fontId="1" type="noConversion"/>
  </si>
  <si>
    <t>소고기</t>
    <phoneticPr fontId="1" type="noConversion"/>
  </si>
  <si>
    <t>모둠 소고기</t>
    <phoneticPr fontId="1" type="noConversion"/>
  </si>
  <si>
    <t>가루분말</t>
    <phoneticPr fontId="1" type="noConversion"/>
  </si>
  <si>
    <t>슈가파우더</t>
    <phoneticPr fontId="1" type="noConversion"/>
  </si>
  <si>
    <t>채소</t>
    <phoneticPr fontId="1" type="noConversion"/>
  </si>
  <si>
    <t>배추</t>
    <phoneticPr fontId="1" type="noConversion"/>
  </si>
  <si>
    <t>딸기우유</t>
    <phoneticPr fontId="1" type="noConversion"/>
  </si>
  <si>
    <t>반찬류</t>
    <phoneticPr fontId="1" type="noConversion"/>
  </si>
  <si>
    <t>멸치볶음</t>
    <phoneticPr fontId="1" type="noConversion"/>
  </si>
  <si>
    <t>찹쌀가루</t>
    <phoneticPr fontId="1" type="noConversion"/>
  </si>
  <si>
    <t>숙주나물</t>
    <phoneticPr fontId="1" type="noConversion"/>
  </si>
  <si>
    <t>쌀가루</t>
    <phoneticPr fontId="1" type="noConversion"/>
  </si>
  <si>
    <t>리큐르</t>
    <phoneticPr fontId="1" type="noConversion"/>
  </si>
  <si>
    <t>민어</t>
    <phoneticPr fontId="1" type="noConversion"/>
  </si>
  <si>
    <t>보리차</t>
    <phoneticPr fontId="1" type="noConversion"/>
  </si>
  <si>
    <t>커피믹스</t>
    <phoneticPr fontId="1" type="noConversion"/>
  </si>
  <si>
    <t>커피원두</t>
    <phoneticPr fontId="1" type="noConversion"/>
  </si>
  <si>
    <t>구운소금</t>
    <phoneticPr fontId="1" type="noConversion"/>
  </si>
  <si>
    <t>김치사발면</t>
    <phoneticPr fontId="1" type="noConversion"/>
  </si>
  <si>
    <t>레몬주스</t>
    <phoneticPr fontId="1" type="noConversion"/>
  </si>
  <si>
    <t>단백질바</t>
    <phoneticPr fontId="1" type="noConversion"/>
  </si>
  <si>
    <t>밤잼</t>
    <phoneticPr fontId="1" type="noConversion"/>
  </si>
  <si>
    <t>멸치칼국수</t>
    <phoneticPr fontId="1" type="noConversion"/>
  </si>
  <si>
    <t>볶음고추장</t>
    <phoneticPr fontId="1" type="noConversion"/>
  </si>
  <si>
    <t>브리 치즈</t>
    <phoneticPr fontId="1" type="noConversion"/>
  </si>
  <si>
    <t>장아찌간장</t>
    <phoneticPr fontId="1" type="noConversion"/>
  </si>
  <si>
    <t>석류주스</t>
    <phoneticPr fontId="1" type="noConversion"/>
  </si>
  <si>
    <t>오징어젓갈</t>
    <phoneticPr fontId="1" type="noConversion"/>
  </si>
  <si>
    <t>즉석 도시락</t>
    <phoneticPr fontId="1" type="noConversion"/>
  </si>
  <si>
    <t>짜장소스</t>
    <phoneticPr fontId="1" type="noConversion"/>
  </si>
  <si>
    <t>체다 치즈</t>
    <phoneticPr fontId="1" type="noConversion"/>
  </si>
  <si>
    <t>코인육수</t>
    <phoneticPr fontId="1" type="noConversion"/>
  </si>
  <si>
    <t>크림치즈</t>
    <phoneticPr fontId="1" type="noConversion"/>
  </si>
  <si>
    <t>배추김치</t>
    <phoneticPr fontId="1" type="noConversion"/>
  </si>
  <si>
    <t>롯데</t>
    <phoneticPr fontId="1" type="noConversion"/>
  </si>
  <si>
    <t>조니워커</t>
    <phoneticPr fontId="1" type="noConversion"/>
  </si>
  <si>
    <t>하이트진로</t>
    <phoneticPr fontId="1" type="noConversion"/>
  </si>
  <si>
    <t>MYCHEF</t>
    <phoneticPr fontId="1" type="noConversion"/>
  </si>
  <si>
    <t>주일 완도 명품 자른다시마, 1개, 100g 3,480원 (100g당 3,480원) 내일(일) 새벽 도착 보장 5 (5892) 최대 174원 적립</t>
    <phoneticPr fontId="1" type="noConversion"/>
  </si>
  <si>
    <t>주일 완도</t>
    <phoneticPr fontId="1" type="noConversion"/>
  </si>
  <si>
    <t>오타후쿠 스시스</t>
    <phoneticPr fontId="1" type="noConversion"/>
  </si>
  <si>
    <t>해태</t>
    <phoneticPr fontId="1" type="noConversion"/>
  </si>
  <si>
    <t>머거본</t>
    <phoneticPr fontId="1" type="noConversion"/>
  </si>
  <si>
    <t>햇반</t>
    <phoneticPr fontId="1" type="noConversion"/>
  </si>
  <si>
    <t>일리</t>
    <phoneticPr fontId="1" type="noConversion"/>
  </si>
  <si>
    <t>호우섬</t>
    <phoneticPr fontId="1" type="noConversion"/>
  </si>
  <si>
    <t>미트엔조이</t>
    <phoneticPr fontId="1" type="noConversion"/>
  </si>
  <si>
    <t>기타</t>
    <phoneticPr fontId="1" type="noConversion"/>
  </si>
  <si>
    <t>해아란</t>
    <phoneticPr fontId="1" type="noConversion"/>
  </si>
  <si>
    <t>해솔당</t>
    <phoneticPr fontId="1" type="noConversion"/>
  </si>
  <si>
    <t>비이츠</t>
    <phoneticPr fontId="1" type="noConversion"/>
  </si>
  <si>
    <t>참조은숯불김</t>
    <phoneticPr fontId="1" type="noConversion"/>
  </si>
  <si>
    <t>곰곰</t>
    <phoneticPr fontId="1" type="noConversion"/>
  </si>
  <si>
    <t>자연애찬</t>
    <phoneticPr fontId="1" type="noConversion"/>
  </si>
  <si>
    <t>풀그린</t>
    <phoneticPr fontId="1" type="noConversion"/>
  </si>
  <si>
    <t>횡성축협한우</t>
    <phoneticPr fontId="1" type="noConversion"/>
  </si>
  <si>
    <t>해태제과</t>
    <phoneticPr fontId="1" type="noConversion"/>
  </si>
  <si>
    <t>건국유업</t>
    <phoneticPr fontId="1" type="noConversion"/>
  </si>
  <si>
    <t>고맙당</t>
    <phoneticPr fontId="1" type="noConversion"/>
  </si>
  <si>
    <t xml:space="preserve">하림 </t>
    <phoneticPr fontId="1" type="noConversion"/>
  </si>
  <si>
    <t>한성기업</t>
    <phoneticPr fontId="1" type="noConversion"/>
  </si>
  <si>
    <t>스타벅스</t>
    <phoneticPr fontId="1" type="noConversion"/>
  </si>
  <si>
    <t>연세두유</t>
    <phoneticPr fontId="1" type="noConversion"/>
  </si>
  <si>
    <t>방앗간청년</t>
    <phoneticPr fontId="1" type="noConversion"/>
  </si>
  <si>
    <t>덴마크</t>
    <phoneticPr fontId="1" type="noConversion"/>
  </si>
  <si>
    <t>남양유업</t>
    <phoneticPr fontId="1" type="noConversion"/>
  </si>
  <si>
    <t>미주라</t>
    <phoneticPr fontId="1" type="noConversion"/>
  </si>
  <si>
    <t>남다른스낵</t>
    <phoneticPr fontId="1" type="noConversion"/>
  </si>
  <si>
    <t>카푸토1924</t>
    <phoneticPr fontId="1" type="noConversion"/>
  </si>
  <si>
    <t>마이크고메</t>
    <phoneticPr fontId="1" type="noConversion"/>
  </si>
  <si>
    <t>농협풍산김치</t>
    <phoneticPr fontId="1" type="noConversion"/>
  </si>
  <si>
    <t>전통주</t>
    <phoneticPr fontId="1" type="noConversion"/>
  </si>
  <si>
    <t>매일바이오</t>
    <phoneticPr fontId="1" type="noConversion"/>
  </si>
  <si>
    <t>폴 바셋</t>
    <phoneticPr fontId="1" type="noConversion"/>
  </si>
  <si>
    <t>매일유업</t>
    <phoneticPr fontId="1" type="noConversion"/>
  </si>
  <si>
    <t>CJ명가</t>
    <phoneticPr fontId="1" type="noConversion"/>
  </si>
  <si>
    <t>종가</t>
    <phoneticPr fontId="1" type="noConversion"/>
  </si>
  <si>
    <t>찜부세</t>
    <phoneticPr fontId="1" type="noConversion"/>
  </si>
  <si>
    <t>몽샹82</t>
    <phoneticPr fontId="1" type="noConversion"/>
  </si>
  <si>
    <t>소하동고방</t>
    <phoneticPr fontId="1" type="noConversion"/>
  </si>
  <si>
    <t>녹색한우</t>
    <phoneticPr fontId="1" type="noConversion"/>
  </si>
  <si>
    <t>99치킨</t>
    <phoneticPr fontId="1" type="noConversion"/>
  </si>
  <si>
    <t>성경김</t>
    <phoneticPr fontId="1" type="noConversion"/>
  </si>
  <si>
    <t>일편밥심</t>
    <phoneticPr fontId="1" type="noConversion"/>
  </si>
  <si>
    <t>브로이어</t>
    <phoneticPr fontId="1" type="noConversion"/>
  </si>
  <si>
    <t>워커힐고메</t>
    <phoneticPr fontId="1" type="noConversion"/>
  </si>
  <si>
    <t>한음미가</t>
    <phoneticPr fontId="1" type="noConversion"/>
  </si>
  <si>
    <t>한일관 X 백년가게</t>
    <phoneticPr fontId="1" type="noConversion"/>
  </si>
  <si>
    <t>김소영 아티장의 안단테</t>
    <phoneticPr fontId="1" type="noConversion"/>
  </si>
  <si>
    <t>롯데웰푸드</t>
    <phoneticPr fontId="1" type="noConversion"/>
  </si>
  <si>
    <t>조선호텔</t>
    <phoneticPr fontId="1" type="noConversion"/>
  </si>
  <si>
    <t>피그인더가든</t>
    <phoneticPr fontId="1" type="noConversion"/>
  </si>
  <si>
    <t>일상味소</t>
    <phoneticPr fontId="1" type="noConversion"/>
  </si>
  <si>
    <t>다연다움</t>
    <phoneticPr fontId="1" type="noConversion"/>
  </si>
  <si>
    <t>고메공방</t>
    <phoneticPr fontId="1" type="noConversion"/>
  </si>
  <si>
    <t>나폴레옹</t>
    <phoneticPr fontId="1" type="noConversion"/>
  </si>
  <si>
    <t>올가비오</t>
    <phoneticPr fontId="1" type="noConversion"/>
  </si>
  <si>
    <t>법성포참맛</t>
    <phoneticPr fontId="1" type="noConversion"/>
  </si>
  <si>
    <t>경복궁 BLACK</t>
    <phoneticPr fontId="1" type="noConversion"/>
  </si>
  <si>
    <t>광동생활건강</t>
    <phoneticPr fontId="1" type="noConversion"/>
  </si>
  <si>
    <t>송강당</t>
    <phoneticPr fontId="1" type="noConversion"/>
  </si>
  <si>
    <t>그린래빗</t>
    <phoneticPr fontId="1" type="noConversion"/>
  </si>
  <si>
    <t>여수 건어물 시장</t>
    <phoneticPr fontId="1" type="noConversion"/>
  </si>
  <si>
    <t>순창궁</t>
    <phoneticPr fontId="1" type="noConversion"/>
  </si>
  <si>
    <t>아이시스</t>
    <phoneticPr fontId="1" type="noConversion"/>
  </si>
  <si>
    <t>워커스논서치</t>
    <phoneticPr fontId="1" type="noConversion"/>
  </si>
  <si>
    <t>바다숲</t>
    <phoneticPr fontId="1" type="noConversion"/>
  </si>
  <si>
    <t>삼립호빵</t>
    <phoneticPr fontId="1" type="noConversion"/>
  </si>
  <si>
    <t>리얼파머스</t>
    <phoneticPr fontId="1" type="noConversion"/>
  </si>
  <si>
    <t>웰팜넷</t>
    <phoneticPr fontId="1" type="noConversion"/>
  </si>
  <si>
    <t>매일우유</t>
    <phoneticPr fontId="1" type="noConversion"/>
  </si>
  <si>
    <t>파스퇴르</t>
    <phoneticPr fontId="1" type="noConversion"/>
  </si>
  <si>
    <t>바다소리</t>
    <phoneticPr fontId="1" type="noConversion"/>
  </si>
  <si>
    <t>롯데</t>
    <phoneticPr fontId="1" type="noConversion"/>
  </si>
  <si>
    <t>메종엠오</t>
    <phoneticPr fontId="1" type="noConversion"/>
  </si>
  <si>
    <t>지리산처럼</t>
    <phoneticPr fontId="1" type="noConversion"/>
  </si>
  <si>
    <t>GAP</t>
    <phoneticPr fontId="1" type="noConversion"/>
  </si>
  <si>
    <t>해태</t>
    <phoneticPr fontId="1" type="noConversion"/>
  </si>
  <si>
    <t>돌체구스토</t>
    <phoneticPr fontId="1" type="noConversion"/>
  </si>
  <si>
    <t>진가네반찬</t>
    <phoneticPr fontId="1" type="noConversion"/>
  </si>
  <si>
    <t>올리타리아</t>
    <phoneticPr fontId="1" type="noConversion"/>
  </si>
  <si>
    <t>소반미반</t>
    <phoneticPr fontId="1" type="noConversion"/>
  </si>
  <si>
    <t>맥심</t>
    <phoneticPr fontId="1" type="noConversion"/>
  </si>
  <si>
    <t>성경김</t>
    <phoneticPr fontId="1" type="noConversion"/>
  </si>
  <si>
    <t>히스파수르</t>
    <phoneticPr fontId="1" type="noConversion"/>
  </si>
  <si>
    <t>A.C 퍼치스</t>
    <phoneticPr fontId="1" type="noConversion"/>
  </si>
  <si>
    <t>전통주</t>
    <phoneticPr fontId="1" type="noConversion"/>
  </si>
  <si>
    <t>포트'럭</t>
    <phoneticPr fontId="1" type="noConversion"/>
  </si>
  <si>
    <t>로얄오차드</t>
    <phoneticPr fontId="1" type="noConversion"/>
  </si>
  <si>
    <t>나폴레옹</t>
    <phoneticPr fontId="1" type="noConversion"/>
  </si>
  <si>
    <t>포천이동갈비</t>
    <phoneticPr fontId="1" type="noConversion"/>
  </si>
  <si>
    <t>조선호텔</t>
    <phoneticPr fontId="1" type="noConversion"/>
  </si>
  <si>
    <t>겐츠베이커리</t>
    <phoneticPr fontId="1" type="noConversion"/>
  </si>
  <si>
    <t>에버콜라겐</t>
    <phoneticPr fontId="1" type="noConversion"/>
  </si>
  <si>
    <t>Dole</t>
    <phoneticPr fontId="1" type="noConversion"/>
  </si>
  <si>
    <t>MPARK</t>
    <phoneticPr fontId="1" type="noConversion"/>
  </si>
  <si>
    <t>정미소</t>
    <phoneticPr fontId="1" type="noConversion"/>
  </si>
  <si>
    <t>그라놀로지</t>
    <phoneticPr fontId="1" type="noConversion"/>
  </si>
  <si>
    <t>대천김</t>
    <phoneticPr fontId="1" type="noConversion"/>
  </si>
  <si>
    <t>제스프리</t>
    <phoneticPr fontId="1" type="noConversion"/>
  </si>
  <si>
    <t>트리투바</t>
    <phoneticPr fontId="1" type="noConversion"/>
  </si>
  <si>
    <t>올리</t>
    <phoneticPr fontId="1" type="noConversion"/>
  </si>
  <si>
    <t>사충빵집</t>
    <phoneticPr fontId="1" type="noConversion"/>
  </si>
  <si>
    <t>화과방</t>
    <phoneticPr fontId="1" type="noConversion"/>
  </si>
  <si>
    <t>맛의명태자</t>
    <phoneticPr fontId="1" type="noConversion"/>
  </si>
  <si>
    <t>경기떡집</t>
    <phoneticPr fontId="1" type="noConversion"/>
  </si>
  <si>
    <t>남도우애</t>
    <phoneticPr fontId="1" type="noConversion"/>
  </si>
  <si>
    <t>명월관</t>
    <phoneticPr fontId="1" type="noConversion"/>
  </si>
  <si>
    <t>박준우의 오쁘띠베르</t>
    <phoneticPr fontId="1" type="noConversion"/>
  </si>
  <si>
    <t>그레인온</t>
    <phoneticPr fontId="1" type="noConversion"/>
  </si>
  <si>
    <t>사미헌</t>
    <phoneticPr fontId="1" type="noConversion"/>
  </si>
  <si>
    <t>폼포니오</t>
    <phoneticPr fontId="1" type="noConversion"/>
  </si>
  <si>
    <t>고올드페리도넛</t>
    <phoneticPr fontId="1" type="noConversion"/>
  </si>
  <si>
    <t>오니스트</t>
    <phoneticPr fontId="1" type="noConversion"/>
  </si>
  <si>
    <t>[선물세트] HUGO&amp;VICTOR 사브레 쿠키 3종 세트 (6개입)</t>
    <phoneticPr fontId="1" type="noConversion"/>
  </si>
  <si>
    <t>[선물세트] Make you Healthy 엑스트라버진 올리브오일 캡슐 14포 X 2박스 (+쇼핑백 증정)</t>
    <phoneticPr fontId="1" type="noConversion"/>
  </si>
  <si>
    <t>브로이어</t>
    <phoneticPr fontId="1" type="noConversion"/>
  </si>
  <si>
    <t>법성포참맛</t>
    <phoneticPr fontId="1" type="noConversion"/>
  </si>
  <si>
    <t>소호好담</t>
  </si>
  <si>
    <t>농부플러스</t>
    <phoneticPr fontId="1" type="noConversion"/>
  </si>
  <si>
    <t>장수엿</t>
    <phoneticPr fontId="1" type="noConversion"/>
  </si>
  <si>
    <t>미엘드</t>
    <phoneticPr fontId="1" type="noConversion"/>
  </si>
  <si>
    <t>한생</t>
    <phoneticPr fontId="1" type="noConversion"/>
  </si>
  <si>
    <t>농심</t>
    <phoneticPr fontId="1" type="noConversion"/>
  </si>
  <si>
    <t>루카스나인</t>
    <phoneticPr fontId="1" type="noConversion"/>
  </si>
  <si>
    <t>하이트진로</t>
    <phoneticPr fontId="1" type="noConversion"/>
  </si>
  <si>
    <t>아이시스</t>
    <phoneticPr fontId="1" type="noConversion"/>
  </si>
  <si>
    <t>연세키짱</t>
    <phoneticPr fontId="1" type="noConversion"/>
  </si>
  <si>
    <t>매일유업</t>
    <phoneticPr fontId="1" type="noConversion"/>
  </si>
  <si>
    <t>비아츠</t>
    <phoneticPr fontId="1" type="noConversion"/>
  </si>
  <si>
    <t>농협풍산김치</t>
    <phoneticPr fontId="1" type="noConversion"/>
  </si>
  <si>
    <t>스타벅스</t>
    <phoneticPr fontId="1" type="noConversion"/>
  </si>
  <si>
    <t>제주 올레길</t>
    <phoneticPr fontId="1" type="noConversion"/>
  </si>
  <si>
    <t>석관동 떡볶이</t>
    <phoneticPr fontId="1" type="noConversion"/>
  </si>
  <si>
    <t>오다다</t>
    <phoneticPr fontId="1" type="noConversion"/>
  </si>
  <si>
    <t>하코야</t>
    <phoneticPr fontId="1" type="noConversion"/>
  </si>
  <si>
    <t>워커힐고메</t>
    <phoneticPr fontId="1" type="noConversion"/>
  </si>
  <si>
    <t>황금이네</t>
    <phoneticPr fontId="1" type="noConversion"/>
  </si>
  <si>
    <t>동원샘물</t>
    <phoneticPr fontId="1" type="noConversion"/>
  </si>
  <si>
    <t>데이그리스</t>
    <phoneticPr fontId="1" type="noConversion"/>
  </si>
  <si>
    <t>덕장명인 용대리</t>
    <phoneticPr fontId="1" type="noConversion"/>
  </si>
  <si>
    <t>대한다업</t>
    <phoneticPr fontId="1" type="noConversion"/>
  </si>
  <si>
    <t>프렌치카페</t>
    <phoneticPr fontId="1" type="noConversion"/>
  </si>
  <si>
    <t>롯데월푸드</t>
    <phoneticPr fontId="1" type="noConversion"/>
  </si>
  <si>
    <t>오뎅식당</t>
    <phoneticPr fontId="1" type="noConversion"/>
  </si>
  <si>
    <t>롯데웰푸드</t>
    <phoneticPr fontId="1" type="noConversion"/>
  </si>
  <si>
    <t>펩시</t>
    <phoneticPr fontId="1" type="noConversion"/>
  </si>
  <si>
    <t>주부구단</t>
    <phoneticPr fontId="1" type="noConversion"/>
  </si>
  <si>
    <t>곰곰</t>
    <phoneticPr fontId="1" type="noConversion"/>
  </si>
  <si>
    <t>여왕의만찬</t>
    <phoneticPr fontId="1" type="noConversion"/>
  </si>
  <si>
    <t>김구원선생</t>
    <phoneticPr fontId="1" type="noConversion"/>
  </si>
  <si>
    <t>제일맞게컬리</t>
    <phoneticPr fontId="1" type="noConversion"/>
  </si>
  <si>
    <t>한음미가</t>
    <phoneticPr fontId="1" type="noConversion"/>
  </si>
  <si>
    <t>매일우유</t>
    <phoneticPr fontId="1" type="noConversion"/>
  </si>
  <si>
    <t>서울우유</t>
    <phoneticPr fontId="1" type="noConversion"/>
  </si>
  <si>
    <t>남양유업</t>
    <phoneticPr fontId="1" type="noConversion"/>
  </si>
  <si>
    <t>양반김</t>
    <phoneticPr fontId="1" type="noConversion"/>
  </si>
  <si>
    <t>두보식품</t>
    <phoneticPr fontId="1" type="noConversion"/>
  </si>
  <si>
    <t>한국농협김치</t>
    <phoneticPr fontId="1" type="noConversion"/>
  </si>
  <si>
    <t>팔도</t>
    <phoneticPr fontId="1" type="noConversion"/>
  </si>
  <si>
    <t>영광</t>
    <phoneticPr fontId="1" type="noConversion"/>
  </si>
  <si>
    <t>광천김</t>
    <phoneticPr fontId="1" type="noConversion"/>
  </si>
  <si>
    <t>캐비아데이리</t>
    <phoneticPr fontId="1" type="noConversion"/>
  </si>
  <si>
    <t>그린스</t>
    <phoneticPr fontId="1" type="noConversion"/>
  </si>
  <si>
    <t>복음자리</t>
    <phoneticPr fontId="1" type="noConversion"/>
  </si>
  <si>
    <t>썬키스트</t>
    <phoneticPr fontId="1" type="noConversion"/>
  </si>
  <si>
    <t>경복궁 BLACK</t>
    <phoneticPr fontId="1" type="noConversion"/>
  </si>
  <si>
    <t>폴스</t>
    <phoneticPr fontId="1" type="noConversion"/>
  </si>
  <si>
    <t>파스퇴르</t>
    <phoneticPr fontId="1" type="noConversion"/>
  </si>
  <si>
    <t>창화당</t>
    <phoneticPr fontId="1" type="noConversion"/>
  </si>
  <si>
    <t>갤러리아 고메이494</t>
    <phoneticPr fontId="1" type="noConversion"/>
  </si>
  <si>
    <t>그린래빗</t>
    <phoneticPr fontId="1" type="noConversion"/>
  </si>
  <si>
    <t>아라보감</t>
    <phoneticPr fontId="1" type="noConversion"/>
  </si>
  <si>
    <t>우드앤브릭</t>
    <phoneticPr fontId="1" type="noConversion"/>
  </si>
  <si>
    <t>궁금한 공작소</t>
    <phoneticPr fontId="1" type="noConversion"/>
  </si>
  <si>
    <t>코카콜라</t>
    <phoneticPr fontId="1" type="noConversion"/>
  </si>
  <si>
    <t>밀키프린스</t>
    <phoneticPr fontId="1" type="noConversion"/>
  </si>
  <si>
    <t>농심</t>
    <phoneticPr fontId="1" type="noConversion"/>
  </si>
  <si>
    <t>오리지널그레인</t>
    <phoneticPr fontId="1" type="noConversion"/>
  </si>
  <si>
    <t>콤비타</t>
    <phoneticPr fontId="1" type="noConversion"/>
  </si>
  <si>
    <t>한눈에 반한쌀</t>
    <phoneticPr fontId="1" type="noConversion"/>
  </si>
  <si>
    <t>와이호파이 밸리</t>
    <phoneticPr fontId="1" type="noConversion"/>
  </si>
  <si>
    <t>더다믐</t>
    <phoneticPr fontId="1" type="noConversion"/>
  </si>
  <si>
    <t>일건식</t>
    <phoneticPr fontId="1" type="noConversion"/>
  </si>
  <si>
    <t>베베쿡</t>
    <phoneticPr fontId="1" type="noConversion"/>
  </si>
  <si>
    <t>드로게리아앤알리멘타리</t>
    <phoneticPr fontId="1" type="noConversion"/>
  </si>
  <si>
    <t>큐피</t>
    <phoneticPr fontId="1" type="noConversion"/>
  </si>
  <si>
    <t>CJ제일제당</t>
    <phoneticPr fontId="1" type="noConversion"/>
  </si>
  <si>
    <t>라비퀸</t>
    <phoneticPr fontId="1" type="noConversion"/>
  </si>
  <si>
    <t>만전김</t>
    <phoneticPr fontId="1" type="noConversion"/>
  </si>
  <si>
    <t>루카스나인</t>
    <phoneticPr fontId="1" type="noConversion"/>
  </si>
  <si>
    <t>아이러브밀크</t>
    <phoneticPr fontId="1" type="noConversion"/>
  </si>
  <si>
    <t>아티장비스킷</t>
    <phoneticPr fontId="1" type="noConversion"/>
  </si>
  <si>
    <t>웅진빅토리아</t>
    <phoneticPr fontId="1" type="noConversion"/>
  </si>
  <si>
    <t>백설</t>
    <phoneticPr fontId="1" type="noConversion"/>
  </si>
  <si>
    <t>양산도</t>
    <phoneticPr fontId="1" type="noConversion"/>
  </si>
  <si>
    <t>풀무원</t>
    <phoneticPr fontId="1" type="noConversion"/>
  </si>
  <si>
    <t>사조</t>
    <phoneticPr fontId="1" type="noConversion"/>
  </si>
  <si>
    <t>비마스터</t>
    <phoneticPr fontId="1" type="noConversion"/>
  </si>
  <si>
    <t>DIAMOND</t>
    <phoneticPr fontId="1" type="noConversion"/>
  </si>
  <si>
    <t>CJ</t>
    <phoneticPr fontId="1" type="noConversion"/>
  </si>
  <si>
    <t>대천김</t>
    <phoneticPr fontId="1" type="noConversion"/>
  </si>
  <si>
    <t>트와이닝</t>
    <phoneticPr fontId="1" type="noConversion"/>
  </si>
  <si>
    <t>생 앙드레</t>
    <phoneticPr fontId="1" type="noConversion"/>
  </si>
  <si>
    <t>호정가</t>
    <phoneticPr fontId="1" type="noConversion"/>
  </si>
  <si>
    <t>차이홍푸드</t>
    <phoneticPr fontId="1" type="noConversion"/>
  </si>
  <si>
    <t>바다원</t>
    <phoneticPr fontId="1" type="noConversion"/>
  </si>
  <si>
    <t>감익는 마을</t>
    <phoneticPr fontId="1" type="noConversion"/>
  </si>
  <si>
    <t>어니스트</t>
    <phoneticPr fontId="1" type="noConversion"/>
  </si>
  <si>
    <t>사옹원</t>
    <phoneticPr fontId="1" type="noConversion"/>
  </si>
  <si>
    <t>비냐 운드라가</t>
    <phoneticPr fontId="1" type="noConversion"/>
  </si>
  <si>
    <t>푸룻티</t>
    <phoneticPr fontId="1" type="noConversion"/>
  </si>
  <si>
    <t>베키아에누보</t>
    <phoneticPr fontId="1" type="noConversion"/>
  </si>
  <si>
    <t>양반죽</t>
    <phoneticPr fontId="1" type="noConversion"/>
  </si>
  <si>
    <t>조은술세종</t>
    <phoneticPr fontId="1" type="noConversion"/>
  </si>
  <si>
    <t>주일</t>
    <phoneticPr fontId="1" type="noConversion"/>
  </si>
  <si>
    <t>포스트</t>
    <phoneticPr fontId="1" type="noConversion"/>
  </si>
  <si>
    <t>화과방</t>
    <phoneticPr fontId="1" type="noConversion"/>
  </si>
  <si>
    <t>몸애쏙쏙</t>
    <phoneticPr fontId="1" type="noConversion"/>
  </si>
  <si>
    <t>농협</t>
    <phoneticPr fontId="1" type="noConversion"/>
  </si>
  <si>
    <t>월계관</t>
    <phoneticPr fontId="1" type="noConversion"/>
  </si>
  <si>
    <t>[선물세트] 소호好담 프리미엄 활전복 7마리 1kg (왕특대, 생물)(예약일 수령)</t>
    <phoneticPr fontId="1" type="noConversion"/>
  </si>
  <si>
    <t>마이포 밸리</t>
    <phoneticPr fontId="1" type="noConversion"/>
  </si>
  <si>
    <t>제니쿠키</t>
    <phoneticPr fontId="1" type="noConversion"/>
  </si>
  <si>
    <t>그린덴마크</t>
    <phoneticPr fontId="1" type="noConversion"/>
  </si>
  <si>
    <t>한삼인</t>
    <phoneticPr fontId="1" type="noConversion"/>
  </si>
  <si>
    <t>켈로그</t>
    <phoneticPr fontId="1" type="noConversion"/>
  </si>
  <si>
    <t>뉴델리</t>
    <phoneticPr fontId="1" type="noConversion"/>
  </si>
  <si>
    <t>데체코</t>
    <phoneticPr fontId="1" type="noConversion"/>
  </si>
  <si>
    <t>이성당</t>
    <phoneticPr fontId="1" type="noConversion"/>
  </si>
  <si>
    <t>법성포참맛영어조합</t>
    <phoneticPr fontId="1" type="noConversion"/>
  </si>
  <si>
    <t>파미고</t>
    <phoneticPr fontId="1" type="noConversion"/>
  </si>
  <si>
    <t>롯데호텔</t>
    <phoneticPr fontId="1" type="noConversion"/>
  </si>
  <si>
    <t>크렘드마롱</t>
    <phoneticPr fontId="1" type="noConversion"/>
  </si>
  <si>
    <t>마켓오네이처</t>
    <phoneticPr fontId="1" type="noConversion"/>
  </si>
  <si>
    <t>자연두레</t>
    <phoneticPr fontId="1" type="noConversion"/>
  </si>
  <si>
    <t>김정환홍삼</t>
    <phoneticPr fontId="1" type="noConversion"/>
  </si>
  <si>
    <t>헤븐힐 증류소</t>
    <phoneticPr fontId="1" type="noConversion"/>
  </si>
  <si>
    <t>일화</t>
    <phoneticPr fontId="1" type="noConversion"/>
  </si>
  <si>
    <t>해태htb</t>
    <phoneticPr fontId="1" type="noConversion"/>
  </si>
  <si>
    <t>서울우유</t>
    <phoneticPr fontId="1" type="noConversion"/>
  </si>
  <si>
    <t>로얄오차드</t>
    <phoneticPr fontId="1" type="noConversion"/>
  </si>
  <si>
    <t>연세우유</t>
    <phoneticPr fontId="1" type="noConversion"/>
  </si>
  <si>
    <t>맛의명태자</t>
    <phoneticPr fontId="1" type="noConversion"/>
  </si>
  <si>
    <t>기화병가</t>
    <phoneticPr fontId="1" type="noConversion"/>
  </si>
  <si>
    <t>올드 부쉬밀 증류소</t>
    <phoneticPr fontId="1" type="noConversion"/>
  </si>
  <si>
    <t>컨트리 레인</t>
    <phoneticPr fontId="1" type="noConversion"/>
  </si>
  <si>
    <t>태광선식</t>
    <phoneticPr fontId="1" type="noConversion"/>
  </si>
  <si>
    <t>정착육</t>
    <phoneticPr fontId="1" type="noConversion"/>
  </si>
  <si>
    <t>풍년제과</t>
    <phoneticPr fontId="1" type="noConversion"/>
  </si>
  <si>
    <t>바카디</t>
    <phoneticPr fontId="1" type="noConversion"/>
  </si>
  <si>
    <t>친정엄마</t>
    <phoneticPr fontId="1" type="noConversion"/>
  </si>
  <si>
    <t>팔도</t>
    <phoneticPr fontId="1" type="noConversion"/>
  </si>
  <si>
    <t>조선델리</t>
    <phoneticPr fontId="1" type="noConversion"/>
  </si>
  <si>
    <t>남양과수원</t>
    <phoneticPr fontId="1" type="noConversion"/>
  </si>
  <si>
    <t>양반김</t>
    <phoneticPr fontId="1" type="noConversion"/>
  </si>
  <si>
    <t>광동</t>
    <phoneticPr fontId="1" type="noConversion"/>
  </si>
  <si>
    <t>이와사키</t>
    <phoneticPr fontId="1" type="noConversion"/>
  </si>
  <si>
    <t>허이펑</t>
    <phoneticPr fontId="1" type="noConversion"/>
  </si>
  <si>
    <t>오곡담</t>
    <phoneticPr fontId="1" type="noConversion"/>
  </si>
  <si>
    <t>조지아</t>
    <phoneticPr fontId="1" type="noConversion"/>
  </si>
  <si>
    <t>쿠바라 우마타레</t>
    <phoneticPr fontId="1" type="noConversion"/>
  </si>
  <si>
    <t>MPARK</t>
    <phoneticPr fontId="1" type="noConversion"/>
  </si>
  <si>
    <t>햇살나래</t>
    <phoneticPr fontId="1" type="noConversion"/>
  </si>
  <si>
    <t>코마사양조</t>
    <phoneticPr fontId="1" type="noConversion"/>
  </si>
  <si>
    <t>영주마실</t>
    <phoneticPr fontId="1" type="noConversion"/>
  </si>
  <si>
    <t>약콩두유</t>
    <phoneticPr fontId="1" type="noConversion"/>
  </si>
  <si>
    <t>궁</t>
    <phoneticPr fontId="1" type="noConversion"/>
  </si>
  <si>
    <t>크라운</t>
    <phoneticPr fontId="1" type="noConversion"/>
  </si>
  <si>
    <t>모니니</t>
    <phoneticPr fontId="1" type="noConversion"/>
  </si>
  <si>
    <t>여왕의만찬</t>
    <phoneticPr fontId="1" type="noConversion"/>
  </si>
  <si>
    <t>사미헌</t>
    <phoneticPr fontId="1" type="noConversion"/>
  </si>
  <si>
    <t>남양</t>
    <phoneticPr fontId="1" type="noConversion"/>
  </si>
  <si>
    <t>토버모리 증류소</t>
    <phoneticPr fontId="1" type="noConversion"/>
  </si>
  <si>
    <t>일드프랑스</t>
    <phoneticPr fontId="1" type="noConversion"/>
  </si>
  <si>
    <t>Prime Field</t>
    <phoneticPr fontId="1" type="noConversion"/>
  </si>
  <si>
    <t>레오나르디</t>
    <phoneticPr fontId="1" type="noConversion"/>
  </si>
  <si>
    <t>이브뚜리에</t>
    <phoneticPr fontId="1" type="noConversion"/>
  </si>
  <si>
    <t>헤븐 힐 디스틸러리</t>
    <phoneticPr fontId="1" type="noConversion"/>
  </si>
  <si>
    <t>포천이동갈비</t>
    <phoneticPr fontId="1" type="noConversion"/>
  </si>
  <si>
    <t>원농산 당도선별 배, 3kg(4~6입), 1박스 17,990원 (100g당 600원) 내일(일) 새벽 도착 보장 4.5 (24297) 최대 900원 적립</t>
    <phoneticPr fontId="1" type="noConversion"/>
  </si>
  <si>
    <t>르까도드마비</t>
    <phoneticPr fontId="1" type="noConversion"/>
  </si>
  <si>
    <t>매일</t>
    <phoneticPr fontId="1" type="noConversion"/>
  </si>
  <si>
    <t>코카콜라</t>
    <phoneticPr fontId="1" type="noConversion"/>
  </si>
  <si>
    <t>밀키퀸</t>
    <phoneticPr fontId="1" type="noConversion"/>
  </si>
  <si>
    <t>오뚜기</t>
    <phoneticPr fontId="1" type="noConversion"/>
  </si>
  <si>
    <t>프레시메이드</t>
    <phoneticPr fontId="1" type="noConversion"/>
  </si>
  <si>
    <t>리챔</t>
    <phoneticPr fontId="1" type="noConversion"/>
  </si>
  <si>
    <t>오니스트</t>
    <phoneticPr fontId="1" type="noConversion"/>
  </si>
  <si>
    <t>다온식품</t>
    <phoneticPr fontId="1" type="noConversion"/>
  </si>
  <si>
    <t>안동소주일품</t>
    <phoneticPr fontId="1" type="noConversion"/>
  </si>
  <si>
    <t>서정옥의 느린부엌</t>
    <phoneticPr fontId="1" type="noConversion"/>
  </si>
  <si>
    <t>바른우유연구소</t>
    <phoneticPr fontId="1" type="noConversion"/>
  </si>
  <si>
    <t>소호담</t>
    <phoneticPr fontId="1" type="noConversion"/>
  </si>
  <si>
    <t>웅진식품</t>
    <phoneticPr fontId="1" type="noConversion"/>
  </si>
  <si>
    <t>초록마을</t>
    <phoneticPr fontId="1" type="noConversion"/>
  </si>
  <si>
    <t>곡물을 만나다</t>
    <phoneticPr fontId="1" type="noConversion"/>
  </si>
  <si>
    <t>착한농부</t>
    <phoneticPr fontId="1" type="noConversion"/>
  </si>
  <si>
    <t>도제식빵</t>
    <phoneticPr fontId="1" type="noConversion"/>
  </si>
  <si>
    <t>보드카</t>
    <phoneticPr fontId="1" type="noConversion"/>
  </si>
  <si>
    <t>겐삭 라 파뤼</t>
    <phoneticPr fontId="1" type="noConversion"/>
  </si>
  <si>
    <t>대흥물산</t>
    <phoneticPr fontId="1" type="noConversion"/>
  </si>
  <si>
    <t>VASAK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</si>
</sst>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G\OneDrive\Desktop\REF_Classification_For_Ingredient_Recognition\product_data_collection\refined_grocery_csv_for_classification\VLOOKUP%20&#54632;&#49688;&#50857;%20&#54364;.xlsx" TargetMode="External"/><Relationship Id="rId1" Type="http://schemas.openxmlformats.org/officeDocument/2006/relationships/externalLinkPath" Target="VLOOKUP%20&#54632;&#49688;&#50857;%20&#5436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G\OneDrive\Desktop\REF_Classification_For_Ingredient_Recognition\product_data_collection\refined_grocery_csv_for_classification\VLOOKUP%20&#54632;&#49688;&#50857;%20&#54364;.xlsx" TargetMode="External"/><Relationship Id="rId1" Type="http://schemas.openxmlformats.org/officeDocument/2006/relationships/externalLinkPath" Target="file:///C:\Users\seo20\OneDrive\&#47928;&#49436;\&#52852;&#52852;&#50724;&#53665;%20&#48155;&#51008;%20&#54028;&#51068;\VLOOKUP%20&#54632;&#49688;&#50857;%20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LOOKUP 함수용 카테고리"/>
      <sheetName val="VLOOKUP 함수용 표"/>
    </sheetNames>
    <definedNames>
      <definedName name="카테고리매핑" refersTo="='VLOOKUP 함수용 카테고리'!$C$1:$D$58"/>
    </definedNames>
    <sheetDataSet>
      <sheetData sheetId="0">
        <row r="1">
          <cell r="A1" t="str">
            <v>와인</v>
          </cell>
          <cell r="B1" t="str">
            <v>ALCOHOL</v>
          </cell>
          <cell r="C1" t="str">
            <v>술</v>
          </cell>
          <cell r="D1" t="str">
            <v>와인</v>
          </cell>
        </row>
        <row r="2">
          <cell r="A2" t="str">
            <v>전통주</v>
          </cell>
          <cell r="B2" t="str">
            <v>ALCOHOL</v>
          </cell>
          <cell r="C2" t="str">
            <v>술</v>
          </cell>
          <cell r="D2" t="str">
            <v>전통주</v>
          </cell>
        </row>
        <row r="3">
          <cell r="A3" t="str">
            <v>맥주</v>
          </cell>
          <cell r="B3" t="str">
            <v>ALCOHOL</v>
          </cell>
          <cell r="C3" t="str">
            <v>술</v>
          </cell>
          <cell r="D3" t="str">
            <v>맥주</v>
          </cell>
        </row>
        <row r="4">
          <cell r="A4" t="str">
            <v>소주</v>
          </cell>
          <cell r="B4" t="str">
            <v>ALCOHOL</v>
          </cell>
          <cell r="C4" t="str">
            <v>술</v>
          </cell>
          <cell r="D4" t="str">
            <v>소주</v>
          </cell>
        </row>
        <row r="5">
          <cell r="A5" t="str">
            <v>기타 주류</v>
          </cell>
          <cell r="B5" t="str">
            <v>ALCOHOL</v>
          </cell>
          <cell r="C5" t="str">
            <v>술</v>
          </cell>
          <cell r="D5" t="str">
            <v>기타 주류</v>
          </cell>
        </row>
        <row r="6">
          <cell r="A6" t="str">
            <v>채소</v>
          </cell>
          <cell r="B6" t="str">
            <v>RAW_PRODUCE</v>
          </cell>
          <cell r="C6" t="str">
            <v>채소/곡물류</v>
          </cell>
          <cell r="D6" t="str">
            <v>채소</v>
          </cell>
        </row>
        <row r="7">
          <cell r="A7" t="str">
            <v>버섯</v>
          </cell>
          <cell r="B7" t="str">
            <v>RAW_PRODUCE</v>
          </cell>
          <cell r="C7" t="str">
            <v>채소/곡물류</v>
          </cell>
          <cell r="D7" t="str">
            <v>버섯</v>
          </cell>
        </row>
        <row r="8">
          <cell r="A8" t="str">
            <v>쌀/잡곡</v>
          </cell>
          <cell r="B8" t="str">
            <v>GRAIN</v>
          </cell>
          <cell r="C8" t="str">
            <v>채소/곡물류</v>
          </cell>
          <cell r="D8" t="str">
            <v>쌀/잡곡</v>
          </cell>
        </row>
        <row r="9">
          <cell r="A9" t="str">
            <v>콩/두부</v>
          </cell>
          <cell r="B9" t="str">
            <v>SIMPLE_PROCESSED</v>
          </cell>
          <cell r="C9" t="str">
            <v>채소/곡물류</v>
          </cell>
          <cell r="D9" t="str">
            <v>콩/두부</v>
          </cell>
        </row>
        <row r="10">
          <cell r="A10" t="str">
            <v>소고기</v>
          </cell>
          <cell r="B10" t="str">
            <v>RAW_MEAT</v>
          </cell>
          <cell r="C10" t="str">
            <v>채소/곡물류</v>
          </cell>
          <cell r="D10" t="str">
            <v>면류</v>
          </cell>
        </row>
        <row r="11">
          <cell r="A11" t="str">
            <v>돼지고기</v>
          </cell>
          <cell r="B11" t="str">
            <v>RAW_MEAT</v>
          </cell>
          <cell r="C11" t="str">
            <v>육류/계란</v>
          </cell>
          <cell r="D11" t="str">
            <v>소고기</v>
          </cell>
        </row>
        <row r="12">
          <cell r="A12" t="str">
            <v>닭고기</v>
          </cell>
          <cell r="B12" t="str">
            <v>RAW_MEAT</v>
          </cell>
          <cell r="C12" t="str">
            <v>육류/계란</v>
          </cell>
          <cell r="D12" t="str">
            <v>돼지고기</v>
          </cell>
        </row>
        <row r="13">
          <cell r="A13" t="str">
            <v>오리고기</v>
          </cell>
          <cell r="B13" t="str">
            <v>RAW_MEAT</v>
          </cell>
          <cell r="C13" t="str">
            <v>육류/계란</v>
          </cell>
          <cell r="D13" t="str">
            <v>닭고기</v>
          </cell>
        </row>
        <row r="14">
          <cell r="A14" t="str">
            <v>계란</v>
          </cell>
          <cell r="B14" t="str">
            <v>RAW_MEAT</v>
          </cell>
          <cell r="C14" t="str">
            <v>육류/계란</v>
          </cell>
          <cell r="D14" t="str">
            <v>오리고기</v>
          </cell>
        </row>
        <row r="15">
          <cell r="A15" t="str">
            <v>가공육(햄/소시지)</v>
          </cell>
          <cell r="B15" t="str">
            <v>PROCESSED_MEAT</v>
          </cell>
          <cell r="C15" t="str">
            <v>육류/계란</v>
          </cell>
          <cell r="D15" t="str">
            <v>양고기</v>
          </cell>
        </row>
        <row r="16">
          <cell r="A16" t="str">
            <v>생선</v>
          </cell>
          <cell r="B16" t="str">
            <v>RAW_SEAFOOD</v>
          </cell>
          <cell r="C16" t="str">
            <v>육류/계란</v>
          </cell>
          <cell r="D16" t="str">
            <v>계란</v>
          </cell>
        </row>
        <row r="17">
          <cell r="A17" t="str">
            <v>조개/전복</v>
          </cell>
          <cell r="B17" t="str">
            <v>RAW_SEAFOOD</v>
          </cell>
          <cell r="C17" t="str">
            <v>육류/계란</v>
          </cell>
          <cell r="D17" t="str">
            <v>가공육(햄/소시지)</v>
          </cell>
        </row>
        <row r="18">
          <cell r="A18" t="str">
            <v>새우/게</v>
          </cell>
          <cell r="B18" t="str">
            <v>RAW_SEAFOOD</v>
          </cell>
          <cell r="C18" t="str">
            <v>수산물</v>
          </cell>
          <cell r="D18" t="str">
            <v>생선</v>
          </cell>
        </row>
        <row r="19">
          <cell r="A19" t="str">
            <v>멸치/건어물</v>
          </cell>
          <cell r="B19" t="str">
            <v>DRIED_SEAFOOD</v>
          </cell>
          <cell r="C19" t="str">
            <v>수산물</v>
          </cell>
          <cell r="D19" t="str">
            <v>조개/전복</v>
          </cell>
        </row>
        <row r="20">
          <cell r="A20" t="str">
            <v>오징어/문어</v>
          </cell>
          <cell r="B20" t="str">
            <v>RAW_SEAFOOD</v>
          </cell>
          <cell r="C20" t="str">
            <v>수산물</v>
          </cell>
          <cell r="D20" t="str">
            <v>새우/게</v>
          </cell>
        </row>
        <row r="21">
          <cell r="A21" t="str">
            <v>미역/다시마</v>
          </cell>
          <cell r="B21" t="str">
            <v>DRIED_SEAFOOD</v>
          </cell>
          <cell r="C21" t="str">
            <v>수산물</v>
          </cell>
          <cell r="D21" t="str">
            <v>멸치/건어물</v>
          </cell>
        </row>
        <row r="22">
          <cell r="A22" t="str">
            <v>과일</v>
          </cell>
          <cell r="B22" t="str">
            <v>RAW_FRUIT</v>
          </cell>
          <cell r="C22" t="str">
            <v>수산물</v>
          </cell>
          <cell r="D22" t="str">
            <v>오징어/문어</v>
          </cell>
        </row>
        <row r="23">
          <cell r="A23" t="str">
            <v>견과류</v>
          </cell>
          <cell r="B23" t="str">
            <v>RAW_FRUIT</v>
          </cell>
          <cell r="C23" t="str">
            <v>수산물</v>
          </cell>
          <cell r="D23" t="str">
            <v>미역/다시마</v>
          </cell>
        </row>
        <row r="24">
          <cell r="A24" t="str">
            <v>냉동과일</v>
          </cell>
          <cell r="B24" t="str">
            <v>SIMPLE_PROCESSED</v>
          </cell>
          <cell r="C24" t="str">
            <v>수산물</v>
          </cell>
          <cell r="D24" t="str">
            <v>어육가공식품</v>
          </cell>
        </row>
        <row r="25">
          <cell r="A25" t="str">
            <v>밀키트</v>
          </cell>
          <cell r="B25" t="str">
            <v>RTC_MEAL</v>
          </cell>
          <cell r="C25" t="str">
            <v>수산물</v>
          </cell>
          <cell r="D25" t="str">
            <v>어란</v>
          </cell>
        </row>
        <row r="26">
          <cell r="A26" t="str">
            <v>레트로트</v>
          </cell>
          <cell r="B26" t="str">
            <v>RTC_MEAL</v>
          </cell>
          <cell r="C26" t="str">
            <v>과일/견과류</v>
          </cell>
          <cell r="D26" t="str">
            <v>과일</v>
          </cell>
        </row>
        <row r="27">
          <cell r="A27" t="str">
            <v>즉석밥</v>
          </cell>
          <cell r="B27" t="str">
            <v>INSTANT</v>
          </cell>
          <cell r="C27" t="str">
            <v>과일/견과류</v>
          </cell>
          <cell r="D27" t="str">
            <v>견과류</v>
          </cell>
        </row>
        <row r="28">
          <cell r="A28" t="str">
            <v>라면</v>
          </cell>
          <cell r="B28" t="str">
            <v>INSTANT</v>
          </cell>
          <cell r="C28" t="str">
            <v>과일/견과류</v>
          </cell>
          <cell r="D28" t="str">
            <v>냉동과일</v>
          </cell>
        </row>
        <row r="29">
          <cell r="A29" t="str">
            <v>냉동식품</v>
          </cell>
          <cell r="B29" t="str">
            <v>FROZEN_MEAL</v>
          </cell>
          <cell r="C29" t="str">
            <v>간편식</v>
          </cell>
          <cell r="D29" t="str">
            <v>밀키트</v>
          </cell>
        </row>
        <row r="30">
          <cell r="A30" t="str">
            <v>샐러드팩</v>
          </cell>
          <cell r="B30" t="str">
            <v>RTC_MEAL</v>
          </cell>
          <cell r="C30" t="str">
            <v>간편식</v>
          </cell>
          <cell r="D30" t="str">
            <v>레트로트</v>
          </cell>
        </row>
        <row r="31">
          <cell r="A31" t="str">
            <v>식용유/기름</v>
          </cell>
          <cell r="B31" t="str">
            <v>SAUCE_SEASONING</v>
          </cell>
          <cell r="C31" t="str">
            <v>간편식</v>
          </cell>
          <cell r="D31" t="str">
            <v>즉석밥</v>
          </cell>
        </row>
        <row r="32">
          <cell r="A32" t="str">
            <v>양념/소스</v>
          </cell>
          <cell r="B32" t="str">
            <v>SAUCE_SEASONING</v>
          </cell>
          <cell r="C32" t="str">
            <v>간편식</v>
          </cell>
          <cell r="D32" t="str">
            <v>라면</v>
          </cell>
        </row>
        <row r="33">
          <cell r="A33" t="str">
            <v>조미료</v>
          </cell>
          <cell r="B33" t="str">
            <v>SAUCE_SEASONING</v>
          </cell>
          <cell r="C33" t="str">
            <v>간편식</v>
          </cell>
          <cell r="D33" t="str">
            <v>냉동식품</v>
          </cell>
        </row>
        <row r="34">
          <cell r="A34" t="str">
            <v>가루분말</v>
          </cell>
          <cell r="B34" t="str">
            <v>SAUCE_SEASONING</v>
          </cell>
          <cell r="C34" t="str">
            <v>간편식</v>
          </cell>
          <cell r="D34" t="str">
            <v>샐러드팩</v>
          </cell>
        </row>
        <row r="35">
          <cell r="A35" t="str">
            <v>향신료/허브</v>
          </cell>
          <cell r="B35" t="str">
            <v>SAUCE_SEASONING</v>
          </cell>
          <cell r="C35" t="str">
            <v>간편식</v>
          </cell>
          <cell r="D35" t="str">
            <v>반찬류</v>
          </cell>
        </row>
        <row r="36">
          <cell r="A36" t="str">
            <v>탄산음료</v>
          </cell>
          <cell r="B36" t="str">
            <v>BEVERAGE</v>
          </cell>
          <cell r="C36" t="str">
            <v>조미료</v>
          </cell>
          <cell r="D36" t="str">
            <v>식용유/기름</v>
          </cell>
        </row>
        <row r="37">
          <cell r="A37" t="str">
            <v>이온음료</v>
          </cell>
          <cell r="B37" t="str">
            <v>BEVERAGE</v>
          </cell>
          <cell r="C37" t="str">
            <v>조미료</v>
          </cell>
          <cell r="D37" t="str">
            <v>양념/소스</v>
          </cell>
        </row>
        <row r="38">
          <cell r="A38" t="str">
            <v>주스</v>
          </cell>
          <cell r="B38" t="str">
            <v>BEVERAGE</v>
          </cell>
          <cell r="C38" t="str">
            <v>조미료</v>
          </cell>
          <cell r="D38" t="str">
            <v>조미료</v>
          </cell>
        </row>
        <row r="39">
          <cell r="A39" t="str">
            <v>커피/차</v>
          </cell>
          <cell r="B39" t="str">
            <v>BEVERAGE</v>
          </cell>
          <cell r="C39" t="str">
            <v>조미료</v>
          </cell>
          <cell r="D39" t="str">
            <v>가루분말</v>
          </cell>
        </row>
        <row r="40">
          <cell r="A40" t="str">
            <v>생수</v>
          </cell>
          <cell r="B40" t="str">
            <v>BEVERAGE</v>
          </cell>
          <cell r="C40" t="str">
            <v>조미료</v>
          </cell>
          <cell r="D40" t="str">
            <v>향신료/허브</v>
          </cell>
        </row>
        <row r="41">
          <cell r="A41" t="str">
            <v>우유/두유</v>
          </cell>
          <cell r="B41" t="str">
            <v>DAIRY</v>
          </cell>
          <cell r="C41" t="str">
            <v>음료</v>
          </cell>
          <cell r="D41" t="str">
            <v>탄산음료</v>
          </cell>
        </row>
        <row r="42">
          <cell r="A42" t="str">
            <v>요거트</v>
          </cell>
          <cell r="B42" t="str">
            <v>DAIRY</v>
          </cell>
          <cell r="C42" t="str">
            <v>음료</v>
          </cell>
          <cell r="D42" t="str">
            <v>이온음료</v>
          </cell>
        </row>
        <row r="43">
          <cell r="A43" t="str">
            <v>치즈</v>
          </cell>
          <cell r="B43" t="str">
            <v>DAIRY</v>
          </cell>
          <cell r="C43" t="str">
            <v>음료</v>
          </cell>
          <cell r="D43" t="str">
            <v>주스</v>
          </cell>
        </row>
        <row r="44">
          <cell r="A44" t="str">
            <v>버터/생크림</v>
          </cell>
          <cell r="B44" t="str">
            <v>DAIRY</v>
          </cell>
          <cell r="C44" t="str">
            <v>음료</v>
          </cell>
          <cell r="D44" t="str">
            <v>커피/차</v>
          </cell>
        </row>
        <row r="45">
          <cell r="A45" t="str">
            <v>빵류</v>
          </cell>
          <cell r="B45" t="str">
            <v>BAKERY</v>
          </cell>
          <cell r="C45" t="str">
            <v>음료</v>
          </cell>
          <cell r="D45" t="str">
            <v>생수</v>
          </cell>
        </row>
        <row r="46">
          <cell r="A46" t="str">
            <v>디저트/케이크</v>
          </cell>
          <cell r="B46" t="str">
            <v>BAKERY</v>
          </cell>
          <cell r="C46" t="str">
            <v>유제품</v>
          </cell>
          <cell r="D46" t="str">
            <v>우유/두유</v>
          </cell>
        </row>
        <row r="47">
          <cell r="A47" t="str">
            <v>과자/스낵</v>
          </cell>
          <cell r="B47" t="str">
            <v>SNACK</v>
          </cell>
          <cell r="C47" t="str">
            <v>유제품</v>
          </cell>
          <cell r="D47" t="str">
            <v>요거트</v>
          </cell>
        </row>
        <row r="48">
          <cell r="A48" t="str">
            <v>초콜릿/사탕</v>
          </cell>
          <cell r="B48" t="str">
            <v>SNACK</v>
          </cell>
          <cell r="C48" t="str">
            <v>유제품</v>
          </cell>
          <cell r="D48" t="str">
            <v>치즈</v>
          </cell>
        </row>
        <row r="49">
          <cell r="A49" t="str">
            <v>참치/스팸캔</v>
          </cell>
          <cell r="B49" t="str">
            <v>CANNED</v>
          </cell>
          <cell r="C49" t="str">
            <v>유제품</v>
          </cell>
          <cell r="D49" t="str">
            <v>버터/생크림</v>
          </cell>
        </row>
        <row r="50">
          <cell r="A50" t="str">
            <v>김/자반</v>
          </cell>
          <cell r="B50" t="str">
            <v>DRIED_SEAFOOD</v>
          </cell>
          <cell r="C50" t="str">
            <v>간식류</v>
          </cell>
          <cell r="D50" t="str">
            <v>빵류</v>
          </cell>
        </row>
        <row r="51">
          <cell r="A51" t="str">
            <v>잼/스프레드</v>
          </cell>
          <cell r="B51" t="str">
            <v>SAUCE_SEASONING</v>
          </cell>
          <cell r="C51" t="str">
            <v>간식류</v>
          </cell>
          <cell r="D51" t="str">
            <v>디저트/케이크</v>
          </cell>
        </row>
        <row r="52">
          <cell r="A52" t="str">
            <v>시리얼</v>
          </cell>
          <cell r="B52" t="str">
            <v>GRAIN</v>
          </cell>
          <cell r="C52" t="str">
            <v>간식류</v>
          </cell>
          <cell r="D52" t="str">
            <v>과자/스낵</v>
          </cell>
        </row>
        <row r="53">
          <cell r="A53" t="str">
            <v>기타</v>
          </cell>
          <cell r="B53" t="str">
            <v>UNKNOWN</v>
          </cell>
          <cell r="C53" t="str">
            <v>간식류</v>
          </cell>
          <cell r="D53" t="str">
            <v>초콜릿/사탕</v>
          </cell>
        </row>
        <row r="54">
          <cell r="A54" t="str">
            <v>반찬류</v>
          </cell>
          <cell r="B54" t="str">
            <v>SIMPLE_PROCESSED</v>
          </cell>
          <cell r="C54" t="str">
            <v>간식류</v>
          </cell>
          <cell r="D54" t="str">
            <v>떡</v>
          </cell>
        </row>
        <row r="55">
          <cell r="A55" t="str">
            <v>떡</v>
          </cell>
          <cell r="B55" t="str">
            <v>SNACK</v>
          </cell>
          <cell r="C55" t="str">
            <v>상온식품</v>
          </cell>
          <cell r="D55" t="str">
            <v>참치/스팸캔</v>
          </cell>
        </row>
        <row r="56">
          <cell r="A56" t="str">
            <v>양고기</v>
          </cell>
          <cell r="B56" t="str">
            <v>RAW_MEAT</v>
          </cell>
          <cell r="C56" t="str">
            <v>상온식품</v>
          </cell>
          <cell r="D56" t="str">
            <v>김/자반</v>
          </cell>
        </row>
        <row r="57">
          <cell r="A57" t="str">
            <v>면류</v>
          </cell>
          <cell r="B57" t="str">
            <v>GRAIN</v>
          </cell>
          <cell r="C57" t="str">
            <v>상온식품</v>
          </cell>
          <cell r="D57" t="str">
            <v>잼/스프레드</v>
          </cell>
        </row>
        <row r="58">
          <cell r="A58" t="str">
            <v>어육가공식품</v>
          </cell>
          <cell r="B58" t="str">
            <v>SIMPLE_PROCESSED</v>
          </cell>
          <cell r="C58" t="str">
            <v>상온식품</v>
          </cell>
          <cell r="D58" t="str">
            <v>시리얼</v>
          </cell>
        </row>
        <row r="59">
          <cell r="A59" t="str">
            <v>어란</v>
          </cell>
          <cell r="B59" t="str">
            <v>RAW_SEAFOOD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LOOKUP 함수용 카테고리"/>
      <sheetName val="VLOOKUP 함수용 표"/>
    </sheetNames>
    <definedNames>
      <definedName name="카테고리매핑" refersTo="='VLOOKUP 함수용 카테고리'!$C$1:$D$58"/>
    </definedNames>
    <sheetDataSet>
      <sheetData sheetId="0">
        <row r="1">
          <cell r="A1" t="str">
            <v>와인</v>
          </cell>
          <cell r="B1" t="str">
            <v>ALCOHOL</v>
          </cell>
          <cell r="C1" t="str">
            <v>술</v>
          </cell>
          <cell r="D1" t="str">
            <v>와인</v>
          </cell>
        </row>
        <row r="2">
          <cell r="A2" t="str">
            <v>전통주</v>
          </cell>
          <cell r="B2" t="str">
            <v>ALCOHOL</v>
          </cell>
          <cell r="C2" t="str">
            <v>술</v>
          </cell>
          <cell r="D2" t="str">
            <v>전통주</v>
          </cell>
        </row>
        <row r="3">
          <cell r="A3" t="str">
            <v>맥주</v>
          </cell>
          <cell r="B3" t="str">
            <v>ALCOHOL</v>
          </cell>
          <cell r="C3" t="str">
            <v>술</v>
          </cell>
          <cell r="D3" t="str">
            <v>맥주</v>
          </cell>
        </row>
        <row r="4">
          <cell r="A4" t="str">
            <v>소주</v>
          </cell>
          <cell r="B4" t="str">
            <v>ALCOHOL</v>
          </cell>
          <cell r="C4" t="str">
            <v>술</v>
          </cell>
          <cell r="D4" t="str">
            <v>소주</v>
          </cell>
        </row>
        <row r="5">
          <cell r="A5" t="str">
            <v>기타 주류</v>
          </cell>
          <cell r="B5" t="str">
            <v>ALCOHOL</v>
          </cell>
          <cell r="C5" t="str">
            <v>술</v>
          </cell>
          <cell r="D5" t="str">
            <v>기타 주류</v>
          </cell>
        </row>
        <row r="6">
          <cell r="A6" t="str">
            <v>채소</v>
          </cell>
          <cell r="B6" t="str">
            <v>RAW_PRODUCE</v>
          </cell>
          <cell r="C6" t="str">
            <v>채소/곡물류</v>
          </cell>
          <cell r="D6" t="str">
            <v>채소</v>
          </cell>
        </row>
        <row r="7">
          <cell r="A7" t="str">
            <v>버섯</v>
          </cell>
          <cell r="B7" t="str">
            <v>RAW_PRODUCE</v>
          </cell>
          <cell r="C7" t="str">
            <v>채소/곡물류</v>
          </cell>
          <cell r="D7" t="str">
            <v>버섯</v>
          </cell>
        </row>
        <row r="8">
          <cell r="A8" t="str">
            <v>쌀/잡곡</v>
          </cell>
          <cell r="B8" t="str">
            <v>GRAIN</v>
          </cell>
          <cell r="C8" t="str">
            <v>채소/곡물류</v>
          </cell>
          <cell r="D8" t="str">
            <v>쌀/잡곡</v>
          </cell>
        </row>
        <row r="9">
          <cell r="A9" t="str">
            <v>콩/두부</v>
          </cell>
          <cell r="B9" t="str">
            <v>SIMPLE_PROCESSED</v>
          </cell>
          <cell r="C9" t="str">
            <v>채소/곡물류</v>
          </cell>
          <cell r="D9" t="str">
            <v>콩/두부</v>
          </cell>
        </row>
        <row r="10">
          <cell r="A10" t="str">
            <v>소고기</v>
          </cell>
          <cell r="B10" t="str">
            <v>RAW_MEAT</v>
          </cell>
          <cell r="C10" t="str">
            <v>채소/곡물류</v>
          </cell>
          <cell r="D10" t="str">
            <v>면류</v>
          </cell>
        </row>
        <row r="11">
          <cell r="A11" t="str">
            <v>돼지고기</v>
          </cell>
          <cell r="B11" t="str">
            <v>RAW_MEAT</v>
          </cell>
          <cell r="C11" t="str">
            <v>육류/계란</v>
          </cell>
          <cell r="D11" t="str">
            <v>소고기</v>
          </cell>
        </row>
        <row r="12">
          <cell r="A12" t="str">
            <v>닭고기</v>
          </cell>
          <cell r="B12" t="str">
            <v>RAW_MEAT</v>
          </cell>
          <cell r="C12" t="str">
            <v>육류/계란</v>
          </cell>
          <cell r="D12" t="str">
            <v>돼지고기</v>
          </cell>
        </row>
        <row r="13">
          <cell r="A13" t="str">
            <v>오리고기</v>
          </cell>
          <cell r="B13" t="str">
            <v>RAW_MEAT</v>
          </cell>
          <cell r="C13" t="str">
            <v>육류/계란</v>
          </cell>
          <cell r="D13" t="str">
            <v>닭고기</v>
          </cell>
        </row>
        <row r="14">
          <cell r="A14" t="str">
            <v>계란</v>
          </cell>
          <cell r="B14" t="str">
            <v>RAW_MEAT</v>
          </cell>
          <cell r="C14" t="str">
            <v>육류/계란</v>
          </cell>
          <cell r="D14" t="str">
            <v>오리고기</v>
          </cell>
        </row>
        <row r="15">
          <cell r="A15" t="str">
            <v>가공육(햄/소시지)</v>
          </cell>
          <cell r="B15" t="str">
            <v>PROCESSED_MEAT</v>
          </cell>
          <cell r="C15" t="str">
            <v>육류/계란</v>
          </cell>
          <cell r="D15" t="str">
            <v>양고기</v>
          </cell>
        </row>
        <row r="16">
          <cell r="A16" t="str">
            <v>생선</v>
          </cell>
          <cell r="B16" t="str">
            <v>RAW_SEAFOOD</v>
          </cell>
          <cell r="C16" t="str">
            <v>육류/계란</v>
          </cell>
          <cell r="D16" t="str">
            <v>계란</v>
          </cell>
        </row>
        <row r="17">
          <cell r="A17" t="str">
            <v>조개/전복</v>
          </cell>
          <cell r="B17" t="str">
            <v>RAW_SEAFOOD</v>
          </cell>
          <cell r="C17" t="str">
            <v>육류/계란</v>
          </cell>
          <cell r="D17" t="str">
            <v>가공육(햄/소시지)</v>
          </cell>
        </row>
        <row r="18">
          <cell r="A18" t="str">
            <v>새우/게</v>
          </cell>
          <cell r="B18" t="str">
            <v>RAW_SEAFOOD</v>
          </cell>
          <cell r="C18" t="str">
            <v>수산물</v>
          </cell>
          <cell r="D18" t="str">
            <v>생선</v>
          </cell>
        </row>
        <row r="19">
          <cell r="A19" t="str">
            <v>멸치/건어물</v>
          </cell>
          <cell r="B19" t="str">
            <v>DRIED_SEAFOOD</v>
          </cell>
          <cell r="C19" t="str">
            <v>수산물</v>
          </cell>
          <cell r="D19" t="str">
            <v>조개/전복</v>
          </cell>
        </row>
        <row r="20">
          <cell r="A20" t="str">
            <v>오징어/문어</v>
          </cell>
          <cell r="B20" t="str">
            <v>RAW_SEAFOOD</v>
          </cell>
          <cell r="C20" t="str">
            <v>수산물</v>
          </cell>
          <cell r="D20" t="str">
            <v>새우/게</v>
          </cell>
        </row>
        <row r="21">
          <cell r="A21" t="str">
            <v>미역/다시마</v>
          </cell>
          <cell r="B21" t="str">
            <v>DRIED_SEAFOOD</v>
          </cell>
          <cell r="C21" t="str">
            <v>수산물</v>
          </cell>
          <cell r="D21" t="str">
            <v>멸치/건어물</v>
          </cell>
        </row>
        <row r="22">
          <cell r="A22" t="str">
            <v>과일</v>
          </cell>
          <cell r="B22" t="str">
            <v>RAW_FRUIT</v>
          </cell>
          <cell r="C22" t="str">
            <v>수산물</v>
          </cell>
          <cell r="D22" t="str">
            <v>오징어/문어</v>
          </cell>
        </row>
        <row r="23">
          <cell r="A23" t="str">
            <v>견과류</v>
          </cell>
          <cell r="B23" t="str">
            <v>RAW_FRUIT</v>
          </cell>
          <cell r="C23" t="str">
            <v>수산물</v>
          </cell>
          <cell r="D23" t="str">
            <v>미역/다시마</v>
          </cell>
        </row>
        <row r="24">
          <cell r="A24" t="str">
            <v>냉동과일</v>
          </cell>
          <cell r="B24" t="str">
            <v>SIMPLE_PROCESSED</v>
          </cell>
          <cell r="C24" t="str">
            <v>수산물</v>
          </cell>
          <cell r="D24" t="str">
            <v>어육가공식품</v>
          </cell>
        </row>
        <row r="25">
          <cell r="A25" t="str">
            <v>밀키트</v>
          </cell>
          <cell r="B25" t="str">
            <v>RTC_MEAL</v>
          </cell>
          <cell r="C25" t="str">
            <v>수산물</v>
          </cell>
          <cell r="D25" t="str">
            <v>어란</v>
          </cell>
        </row>
        <row r="26">
          <cell r="A26" t="str">
            <v>레트로트</v>
          </cell>
          <cell r="B26" t="str">
            <v>RTC_MEAL</v>
          </cell>
          <cell r="C26" t="str">
            <v>과일/견과류</v>
          </cell>
          <cell r="D26" t="str">
            <v>과일</v>
          </cell>
        </row>
        <row r="27">
          <cell r="A27" t="str">
            <v>즉석밥</v>
          </cell>
          <cell r="B27" t="str">
            <v>INSTANT</v>
          </cell>
          <cell r="C27" t="str">
            <v>과일/견과류</v>
          </cell>
          <cell r="D27" t="str">
            <v>견과류</v>
          </cell>
        </row>
        <row r="28">
          <cell r="A28" t="str">
            <v>라면</v>
          </cell>
          <cell r="B28" t="str">
            <v>INSTANT</v>
          </cell>
          <cell r="C28" t="str">
            <v>과일/견과류</v>
          </cell>
          <cell r="D28" t="str">
            <v>냉동과일</v>
          </cell>
        </row>
        <row r="29">
          <cell r="A29" t="str">
            <v>냉동식품</v>
          </cell>
          <cell r="B29" t="str">
            <v>FROZEN_MEAL</v>
          </cell>
          <cell r="C29" t="str">
            <v>간편식</v>
          </cell>
          <cell r="D29" t="str">
            <v>밀키트</v>
          </cell>
        </row>
        <row r="30">
          <cell r="A30" t="str">
            <v>샐러드팩</v>
          </cell>
          <cell r="B30" t="str">
            <v>RTC_MEAL</v>
          </cell>
          <cell r="C30" t="str">
            <v>간편식</v>
          </cell>
          <cell r="D30" t="str">
            <v>레트로트</v>
          </cell>
        </row>
        <row r="31">
          <cell r="A31" t="str">
            <v>식용유/기름</v>
          </cell>
          <cell r="B31" t="str">
            <v>SAUCE_SEASONING</v>
          </cell>
          <cell r="C31" t="str">
            <v>간편식</v>
          </cell>
          <cell r="D31" t="str">
            <v>즉석밥</v>
          </cell>
        </row>
        <row r="32">
          <cell r="A32" t="str">
            <v>양념/소스</v>
          </cell>
          <cell r="B32" t="str">
            <v>SAUCE_SEASONING</v>
          </cell>
          <cell r="C32" t="str">
            <v>간편식</v>
          </cell>
          <cell r="D32" t="str">
            <v>라면</v>
          </cell>
        </row>
        <row r="33">
          <cell r="A33" t="str">
            <v>조미료</v>
          </cell>
          <cell r="B33" t="str">
            <v>SAUCE_SEASONING</v>
          </cell>
          <cell r="C33" t="str">
            <v>간편식</v>
          </cell>
          <cell r="D33" t="str">
            <v>냉동식품</v>
          </cell>
        </row>
        <row r="34">
          <cell r="A34" t="str">
            <v>가루분말</v>
          </cell>
          <cell r="B34" t="str">
            <v>SAUCE_SEASONING</v>
          </cell>
          <cell r="C34" t="str">
            <v>간편식</v>
          </cell>
          <cell r="D34" t="str">
            <v>샐러드팩</v>
          </cell>
        </row>
        <row r="35">
          <cell r="A35" t="str">
            <v>향신료/허브</v>
          </cell>
          <cell r="B35" t="str">
            <v>SAUCE_SEASONING</v>
          </cell>
          <cell r="C35" t="str">
            <v>간편식</v>
          </cell>
          <cell r="D35" t="str">
            <v>반찬류</v>
          </cell>
        </row>
        <row r="36">
          <cell r="A36" t="str">
            <v>탄산음료</v>
          </cell>
          <cell r="B36" t="str">
            <v>BEVERAGE</v>
          </cell>
          <cell r="C36" t="str">
            <v>조미료</v>
          </cell>
          <cell r="D36" t="str">
            <v>식용유/기름</v>
          </cell>
        </row>
        <row r="37">
          <cell r="A37" t="str">
            <v>이온음료</v>
          </cell>
          <cell r="B37" t="str">
            <v>BEVERAGE</v>
          </cell>
          <cell r="C37" t="str">
            <v>조미료</v>
          </cell>
          <cell r="D37" t="str">
            <v>양념/소스</v>
          </cell>
        </row>
        <row r="38">
          <cell r="A38" t="str">
            <v>주스</v>
          </cell>
          <cell r="B38" t="str">
            <v>BEVERAGE</v>
          </cell>
          <cell r="C38" t="str">
            <v>조미료</v>
          </cell>
          <cell r="D38" t="str">
            <v>조미료</v>
          </cell>
        </row>
        <row r="39">
          <cell r="A39" t="str">
            <v>커피/차</v>
          </cell>
          <cell r="B39" t="str">
            <v>BEVERAGE</v>
          </cell>
          <cell r="C39" t="str">
            <v>조미료</v>
          </cell>
          <cell r="D39" t="str">
            <v>가루분말</v>
          </cell>
        </row>
        <row r="40">
          <cell r="A40" t="str">
            <v>생수</v>
          </cell>
          <cell r="B40" t="str">
            <v>BEVERAGE</v>
          </cell>
          <cell r="C40" t="str">
            <v>조미료</v>
          </cell>
          <cell r="D40" t="str">
            <v>향신료/허브</v>
          </cell>
        </row>
        <row r="41">
          <cell r="A41" t="str">
            <v>우유/두유</v>
          </cell>
          <cell r="B41" t="str">
            <v>DAIRY</v>
          </cell>
          <cell r="C41" t="str">
            <v>음료</v>
          </cell>
          <cell r="D41" t="str">
            <v>탄산음료</v>
          </cell>
        </row>
        <row r="42">
          <cell r="A42" t="str">
            <v>요거트</v>
          </cell>
          <cell r="B42" t="str">
            <v>DAIRY</v>
          </cell>
          <cell r="C42" t="str">
            <v>음료</v>
          </cell>
          <cell r="D42" t="str">
            <v>이온음료</v>
          </cell>
        </row>
        <row r="43">
          <cell r="A43" t="str">
            <v>치즈</v>
          </cell>
          <cell r="B43" t="str">
            <v>DAIRY</v>
          </cell>
          <cell r="C43" t="str">
            <v>음료</v>
          </cell>
          <cell r="D43" t="str">
            <v>주스</v>
          </cell>
        </row>
        <row r="44">
          <cell r="A44" t="str">
            <v>버터/생크림</v>
          </cell>
          <cell r="B44" t="str">
            <v>DAIRY</v>
          </cell>
          <cell r="C44" t="str">
            <v>음료</v>
          </cell>
          <cell r="D44" t="str">
            <v>커피/차</v>
          </cell>
        </row>
        <row r="45">
          <cell r="A45" t="str">
            <v>빵류</v>
          </cell>
          <cell r="B45" t="str">
            <v>BAKERY</v>
          </cell>
          <cell r="C45" t="str">
            <v>음료</v>
          </cell>
          <cell r="D45" t="str">
            <v>생수</v>
          </cell>
        </row>
        <row r="46">
          <cell r="A46" t="str">
            <v>디저트/케이크</v>
          </cell>
          <cell r="B46" t="str">
            <v>BAKERY</v>
          </cell>
          <cell r="C46" t="str">
            <v>유제품</v>
          </cell>
          <cell r="D46" t="str">
            <v>우유/두유</v>
          </cell>
        </row>
        <row r="47">
          <cell r="A47" t="str">
            <v>과자/스낵</v>
          </cell>
          <cell r="B47" t="str">
            <v>SNACK</v>
          </cell>
          <cell r="C47" t="str">
            <v>유제품</v>
          </cell>
          <cell r="D47" t="str">
            <v>요거트</v>
          </cell>
        </row>
        <row r="48">
          <cell r="A48" t="str">
            <v>초콜릿/사탕</v>
          </cell>
          <cell r="B48" t="str">
            <v>SNACK</v>
          </cell>
          <cell r="C48" t="str">
            <v>유제품</v>
          </cell>
          <cell r="D48" t="str">
            <v>치즈</v>
          </cell>
        </row>
        <row r="49">
          <cell r="A49" t="str">
            <v>참치/스팸캔</v>
          </cell>
          <cell r="B49" t="str">
            <v>CANNED</v>
          </cell>
          <cell r="C49" t="str">
            <v>유제품</v>
          </cell>
          <cell r="D49" t="str">
            <v>버터/생크림</v>
          </cell>
        </row>
        <row r="50">
          <cell r="A50" t="str">
            <v>김/자반</v>
          </cell>
          <cell r="B50" t="str">
            <v>DRIED_SEAFOOD</v>
          </cell>
          <cell r="C50" t="str">
            <v>간식류</v>
          </cell>
          <cell r="D50" t="str">
            <v>빵류</v>
          </cell>
        </row>
        <row r="51">
          <cell r="A51" t="str">
            <v>잼/스프레드</v>
          </cell>
          <cell r="B51" t="str">
            <v>SAUCE_SEASONING</v>
          </cell>
          <cell r="C51" t="str">
            <v>간식류</v>
          </cell>
          <cell r="D51" t="str">
            <v>디저트/케이크</v>
          </cell>
        </row>
        <row r="52">
          <cell r="A52" t="str">
            <v>시리얼</v>
          </cell>
          <cell r="B52" t="str">
            <v>GRAIN</v>
          </cell>
          <cell r="C52" t="str">
            <v>간식류</v>
          </cell>
          <cell r="D52" t="str">
            <v>과자/스낵</v>
          </cell>
        </row>
        <row r="53">
          <cell r="A53" t="str">
            <v>기타</v>
          </cell>
          <cell r="B53" t="str">
            <v>UNKNOWN</v>
          </cell>
          <cell r="C53" t="str">
            <v>간식류</v>
          </cell>
          <cell r="D53" t="str">
            <v>초콜릿/사탕</v>
          </cell>
        </row>
        <row r="54">
          <cell r="A54" t="str">
            <v>반찬류</v>
          </cell>
          <cell r="B54" t="str">
            <v>SIMPLE_PROCESSED</v>
          </cell>
          <cell r="C54" t="str">
            <v>간식류</v>
          </cell>
          <cell r="D54" t="str">
            <v>떡</v>
          </cell>
        </row>
        <row r="55">
          <cell r="A55" t="str">
            <v>떡</v>
          </cell>
          <cell r="B55" t="str">
            <v>SNACK</v>
          </cell>
          <cell r="C55" t="str">
            <v>상온식품</v>
          </cell>
          <cell r="D55" t="str">
            <v>참치/스팸캔</v>
          </cell>
        </row>
        <row r="56">
          <cell r="A56" t="str">
            <v>양고기</v>
          </cell>
          <cell r="B56" t="str">
            <v>RAW_MEAT</v>
          </cell>
          <cell r="C56" t="str">
            <v>상온식품</v>
          </cell>
          <cell r="D56" t="str">
            <v>김/자반</v>
          </cell>
        </row>
        <row r="57">
          <cell r="A57" t="str">
            <v>면류</v>
          </cell>
          <cell r="B57" t="str">
            <v>GRAIN</v>
          </cell>
          <cell r="C57" t="str">
            <v>상온식품</v>
          </cell>
          <cell r="D57" t="str">
            <v>잼/스프레드</v>
          </cell>
        </row>
        <row r="58">
          <cell r="A58" t="str">
            <v>어육가공식품</v>
          </cell>
          <cell r="B58" t="str">
            <v>SIMPLE_PROCESSED</v>
          </cell>
          <cell r="C58" t="str">
            <v>상온식품</v>
          </cell>
          <cell r="D58" t="str">
            <v>시리얼</v>
          </cell>
        </row>
        <row r="59">
          <cell r="A59" t="str">
            <v>어란</v>
          </cell>
          <cell r="B59" t="str">
            <v>RAW_SEAFOOD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ACBB-3648-468C-A8A1-DF1872030E86}">
  <dimension ref="A1:F4998"/>
  <sheetViews>
    <sheetView tabSelected="1" topLeftCell="A3486" zoomScale="107" workbookViewId="0">
      <selection activeCell="A3501" sqref="A3501"/>
    </sheetView>
  </sheetViews>
  <sheetFormatPr defaultRowHeight="16.5" x14ac:dyDescent="0.3"/>
  <cols>
    <col min="1" max="1" width="43.625" customWidth="1"/>
    <col min="2" max="2" width="12.625" customWidth="1"/>
    <col min="3" max="3" width="13.75" customWidth="1"/>
    <col min="4" max="4" width="15.5" customWidth="1"/>
    <col min="5" max="5" width="19.125" customWidth="1"/>
    <col min="6" max="6" width="31.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tr" cm="1">
        <f t="array" ref="B2">_xlfn.XLOOKUP(C2, INDEX([1]!카테고리매핑,,2), INDEX([1]!카테고리매핑,,1), "미등록 카테고리")</f>
        <v>채소/곡물류</v>
      </c>
      <c r="C2" t="s">
        <v>7</v>
      </c>
      <c r="D2" t="str">
        <f>VLOOKUP(C2, '[1]VLOOKUP 함수용 카테고리'!$A$1:$B$59, 2, 0)</f>
        <v>RAW_PRODUCE</v>
      </c>
      <c r="E2" t="s">
        <v>8</v>
      </c>
      <c r="F2" t="s">
        <v>9</v>
      </c>
    </row>
    <row r="3" spans="1:6" x14ac:dyDescent="0.3">
      <c r="A3" t="s">
        <v>10</v>
      </c>
      <c r="B3" t="str" cm="1">
        <f t="array" ref="B3">_xlfn.XLOOKUP(C3, INDEX([1]!카테고리매핑,,2), INDEX([1]!카테고리매핑,,1), "미등록 카테고리")</f>
        <v>간식류</v>
      </c>
      <c r="C3" t="s">
        <v>11</v>
      </c>
      <c r="D3" t="str">
        <f>VLOOKUP(C3, '[1]VLOOKUP 함수용 카테고리'!$A$1:$B$59, 2, 0)</f>
        <v>SNACK</v>
      </c>
      <c r="E3" t="s">
        <v>12</v>
      </c>
      <c r="F3" t="s">
        <v>13</v>
      </c>
    </row>
    <row r="4" spans="1:6" x14ac:dyDescent="0.3">
      <c r="A4" t="s">
        <v>14</v>
      </c>
      <c r="B4" t="str" cm="1">
        <f t="array" ref="B4">_xlfn.XLOOKUP(C4, INDEX([1]!카테고리매핑,,2), INDEX([1]!카테고리매핑,,1), "미등록 카테고리")</f>
        <v>간식류</v>
      </c>
      <c r="C4" t="s">
        <v>15</v>
      </c>
      <c r="D4" t="str">
        <f>VLOOKUP(C4, '[1]VLOOKUP 함수용 카테고리'!$A$1:$B$59, 2, 0)</f>
        <v>BAKERY</v>
      </c>
      <c r="E4" t="s">
        <v>16</v>
      </c>
      <c r="F4" t="s">
        <v>17</v>
      </c>
    </row>
    <row r="5" spans="1:6" x14ac:dyDescent="0.3">
      <c r="A5" t="s">
        <v>18</v>
      </c>
      <c r="B5" t="str" cm="1">
        <f t="array" ref="B5">_xlfn.XLOOKUP(C5, INDEX([1]!카테고리매핑,,2), INDEX([1]!카테고리매핑,,1), "미등록 카테고리")</f>
        <v>간편식</v>
      </c>
      <c r="C5" t="s">
        <v>19</v>
      </c>
      <c r="D5" t="str">
        <f>VLOOKUP(C5, '[1]VLOOKUP 함수용 카테고리'!$A$1:$B$59, 2, 0)</f>
        <v>FROZEN_MEAL</v>
      </c>
      <c r="E5" t="s">
        <v>20</v>
      </c>
      <c r="F5" t="s">
        <v>21</v>
      </c>
    </row>
    <row r="6" spans="1:6" x14ac:dyDescent="0.3">
      <c r="A6" t="s">
        <v>22</v>
      </c>
      <c r="B6" t="str" cm="1">
        <f t="array" ref="B6">_xlfn.XLOOKUP(C6, INDEX([1]!카테고리매핑,,2), INDEX([1]!카테고리매핑,,1), "미등록 카테고리")</f>
        <v>음료</v>
      </c>
      <c r="C6" t="s">
        <v>23</v>
      </c>
      <c r="D6" t="str">
        <f>VLOOKUP(C6, '[1]VLOOKUP 함수용 카테고리'!$A$1:$B$59, 2, 0)</f>
        <v>BEVERAGE</v>
      </c>
      <c r="E6" t="s">
        <v>24</v>
      </c>
      <c r="F6" t="s">
        <v>25</v>
      </c>
    </row>
    <row r="7" spans="1:6" x14ac:dyDescent="0.3">
      <c r="A7" t="s">
        <v>26</v>
      </c>
      <c r="B7" t="str" cm="1">
        <f t="array" ref="B7">_xlfn.XLOOKUP(C7, INDEX([1]!카테고리매핑,,2), INDEX([1]!카테고리매핑,,1), "미등록 카테고리")</f>
        <v>채소/곡물류</v>
      </c>
      <c r="C7" t="s">
        <v>27</v>
      </c>
      <c r="D7" t="str">
        <f>VLOOKUP(C7, '[1]VLOOKUP 함수용 카테고리'!$A$1:$B$59, 2, 0)</f>
        <v>SIMPLE_PROCESSED</v>
      </c>
      <c r="E7" t="s">
        <v>28</v>
      </c>
      <c r="F7" t="s">
        <v>29</v>
      </c>
    </row>
    <row r="8" spans="1:6" x14ac:dyDescent="0.3">
      <c r="A8" t="s">
        <v>30</v>
      </c>
      <c r="B8" t="str" cm="1">
        <f t="array" ref="B8">_xlfn.XLOOKUP(C8, INDEX([1]!카테고리매핑,,2), INDEX([1]!카테고리매핑,,1), "미등록 카테고리")</f>
        <v>간식류</v>
      </c>
      <c r="C8" t="s">
        <v>11</v>
      </c>
      <c r="D8" t="str">
        <f>VLOOKUP(C8, '[1]VLOOKUP 함수용 카테고리'!$A$1:$B$59, 2, 0)</f>
        <v>SNACK</v>
      </c>
      <c r="E8" t="s">
        <v>31</v>
      </c>
      <c r="F8" t="s">
        <v>32</v>
      </c>
    </row>
    <row r="9" spans="1:6" x14ac:dyDescent="0.3">
      <c r="A9" t="s">
        <v>33</v>
      </c>
      <c r="B9" t="str" cm="1">
        <f t="array" ref="B9">_xlfn.XLOOKUP(C9, INDEX([1]!카테고리매핑,,2), INDEX([1]!카테고리매핑,,1), "미등록 카테고리")</f>
        <v>육류/계란</v>
      </c>
      <c r="C9" t="s">
        <v>34</v>
      </c>
      <c r="D9" t="str">
        <f>VLOOKUP(C9, '[1]VLOOKUP 함수용 카테고리'!$A$1:$B$59, 2, 0)</f>
        <v>RAW_MEAT</v>
      </c>
      <c r="E9" t="s">
        <v>35</v>
      </c>
      <c r="F9" t="s">
        <v>36</v>
      </c>
    </row>
    <row r="10" spans="1:6" x14ac:dyDescent="0.3">
      <c r="A10" t="s">
        <v>37</v>
      </c>
      <c r="B10" t="str" cm="1">
        <f t="array" ref="B10">_xlfn.XLOOKUP(C10, INDEX([1]!카테고리매핑,,2), INDEX([1]!카테고리매핑,,1), "미등록 카테고리")</f>
        <v>간식류</v>
      </c>
      <c r="C10" t="s">
        <v>38</v>
      </c>
      <c r="D10" t="str">
        <f>VLOOKUP(C10, '[1]VLOOKUP 함수용 카테고리'!$A$1:$B$59, 2, 0)</f>
        <v>SNACK</v>
      </c>
      <c r="E10" t="s">
        <v>39</v>
      </c>
      <c r="F10" t="s">
        <v>40</v>
      </c>
    </row>
    <row r="11" spans="1:6" x14ac:dyDescent="0.3">
      <c r="A11" t="s">
        <v>41</v>
      </c>
      <c r="B11" t="str" cm="1">
        <f t="array" ref="B11">_xlfn.XLOOKUP(C11, INDEX([1]!카테고리매핑,,2), INDEX([1]!카테고리매핑,,1), "미등록 카테고리")</f>
        <v>술</v>
      </c>
      <c r="C11" t="s">
        <v>42</v>
      </c>
      <c r="D11" t="str">
        <f>VLOOKUP(C11, '[1]VLOOKUP 함수용 카테고리'!$A$1:$B$59, 2, 0)</f>
        <v>ALCOHOL</v>
      </c>
      <c r="E11" t="s">
        <v>43</v>
      </c>
    </row>
    <row r="12" spans="1:6" x14ac:dyDescent="0.3">
      <c r="A12" t="s">
        <v>45</v>
      </c>
      <c r="B12" t="str" cm="1">
        <f t="array" ref="B12">_xlfn.XLOOKUP(C12, INDEX([1]!카테고리매핑,,2), INDEX([1]!카테고리매핑,,1), "미등록 카테고리")</f>
        <v>간편식</v>
      </c>
      <c r="C12" t="s">
        <v>46</v>
      </c>
      <c r="D12" t="str">
        <f>VLOOKUP(C12, '[1]VLOOKUP 함수용 카테고리'!$A$1:$B$59, 2, 0)</f>
        <v>RTC_MEAL</v>
      </c>
      <c r="E12" t="s">
        <v>46</v>
      </c>
      <c r="F12" t="s">
        <v>47</v>
      </c>
    </row>
    <row r="13" spans="1:6" x14ac:dyDescent="0.3">
      <c r="A13" t="s">
        <v>48</v>
      </c>
      <c r="B13" t="str" cm="1">
        <f t="array" ref="B13">_xlfn.XLOOKUP(C13, INDEX([1]!카테고리매핑,,2), INDEX([1]!카테고리매핑,,1), "미등록 카테고리")</f>
        <v>술</v>
      </c>
      <c r="C13" t="s">
        <v>42</v>
      </c>
      <c r="D13" t="str">
        <f>VLOOKUP(C13, '[1]VLOOKUP 함수용 카테고리'!$A$1:$B$59, 2, 0)</f>
        <v>ALCOHOL</v>
      </c>
      <c r="E13" t="s">
        <v>43</v>
      </c>
    </row>
    <row r="14" spans="1:6" x14ac:dyDescent="0.3">
      <c r="A14" t="s">
        <v>49</v>
      </c>
      <c r="B14" t="str" cm="1">
        <f t="array" ref="B14">_xlfn.XLOOKUP(C14, INDEX([1]!카테고리매핑,,2), INDEX([1]!카테고리매핑,,1), "미등록 카테고리")</f>
        <v>채소/곡물류</v>
      </c>
      <c r="C14" t="s">
        <v>7</v>
      </c>
      <c r="D14" t="str">
        <f>VLOOKUP(C14, '[1]VLOOKUP 함수용 카테고리'!$A$1:$B$59, 2, 0)</f>
        <v>RAW_PRODUCE</v>
      </c>
      <c r="E14" t="s">
        <v>50</v>
      </c>
      <c r="F14" t="s">
        <v>51</v>
      </c>
    </row>
    <row r="15" spans="1:6" x14ac:dyDescent="0.3">
      <c r="A15" t="s">
        <v>52</v>
      </c>
      <c r="B15" t="str" cm="1">
        <f t="array" ref="B15">_xlfn.XLOOKUP(C15, INDEX([1]!카테고리매핑,,2), INDEX([1]!카테고리매핑,,1), "미등록 카테고리")</f>
        <v>간식류</v>
      </c>
      <c r="C15" t="s">
        <v>15</v>
      </c>
      <c r="D15" t="str">
        <f>VLOOKUP(C15, '[1]VLOOKUP 함수용 카테고리'!$A$1:$B$59, 2, 0)</f>
        <v>BAKERY</v>
      </c>
      <c r="E15" t="s">
        <v>53</v>
      </c>
      <c r="F15" t="s">
        <v>7670</v>
      </c>
    </row>
    <row r="16" spans="1:6" x14ac:dyDescent="0.3">
      <c r="A16" t="s">
        <v>55</v>
      </c>
      <c r="B16" t="str" cm="1">
        <f t="array" ref="B16">_xlfn.XLOOKUP(C16, INDEX([1]!카테고리매핑,,2), INDEX([1]!카테고리매핑,,1), "미등록 카테고리")</f>
        <v>술</v>
      </c>
      <c r="C16" t="s">
        <v>56</v>
      </c>
      <c r="D16" t="str">
        <f>VLOOKUP(C16, '[1]VLOOKUP 함수용 카테고리'!$A$1:$B$59, 2, 0)</f>
        <v>ALCOHOL</v>
      </c>
      <c r="E16" t="s">
        <v>57</v>
      </c>
    </row>
    <row r="17" spans="1:6" x14ac:dyDescent="0.3">
      <c r="A17" t="s">
        <v>58</v>
      </c>
      <c r="B17" t="str" cm="1">
        <f t="array" ref="B17">_xlfn.XLOOKUP(C17, INDEX([1]!카테고리매핑,,2), INDEX([1]!카테고리매핑,,1), "미등록 카테고리")</f>
        <v>술</v>
      </c>
      <c r="C17" t="s">
        <v>42</v>
      </c>
      <c r="D17" t="str">
        <f>VLOOKUP(C17, '[1]VLOOKUP 함수용 카테고리'!$A$1:$B$59, 2, 0)</f>
        <v>ALCOHOL</v>
      </c>
      <c r="E17" t="s">
        <v>43</v>
      </c>
      <c r="F17" t="s">
        <v>7671</v>
      </c>
    </row>
    <row r="18" spans="1:6" x14ac:dyDescent="0.3">
      <c r="A18" t="s">
        <v>60</v>
      </c>
      <c r="B18" t="str" cm="1">
        <f t="array" ref="B18">_xlfn.XLOOKUP(C18, INDEX([1]!카테고리매핑,,2), INDEX([1]!카테고리매핑,,1), "미등록 카테고리")</f>
        <v>채소/곡물류</v>
      </c>
      <c r="C18" t="s">
        <v>7</v>
      </c>
      <c r="D18" t="str">
        <f>VLOOKUP(C18, '[1]VLOOKUP 함수용 카테고리'!$A$1:$B$59, 2, 0)</f>
        <v>RAW_PRODUCE</v>
      </c>
      <c r="E18" t="s">
        <v>61</v>
      </c>
    </row>
    <row r="19" spans="1:6" x14ac:dyDescent="0.3">
      <c r="A19" t="s">
        <v>62</v>
      </c>
      <c r="B19" t="str" cm="1">
        <f t="array" ref="B19">_xlfn.XLOOKUP(C19, INDEX([1]!카테고리매핑,,2), INDEX([1]!카테고리매핑,,1), "미등록 카테고리")</f>
        <v>간식류</v>
      </c>
      <c r="C19" t="s">
        <v>63</v>
      </c>
      <c r="D19" t="str">
        <f>VLOOKUP(C19, '[1]VLOOKUP 함수용 카테고리'!$A$1:$B$59, 2, 0)</f>
        <v>BAKERY</v>
      </c>
      <c r="E19" t="s">
        <v>64</v>
      </c>
      <c r="F19" t="s">
        <v>65</v>
      </c>
    </row>
    <row r="20" spans="1:6" x14ac:dyDescent="0.3">
      <c r="A20" t="s">
        <v>66</v>
      </c>
      <c r="B20" t="str" cm="1">
        <f t="array" ref="B20">_xlfn.XLOOKUP(C20, INDEX([1]!카테고리매핑,,2), INDEX([1]!카테고리매핑,,1), "미등록 카테고리")</f>
        <v>간식류</v>
      </c>
      <c r="C20" t="s">
        <v>15</v>
      </c>
      <c r="D20" t="str">
        <f>VLOOKUP(C20, '[1]VLOOKUP 함수용 카테고리'!$A$1:$B$59, 2, 0)</f>
        <v>BAKERY</v>
      </c>
      <c r="E20" t="s">
        <v>67</v>
      </c>
      <c r="F20" t="s">
        <v>68</v>
      </c>
    </row>
    <row r="21" spans="1:6" x14ac:dyDescent="0.3">
      <c r="A21" t="s">
        <v>69</v>
      </c>
      <c r="B21" t="str" cm="1">
        <f t="array" ref="B21">_xlfn.XLOOKUP(C21, INDEX([1]!카테고리매핑,,2), INDEX([1]!카테고리매핑,,1), "미등록 카테고리")</f>
        <v>채소/곡물류</v>
      </c>
      <c r="C21" t="s">
        <v>7</v>
      </c>
      <c r="D21" t="str">
        <f>VLOOKUP(C21, '[1]VLOOKUP 함수용 카테고리'!$A$1:$B$59, 2, 0)</f>
        <v>RAW_PRODUCE</v>
      </c>
      <c r="E21" t="s">
        <v>61</v>
      </c>
    </row>
    <row r="22" spans="1:6" x14ac:dyDescent="0.3">
      <c r="A22" t="s">
        <v>70</v>
      </c>
      <c r="B22" t="str" cm="1">
        <f t="array" ref="B22">_xlfn.XLOOKUP(C22, INDEX([1]!카테고리매핑,,2), INDEX([1]!카테고리매핑,,1), "미등록 카테고리")</f>
        <v>육류/계란</v>
      </c>
      <c r="C22" t="s">
        <v>34</v>
      </c>
      <c r="D22" t="str">
        <f>VLOOKUP(C22, '[1]VLOOKUP 함수용 카테고리'!$A$1:$B$59, 2, 0)</f>
        <v>RAW_MEAT</v>
      </c>
      <c r="E22" t="s">
        <v>71</v>
      </c>
      <c r="F22" t="s">
        <v>72</v>
      </c>
    </row>
    <row r="23" spans="1:6" x14ac:dyDescent="0.3">
      <c r="A23" t="s">
        <v>73</v>
      </c>
      <c r="B23" t="str" cm="1">
        <f t="array" ref="B23">_xlfn.XLOOKUP(C23, INDEX([1]!카테고리매핑,,2), INDEX([1]!카테고리매핑,,1), "미등록 카테고리")</f>
        <v>음료</v>
      </c>
      <c r="C23" t="s">
        <v>23</v>
      </c>
      <c r="D23" t="str">
        <f>VLOOKUP(C23, '[1]VLOOKUP 함수용 카테고리'!$A$1:$B$59, 2, 0)</f>
        <v>BEVERAGE</v>
      </c>
      <c r="E23" t="s">
        <v>74</v>
      </c>
      <c r="F23" t="s">
        <v>7672</v>
      </c>
    </row>
    <row r="24" spans="1:6" x14ac:dyDescent="0.3">
      <c r="A24" t="s">
        <v>75</v>
      </c>
      <c r="B24" t="str" cm="1">
        <f t="array" ref="B24">_xlfn.XLOOKUP(C24, INDEX([1]!카테고리매핑,,2), INDEX([1]!카테고리매핑,,1), "미등록 카테고리")</f>
        <v>간식류</v>
      </c>
      <c r="C24" t="s">
        <v>11</v>
      </c>
      <c r="D24" t="str">
        <f>VLOOKUP(C24, '[1]VLOOKUP 함수용 카테고리'!$A$1:$B$59, 2, 0)</f>
        <v>SNACK</v>
      </c>
      <c r="E24" t="s">
        <v>76</v>
      </c>
      <c r="F24" t="s">
        <v>77</v>
      </c>
    </row>
    <row r="25" spans="1:6" x14ac:dyDescent="0.3">
      <c r="A25" t="s">
        <v>78</v>
      </c>
      <c r="B25" t="str" cm="1">
        <f t="array" ref="B25">_xlfn.XLOOKUP(C25, INDEX([1]!카테고리매핑,,2), INDEX([1]!카테고리매핑,,1), "미등록 카테고리")</f>
        <v>간식류</v>
      </c>
      <c r="C25" t="s">
        <v>38</v>
      </c>
      <c r="D25" t="str">
        <f>VLOOKUP(C25, '[1]VLOOKUP 함수용 카테고리'!$A$1:$B$59, 2, 0)</f>
        <v>SNACK</v>
      </c>
      <c r="E25" t="s">
        <v>39</v>
      </c>
      <c r="F25" t="s">
        <v>79</v>
      </c>
    </row>
    <row r="26" spans="1:6" x14ac:dyDescent="0.3">
      <c r="A26" t="s">
        <v>80</v>
      </c>
      <c r="B26" t="str" cm="1">
        <f t="array" ref="B26">_xlfn.XLOOKUP(C26, INDEX([1]!카테고리매핑,,2), INDEX([1]!카테고리매핑,,1), "미등록 카테고리")</f>
        <v>간식류</v>
      </c>
      <c r="C26" t="s">
        <v>11</v>
      </c>
      <c r="D26" t="str">
        <f>VLOOKUP(C26, '[1]VLOOKUP 함수용 카테고리'!$A$1:$B$59, 2, 0)</f>
        <v>SNACK</v>
      </c>
      <c r="E26" t="s">
        <v>81</v>
      </c>
      <c r="F26" t="s">
        <v>65</v>
      </c>
    </row>
    <row r="27" spans="1:6" x14ac:dyDescent="0.3">
      <c r="A27" t="s">
        <v>82</v>
      </c>
      <c r="B27" t="str" cm="1">
        <f t="array" ref="B27">_xlfn.XLOOKUP(C27, INDEX([1]!카테고리매핑,,2), INDEX([1]!카테고리매핑,,1), "미등록 카테고리")</f>
        <v>조미료</v>
      </c>
      <c r="C27" t="s">
        <v>84</v>
      </c>
      <c r="D27" t="str">
        <f>VLOOKUP(C27, '[1]VLOOKUP 함수용 카테고리'!$A$1:$B$59, 2, 0)</f>
        <v>SAUCE_SEASONING</v>
      </c>
      <c r="E27" t="s">
        <v>85</v>
      </c>
      <c r="F27" t="s">
        <v>86</v>
      </c>
    </row>
    <row r="28" spans="1:6" x14ac:dyDescent="0.3">
      <c r="A28" t="s">
        <v>87</v>
      </c>
      <c r="B28" t="str" cm="1">
        <f t="array" ref="B28">_xlfn.XLOOKUP(C28, INDEX([1]!카테고리매핑,,2), INDEX([1]!카테고리매핑,,1), "미등록 카테고리")</f>
        <v>간식류</v>
      </c>
      <c r="C28" t="s">
        <v>38</v>
      </c>
      <c r="D28" t="str">
        <f>VLOOKUP(C28, '[1]VLOOKUP 함수용 카테고리'!$A$1:$B$59, 2, 0)</f>
        <v>SNACK</v>
      </c>
      <c r="E28" t="s">
        <v>39</v>
      </c>
      <c r="F28" t="s">
        <v>88</v>
      </c>
    </row>
    <row r="29" spans="1:6" x14ac:dyDescent="0.3">
      <c r="A29" t="s">
        <v>89</v>
      </c>
      <c r="B29" t="str" cm="1">
        <f t="array" ref="B29">_xlfn.XLOOKUP(C29, INDEX([1]!카테고리매핑,,2), INDEX([1]!카테고리매핑,,1), "미등록 카테고리")</f>
        <v>조미료</v>
      </c>
      <c r="C29" t="s">
        <v>84</v>
      </c>
      <c r="D29" t="str">
        <f>VLOOKUP(C29, '[1]VLOOKUP 함수용 카테고리'!$A$1:$B$59, 2, 0)</f>
        <v>SAUCE_SEASONING</v>
      </c>
      <c r="E29" t="s">
        <v>90</v>
      </c>
      <c r="F29" t="s">
        <v>91</v>
      </c>
    </row>
    <row r="30" spans="1:6" x14ac:dyDescent="0.3">
      <c r="A30" t="s">
        <v>92</v>
      </c>
      <c r="B30" t="str" cm="1">
        <f t="array" ref="B30">_xlfn.XLOOKUP(C30, INDEX([1]!카테고리매핑,,2), INDEX([1]!카테고리매핑,,1), "미등록 카테고리")</f>
        <v>간식류</v>
      </c>
      <c r="C30" t="s">
        <v>15</v>
      </c>
      <c r="D30" t="str">
        <f>VLOOKUP(C30, '[1]VLOOKUP 함수용 카테고리'!$A$1:$B$59, 2, 0)</f>
        <v>BAKERY</v>
      </c>
      <c r="E30" t="s">
        <v>93</v>
      </c>
      <c r="F30" t="s">
        <v>94</v>
      </c>
    </row>
    <row r="31" spans="1:6" x14ac:dyDescent="0.3">
      <c r="A31" t="s">
        <v>95</v>
      </c>
      <c r="B31" t="str" cm="1">
        <f t="array" ref="B31">_xlfn.XLOOKUP(C31, INDEX([1]!카테고리매핑,,2), INDEX([1]!카테고리매핑,,1), "미등록 카테고리")</f>
        <v>술</v>
      </c>
      <c r="C31" t="s">
        <v>42</v>
      </c>
      <c r="D31" t="str">
        <f>VLOOKUP(C31, '[1]VLOOKUP 함수용 카테고리'!$A$1:$B$59, 2, 0)</f>
        <v>ALCOHOL</v>
      </c>
      <c r="E31" t="s">
        <v>43</v>
      </c>
      <c r="F31" t="s">
        <v>59</v>
      </c>
    </row>
    <row r="32" spans="1:6" x14ac:dyDescent="0.3">
      <c r="A32" t="s">
        <v>96</v>
      </c>
      <c r="B32" t="str" cm="1">
        <f t="array" ref="B32">_xlfn.XLOOKUP(C32, INDEX([1]!카테고리매핑,,2), INDEX([1]!카테고리매핑,,1), "미등록 카테고리")</f>
        <v>술</v>
      </c>
      <c r="C32" t="s">
        <v>42</v>
      </c>
      <c r="D32" t="str">
        <f>VLOOKUP(C32, '[1]VLOOKUP 함수용 카테고리'!$A$1:$B$59, 2, 0)</f>
        <v>ALCOHOL</v>
      </c>
      <c r="E32" t="s">
        <v>43</v>
      </c>
    </row>
    <row r="33" spans="1:6" x14ac:dyDescent="0.3">
      <c r="A33" t="s">
        <v>97</v>
      </c>
      <c r="B33" t="str" cm="1">
        <f t="array" ref="B33">_xlfn.XLOOKUP(C33, INDEX([1]!카테고리매핑,,2), INDEX([1]!카테고리매핑,,1), "미등록 카테고리")</f>
        <v>유제품</v>
      </c>
      <c r="C33" t="s">
        <v>98</v>
      </c>
      <c r="D33" t="str">
        <f>VLOOKUP(C33, '[1]VLOOKUP 함수용 카테고리'!$A$1:$B$59, 2, 0)</f>
        <v>DAIRY</v>
      </c>
      <c r="E33" t="s">
        <v>98</v>
      </c>
      <c r="F33" t="s">
        <v>99</v>
      </c>
    </row>
    <row r="34" spans="1:6" x14ac:dyDescent="0.3">
      <c r="A34" t="s">
        <v>100</v>
      </c>
      <c r="B34" t="str" cm="1">
        <f t="array" ref="B34">_xlfn.XLOOKUP(C34, INDEX([1]!카테고리매핑,,2), INDEX([1]!카테고리매핑,,1), "미등록 카테고리")</f>
        <v>수산물</v>
      </c>
      <c r="C34" t="s">
        <v>101</v>
      </c>
      <c r="D34" t="str">
        <f>VLOOKUP(C34, '[1]VLOOKUP 함수용 카테고리'!$A$1:$B$59, 2, 0)</f>
        <v>DRIED_SEAFOOD</v>
      </c>
      <c r="E34" t="s">
        <v>102</v>
      </c>
      <c r="F34" t="s">
        <v>103</v>
      </c>
    </row>
    <row r="35" spans="1:6" x14ac:dyDescent="0.3">
      <c r="A35" t="s">
        <v>104</v>
      </c>
      <c r="B35" t="str" cm="1">
        <f t="array" ref="B35">_xlfn.XLOOKUP(C35, INDEX([1]!카테고리매핑,,2), INDEX([1]!카테고리매핑,,1), "미등록 카테고리")</f>
        <v>육류/계란</v>
      </c>
      <c r="C35" t="s">
        <v>105</v>
      </c>
      <c r="D35" t="str">
        <f>VLOOKUP(C35, '[1]VLOOKUP 함수용 카테고리'!$A$1:$B$59, 2, 0)</f>
        <v>RAW_MEAT</v>
      </c>
      <c r="E35" t="s">
        <v>106</v>
      </c>
      <c r="F35" t="s">
        <v>107</v>
      </c>
    </row>
    <row r="36" spans="1:6" x14ac:dyDescent="0.3">
      <c r="A36" t="s">
        <v>108</v>
      </c>
      <c r="B36" t="str" cm="1">
        <f t="array" ref="B36">_xlfn.XLOOKUP(C36, INDEX([1]!카테고리매핑,,2), INDEX([1]!카테고리매핑,,1), "미등록 카테고리")</f>
        <v>간식류</v>
      </c>
      <c r="C36" t="s">
        <v>109</v>
      </c>
      <c r="D36" t="str">
        <f>VLOOKUP(C36, '[1]VLOOKUP 함수용 카테고리'!$A$1:$B$59, 2, 0)</f>
        <v>SNACK</v>
      </c>
      <c r="E36" t="s">
        <v>110</v>
      </c>
      <c r="F36" t="s">
        <v>111</v>
      </c>
    </row>
    <row r="37" spans="1:6" x14ac:dyDescent="0.3">
      <c r="A37" t="s">
        <v>112</v>
      </c>
      <c r="B37" t="str" cm="1">
        <f t="array" ref="B37">_xlfn.XLOOKUP(C37, INDEX([1]!카테고리매핑,,2), INDEX([1]!카테고리매핑,,1), "미등록 카테고리")</f>
        <v>채소/곡물류</v>
      </c>
      <c r="C37" t="s">
        <v>7</v>
      </c>
      <c r="D37" t="str">
        <f>VLOOKUP(C37, '[1]VLOOKUP 함수용 카테고리'!$A$1:$B$59, 2, 0)</f>
        <v>RAW_PRODUCE</v>
      </c>
      <c r="E37" t="s">
        <v>113</v>
      </c>
      <c r="F37" t="s">
        <v>114</v>
      </c>
    </row>
    <row r="38" spans="1:6" x14ac:dyDescent="0.3">
      <c r="A38" t="s">
        <v>115</v>
      </c>
      <c r="B38" t="str" cm="1">
        <f t="array" ref="B38">_xlfn.XLOOKUP(C38, INDEX([1]!카테고리매핑,,2), INDEX([1]!카테고리매핑,,1), "미등록 카테고리")</f>
        <v>채소/곡물류</v>
      </c>
      <c r="C38" t="s">
        <v>7</v>
      </c>
      <c r="D38" t="str">
        <f>VLOOKUP(C38, '[1]VLOOKUP 함수용 카테고리'!$A$1:$B$59, 2, 0)</f>
        <v>RAW_PRODUCE</v>
      </c>
      <c r="E38" t="s">
        <v>61</v>
      </c>
    </row>
    <row r="39" spans="1:6" x14ac:dyDescent="0.3">
      <c r="A39" t="s">
        <v>116</v>
      </c>
      <c r="B39" t="str" cm="1">
        <f t="array" ref="B39">_xlfn.XLOOKUP(C39, INDEX([1]!카테고리매핑,,2), INDEX([1]!카테고리매핑,,1), "미등록 카테고리")</f>
        <v>조미료</v>
      </c>
      <c r="C39" t="s">
        <v>117</v>
      </c>
      <c r="D39" t="str">
        <f>VLOOKUP(C39, '[1]VLOOKUP 함수용 카테고리'!$A$1:$B$59, 2, 0)</f>
        <v>SAUCE_SEASONING</v>
      </c>
      <c r="E39" t="s">
        <v>118</v>
      </c>
      <c r="F39" t="s">
        <v>119</v>
      </c>
    </row>
    <row r="40" spans="1:6" x14ac:dyDescent="0.3">
      <c r="A40" t="s">
        <v>120</v>
      </c>
      <c r="B40" t="str" cm="1">
        <f t="array" ref="B40">_xlfn.XLOOKUP(C40, INDEX([1]!카테고리매핑,,2), INDEX([1]!카테고리매핑,,1), "미등록 카테고리")</f>
        <v>간식류</v>
      </c>
      <c r="C40" t="s">
        <v>109</v>
      </c>
      <c r="D40" t="str">
        <f>VLOOKUP(C40, '[1]VLOOKUP 함수용 카테고리'!$A$1:$B$59, 2, 0)</f>
        <v>SNACK</v>
      </c>
      <c r="E40" t="s">
        <v>110</v>
      </c>
      <c r="F40" t="s">
        <v>121</v>
      </c>
    </row>
    <row r="41" spans="1:6" x14ac:dyDescent="0.3">
      <c r="A41" t="s">
        <v>122</v>
      </c>
      <c r="B41" t="str" cm="1">
        <f t="array" ref="B41">_xlfn.XLOOKUP(C41, INDEX([1]!카테고리매핑,,2), INDEX([1]!카테고리매핑,,1), "미등록 카테고리")</f>
        <v>유제품</v>
      </c>
      <c r="C41" t="s">
        <v>123</v>
      </c>
      <c r="D41" t="str">
        <f>VLOOKUP(C41, '[1]VLOOKUP 함수용 카테고리'!$A$1:$B$59, 2, 0)</f>
        <v>DAIRY</v>
      </c>
      <c r="E41" t="s">
        <v>124</v>
      </c>
      <c r="F41" t="s">
        <v>125</v>
      </c>
    </row>
    <row r="42" spans="1:6" x14ac:dyDescent="0.3">
      <c r="A42" t="s">
        <v>126</v>
      </c>
      <c r="B42" t="str" cm="1">
        <f t="array" ref="B42">_xlfn.XLOOKUP(C42, INDEX([1]!카테고리매핑,,2), INDEX([1]!카테고리매핑,,1), "미등록 카테고리")</f>
        <v>조미료</v>
      </c>
      <c r="C42" t="s">
        <v>127</v>
      </c>
      <c r="D42" t="str">
        <f>VLOOKUP(C42, '[1]VLOOKUP 함수용 카테고리'!$A$1:$B$59, 2, 0)</f>
        <v>SAUCE_SEASONING</v>
      </c>
      <c r="E42" t="s">
        <v>128</v>
      </c>
      <c r="F42" t="s">
        <v>129</v>
      </c>
    </row>
    <row r="43" spans="1:6" x14ac:dyDescent="0.3">
      <c r="A43" t="s">
        <v>130</v>
      </c>
      <c r="B43" t="str" cm="1">
        <f t="array" ref="B43">_xlfn.XLOOKUP(C43, INDEX([1]!카테고리매핑,,2), INDEX([1]!카테고리매핑,,1), "미등록 카테고리")</f>
        <v>간편식</v>
      </c>
      <c r="C43" t="s">
        <v>131</v>
      </c>
      <c r="D43" t="str">
        <f>VLOOKUP(C43, '[1]VLOOKUP 함수용 카테고리'!$A$1:$B$59, 2, 0)</f>
        <v>SIMPLE_PROCESSED</v>
      </c>
      <c r="E43" t="s">
        <v>132</v>
      </c>
      <c r="F43" t="s">
        <v>133</v>
      </c>
    </row>
    <row r="44" spans="1:6" x14ac:dyDescent="0.3">
      <c r="A44" t="s">
        <v>134</v>
      </c>
      <c r="B44" t="str" cm="1">
        <f t="array" ref="B44">_xlfn.XLOOKUP(C44, INDEX([1]!카테고리매핑,,2), INDEX([1]!카테고리매핑,,1), "미등록 카테고리")</f>
        <v>음료</v>
      </c>
      <c r="C44" t="s">
        <v>23</v>
      </c>
      <c r="D44" t="str">
        <f>VLOOKUP(C44, '[1]VLOOKUP 함수용 카테고리'!$A$1:$B$59, 2, 0)</f>
        <v>BEVERAGE</v>
      </c>
      <c r="E44" t="s">
        <v>135</v>
      </c>
      <c r="F44" t="s">
        <v>136</v>
      </c>
    </row>
    <row r="45" spans="1:6" x14ac:dyDescent="0.3">
      <c r="A45" t="s">
        <v>137</v>
      </c>
      <c r="B45" t="str" cm="1">
        <f t="array" ref="B45">_xlfn.XLOOKUP(C45, INDEX([1]!카테고리매핑,,2), INDEX([1]!카테고리매핑,,1), "미등록 카테고리")</f>
        <v>간편식</v>
      </c>
      <c r="C45" t="s">
        <v>19</v>
      </c>
      <c r="D45" t="str">
        <f>VLOOKUP(C45, '[1]VLOOKUP 함수용 카테고리'!$A$1:$B$59, 2, 0)</f>
        <v>FROZEN_MEAL</v>
      </c>
      <c r="E45" t="s">
        <v>20</v>
      </c>
      <c r="F45" t="s">
        <v>138</v>
      </c>
    </row>
    <row r="46" spans="1:6" x14ac:dyDescent="0.3">
      <c r="A46" t="s">
        <v>139</v>
      </c>
      <c r="B46" t="str" cm="1">
        <f t="array" ref="B46">_xlfn.XLOOKUP(C46, INDEX([1]!카테고리매핑,,2), INDEX([1]!카테고리매핑,,1), "미등록 카테고리")</f>
        <v>수산물</v>
      </c>
      <c r="C46" t="s">
        <v>140</v>
      </c>
      <c r="D46" t="str">
        <f>VLOOKUP(C46, '[1]VLOOKUP 함수용 카테고리'!$A$1:$B$59, 2, 0)</f>
        <v>SIMPLE_PROCESSED</v>
      </c>
      <c r="E46" t="s">
        <v>141</v>
      </c>
      <c r="F46" t="s">
        <v>142</v>
      </c>
    </row>
    <row r="47" spans="1:6" x14ac:dyDescent="0.3">
      <c r="A47" t="s">
        <v>143</v>
      </c>
      <c r="B47" t="str" cm="1">
        <f t="array" ref="B47">_xlfn.XLOOKUP(C47, INDEX([1]!카테고리매핑,,2), INDEX([1]!카테고리매핑,,1), "미등록 카테고리")</f>
        <v>술</v>
      </c>
      <c r="C47" t="s">
        <v>42</v>
      </c>
      <c r="D47" t="str">
        <f>VLOOKUP(C47, '[1]VLOOKUP 함수용 카테고리'!$A$1:$B$59, 2, 0)</f>
        <v>ALCOHOL</v>
      </c>
      <c r="E47" t="s">
        <v>144</v>
      </c>
    </row>
    <row r="48" spans="1:6" x14ac:dyDescent="0.3">
      <c r="A48" t="s">
        <v>145</v>
      </c>
      <c r="B48" t="str" cm="1">
        <f t="array" ref="B48">_xlfn.XLOOKUP(C48, INDEX([1]!카테고리매핑,,2), INDEX([1]!카테고리매핑,,1), "미등록 카테고리")</f>
        <v>간식류</v>
      </c>
      <c r="C48" t="s">
        <v>11</v>
      </c>
      <c r="D48" t="str">
        <f>VLOOKUP(C48, '[1]VLOOKUP 함수용 카테고리'!$A$1:$B$59, 2, 0)</f>
        <v>SNACK</v>
      </c>
      <c r="E48" t="s">
        <v>146</v>
      </c>
      <c r="F48" t="s">
        <v>129</v>
      </c>
    </row>
    <row r="49" spans="1:6" x14ac:dyDescent="0.3">
      <c r="A49" t="s">
        <v>147</v>
      </c>
      <c r="B49" t="str" cm="1">
        <f t="array" ref="B49">_xlfn.XLOOKUP(C49, INDEX([1]!카테고리매핑,,2), INDEX([1]!카테고리매핑,,1), "미등록 카테고리")</f>
        <v>간편식</v>
      </c>
      <c r="C49" t="s">
        <v>46</v>
      </c>
      <c r="D49" t="str">
        <f>VLOOKUP(C49, '[1]VLOOKUP 함수용 카테고리'!$A$1:$B$59, 2, 0)</f>
        <v>RTC_MEAL</v>
      </c>
      <c r="E49" t="s">
        <v>46</v>
      </c>
      <c r="F49" t="s">
        <v>7673</v>
      </c>
    </row>
    <row r="50" spans="1:6" x14ac:dyDescent="0.3">
      <c r="A50" t="s">
        <v>148</v>
      </c>
      <c r="B50" t="str" cm="1">
        <f t="array" ref="B50">_xlfn.XLOOKUP(C50, INDEX([1]!카테고리매핑,,2), INDEX([1]!카테고리매핑,,1), "미등록 카테고리")</f>
        <v>육류/계란</v>
      </c>
      <c r="C50" t="s">
        <v>149</v>
      </c>
      <c r="D50" t="str">
        <f>VLOOKUP(C50, '[1]VLOOKUP 함수용 카테고리'!$A$1:$B$59, 2, 0)</f>
        <v>RAW_MEAT</v>
      </c>
      <c r="E50" t="s">
        <v>150</v>
      </c>
      <c r="F50" t="s">
        <v>151</v>
      </c>
    </row>
    <row r="51" spans="1:6" x14ac:dyDescent="0.3">
      <c r="A51" t="s">
        <v>152</v>
      </c>
      <c r="B51" t="str" cm="1">
        <f t="array" ref="B51">_xlfn.XLOOKUP(C51, INDEX([1]!카테고리매핑,,2), INDEX([1]!카테고리매핑,,1), "미등록 카테고리")</f>
        <v>간식류</v>
      </c>
      <c r="C51" t="s">
        <v>11</v>
      </c>
      <c r="D51" t="str">
        <f>VLOOKUP(C51, '[1]VLOOKUP 함수용 카테고리'!$A$1:$B$59, 2, 0)</f>
        <v>SNACK</v>
      </c>
      <c r="E51" t="s">
        <v>153</v>
      </c>
      <c r="F51" t="s">
        <v>154</v>
      </c>
    </row>
    <row r="52" spans="1:6" x14ac:dyDescent="0.3">
      <c r="A52" t="s">
        <v>155</v>
      </c>
      <c r="B52" t="str" cm="1">
        <f t="array" ref="B52">_xlfn.XLOOKUP(C52, INDEX([1]!카테고리매핑,,2), INDEX([1]!카테고리매핑,,1), "미등록 카테고리")</f>
        <v>채소/곡물류</v>
      </c>
      <c r="C52" t="s">
        <v>27</v>
      </c>
      <c r="D52" t="str">
        <f>VLOOKUP(C52, '[1]VLOOKUP 함수용 카테고리'!$A$1:$B$59, 2, 0)</f>
        <v>SIMPLE_PROCESSED</v>
      </c>
      <c r="E52" t="s">
        <v>28</v>
      </c>
      <c r="F52" t="s">
        <v>156</v>
      </c>
    </row>
    <row r="53" spans="1:6" x14ac:dyDescent="0.3">
      <c r="A53" t="s">
        <v>157</v>
      </c>
      <c r="B53" t="str" cm="1">
        <f t="array" ref="B53">_xlfn.XLOOKUP(C53, INDEX([1]!카테고리매핑,,2), INDEX([1]!카테고리매핑,,1), "미등록 카테고리")</f>
        <v>간편식</v>
      </c>
      <c r="C53" t="s">
        <v>158</v>
      </c>
      <c r="D53" t="str">
        <f>VLOOKUP(C53, '[1]VLOOKUP 함수용 카테고리'!$A$1:$B$59, 2, 0)</f>
        <v>INSTANT</v>
      </c>
      <c r="E53" t="s">
        <v>159</v>
      </c>
      <c r="F53" t="s">
        <v>156</v>
      </c>
    </row>
    <row r="54" spans="1:6" x14ac:dyDescent="0.3">
      <c r="A54" t="s">
        <v>160</v>
      </c>
      <c r="B54" t="str" cm="1">
        <f t="array" ref="B54">_xlfn.XLOOKUP(C54, INDEX([1]!카테고리매핑,,2), INDEX([1]!카테고리매핑,,1), "미등록 카테고리")</f>
        <v>간편식</v>
      </c>
      <c r="C54" t="s">
        <v>161</v>
      </c>
      <c r="D54" t="str">
        <f>VLOOKUP(C54, '[1]VLOOKUP 함수용 카테고리'!$A$1:$B$59, 2, 0)</f>
        <v>RTC_MEAL</v>
      </c>
      <c r="E54" t="s">
        <v>162</v>
      </c>
    </row>
    <row r="55" spans="1:6" x14ac:dyDescent="0.3">
      <c r="A55" t="s">
        <v>163</v>
      </c>
      <c r="B55" t="str" cm="1">
        <f t="array" ref="B55">_xlfn.XLOOKUP(C55, INDEX([1]!카테고리매핑,,2), INDEX([1]!카테고리매핑,,1), "미등록 카테고리")</f>
        <v>채소/곡물류</v>
      </c>
      <c r="C55" t="s">
        <v>164</v>
      </c>
      <c r="D55" t="str">
        <f>VLOOKUP(C55, '[1]VLOOKUP 함수용 카테고리'!$A$1:$B$59, 2, 0)</f>
        <v>RAW_PRODUCE</v>
      </c>
      <c r="E55" t="s">
        <v>165</v>
      </c>
    </row>
    <row r="56" spans="1:6" x14ac:dyDescent="0.3">
      <c r="A56" t="s">
        <v>166</v>
      </c>
      <c r="B56" t="str" cm="1">
        <f t="array" ref="B56">_xlfn.XLOOKUP(C56, INDEX([1]!카테고리매핑,,2), INDEX([1]!카테고리매핑,,1), "미등록 카테고리")</f>
        <v>간편식</v>
      </c>
      <c r="C56" t="s">
        <v>167</v>
      </c>
      <c r="D56" t="str">
        <f>VLOOKUP(C56, '[1]VLOOKUP 함수용 카테고리'!$A$1:$B$59, 2, 0)</f>
        <v>INSTANT</v>
      </c>
      <c r="E56" t="s">
        <v>168</v>
      </c>
      <c r="F56" t="s">
        <v>169</v>
      </c>
    </row>
    <row r="57" spans="1:6" x14ac:dyDescent="0.3">
      <c r="A57" t="s">
        <v>170</v>
      </c>
      <c r="B57" t="str" cm="1">
        <f t="array" ref="B57">_xlfn.XLOOKUP(C57, INDEX([1]!카테고리매핑,,2), INDEX([1]!카테고리매핑,,1), "미등록 카테고리")</f>
        <v>조미료</v>
      </c>
      <c r="C57" t="s">
        <v>127</v>
      </c>
      <c r="D57" t="str">
        <f>VLOOKUP(C57, '[1]VLOOKUP 함수용 카테고리'!$A$1:$B$59, 2, 0)</f>
        <v>SAUCE_SEASONING</v>
      </c>
      <c r="E57" t="s">
        <v>171</v>
      </c>
      <c r="F57" t="s">
        <v>7676</v>
      </c>
    </row>
    <row r="58" spans="1:6" x14ac:dyDescent="0.3">
      <c r="A58" t="s">
        <v>173</v>
      </c>
      <c r="B58" t="str" cm="1">
        <f t="array" ref="B58">_xlfn.XLOOKUP(C58, INDEX([1]!카테고리매핑,,2), INDEX([1]!카테고리매핑,,1), "미등록 카테고리")</f>
        <v>음료</v>
      </c>
      <c r="C58" t="s">
        <v>23</v>
      </c>
      <c r="D58" t="str">
        <f>VLOOKUP(C58, '[1]VLOOKUP 함수용 카테고리'!$A$1:$B$59, 2, 0)</f>
        <v>BEVERAGE</v>
      </c>
      <c r="E58" t="s">
        <v>24</v>
      </c>
      <c r="F58" t="s">
        <v>174</v>
      </c>
    </row>
    <row r="59" spans="1:6" x14ac:dyDescent="0.3">
      <c r="A59" t="s">
        <v>175</v>
      </c>
      <c r="B59" t="str" cm="1">
        <f t="array" ref="B59">_xlfn.XLOOKUP(C59, INDEX([1]!카테고리매핑,,2), INDEX([1]!카테고리매핑,,1), "미등록 카테고리")</f>
        <v>육류/계란</v>
      </c>
      <c r="C59" t="s">
        <v>105</v>
      </c>
      <c r="D59" t="str">
        <f>VLOOKUP(C59, '[1]VLOOKUP 함수용 카테고리'!$A$1:$B$59, 2, 0)</f>
        <v>RAW_MEAT</v>
      </c>
      <c r="E59" t="s">
        <v>176</v>
      </c>
      <c r="F59" t="s">
        <v>177</v>
      </c>
    </row>
    <row r="60" spans="1:6" x14ac:dyDescent="0.3">
      <c r="A60" t="s">
        <v>178</v>
      </c>
      <c r="B60" t="str" cm="1">
        <f t="array" ref="B60">_xlfn.XLOOKUP(C60, INDEX([1]!카테고리매핑,,2), INDEX([1]!카테고리매핑,,1), "미등록 카테고리")</f>
        <v>간식류</v>
      </c>
      <c r="C60" t="s">
        <v>38</v>
      </c>
      <c r="D60" t="str">
        <f>VLOOKUP(C60, '[1]VLOOKUP 함수용 카테고리'!$A$1:$B$59, 2, 0)</f>
        <v>SNACK</v>
      </c>
      <c r="E60" t="s">
        <v>179</v>
      </c>
      <c r="F60" t="s">
        <v>180</v>
      </c>
    </row>
    <row r="61" spans="1:6" x14ac:dyDescent="0.3">
      <c r="A61" t="s">
        <v>181</v>
      </c>
      <c r="B61" t="str" cm="1">
        <f t="array" ref="B61">_xlfn.XLOOKUP(C61, INDEX([1]!카테고리매핑,,2), INDEX([1]!카테고리매핑,,1), "미등록 카테고리")</f>
        <v>조미료</v>
      </c>
      <c r="C61" t="s">
        <v>127</v>
      </c>
      <c r="D61" t="str">
        <f>VLOOKUP(C61, '[1]VLOOKUP 함수용 카테고리'!$A$1:$B$59, 2, 0)</f>
        <v>SAUCE_SEASONING</v>
      </c>
      <c r="E61" t="s">
        <v>128</v>
      </c>
      <c r="F61" t="s">
        <v>182</v>
      </c>
    </row>
    <row r="62" spans="1:6" x14ac:dyDescent="0.3">
      <c r="A62" t="s">
        <v>7674</v>
      </c>
      <c r="B62" t="str" cm="1">
        <f t="array" ref="B62">_xlfn.XLOOKUP(C62, INDEX([1]!카테고리매핑,,2), INDEX([1]!카테고리매핑,,1), "미등록 카테고리")</f>
        <v>수산물</v>
      </c>
      <c r="C62" t="s">
        <v>183</v>
      </c>
      <c r="D62" t="str">
        <f>VLOOKUP(C62, '[1]VLOOKUP 함수용 카테고리'!$A$1:$B$59, 2, 0)</f>
        <v>DRIED_SEAFOOD</v>
      </c>
      <c r="E62" t="s">
        <v>184</v>
      </c>
      <c r="F62" t="s">
        <v>7675</v>
      </c>
    </row>
    <row r="63" spans="1:6" x14ac:dyDescent="0.3">
      <c r="A63" t="s">
        <v>185</v>
      </c>
      <c r="B63" t="str" cm="1">
        <f t="array" ref="B63">_xlfn.XLOOKUP(C63, INDEX([1]!카테고리매핑,,2), INDEX([1]!카테고리매핑,,1), "미등록 카테고리")</f>
        <v>간편식</v>
      </c>
      <c r="C63" t="s">
        <v>46</v>
      </c>
      <c r="D63" t="str">
        <f>VLOOKUP(C63, '[1]VLOOKUP 함수용 카테고리'!$A$1:$B$59, 2, 0)</f>
        <v>RTC_MEAL</v>
      </c>
      <c r="E63" t="s">
        <v>46</v>
      </c>
      <c r="F63" t="s">
        <v>186</v>
      </c>
    </row>
    <row r="64" spans="1:6" x14ac:dyDescent="0.3">
      <c r="A64" t="s">
        <v>187</v>
      </c>
      <c r="B64" t="str" cm="1">
        <f t="array" ref="B64">_xlfn.XLOOKUP(C64, INDEX([1]!카테고리매핑,,2), INDEX([1]!카테고리매핑,,1), "미등록 카테고리")</f>
        <v>채소/곡물류</v>
      </c>
      <c r="C64" t="s">
        <v>7</v>
      </c>
      <c r="D64" t="str">
        <f>VLOOKUP(C64, '[1]VLOOKUP 함수용 카테고리'!$A$1:$B$59, 2, 0)</f>
        <v>RAW_PRODUCE</v>
      </c>
      <c r="E64" t="s">
        <v>188</v>
      </c>
    </row>
    <row r="65" spans="1:6" x14ac:dyDescent="0.3">
      <c r="A65" t="s">
        <v>189</v>
      </c>
      <c r="B65" t="str" cm="1">
        <f t="array" ref="B65">_xlfn.XLOOKUP(C65, INDEX([1]!카테고리매핑,,2), INDEX([1]!카테고리매핑,,1), "미등록 카테고리")</f>
        <v>유제품</v>
      </c>
      <c r="C65" t="s">
        <v>123</v>
      </c>
      <c r="D65" t="str">
        <f>VLOOKUP(C65, '[1]VLOOKUP 함수용 카테고리'!$A$1:$B$59, 2, 0)</f>
        <v>DAIRY</v>
      </c>
      <c r="E65" t="s">
        <v>190</v>
      </c>
      <c r="F65" t="s">
        <v>191</v>
      </c>
    </row>
    <row r="66" spans="1:6" x14ac:dyDescent="0.3">
      <c r="A66" t="s">
        <v>192</v>
      </c>
      <c r="B66" t="str" cm="1">
        <f t="array" ref="B66">_xlfn.XLOOKUP(C66, INDEX([1]!카테고리매핑,,2), INDEX([1]!카테고리매핑,,1), "미등록 카테고리")</f>
        <v>유제품</v>
      </c>
      <c r="C66" t="s">
        <v>123</v>
      </c>
      <c r="D66" t="str">
        <f>VLOOKUP(C66, '[1]VLOOKUP 함수용 카테고리'!$A$1:$B$59, 2, 0)</f>
        <v>DAIRY</v>
      </c>
      <c r="E66" t="s">
        <v>124</v>
      </c>
      <c r="F66" t="s">
        <v>193</v>
      </c>
    </row>
    <row r="67" spans="1:6" x14ac:dyDescent="0.3">
      <c r="A67" t="s">
        <v>194</v>
      </c>
      <c r="B67" t="str" cm="1">
        <f t="array" ref="B67">_xlfn.XLOOKUP(C67, INDEX([1]!카테고리매핑,,2), INDEX([1]!카테고리매핑,,1), "미등록 카테고리")</f>
        <v>채소/곡물류</v>
      </c>
      <c r="C67" t="s">
        <v>164</v>
      </c>
      <c r="D67" t="str">
        <f>VLOOKUP(C67, '[1]VLOOKUP 함수용 카테고리'!$A$1:$B$59, 2, 0)</f>
        <v>RAW_PRODUCE</v>
      </c>
      <c r="E67" t="s">
        <v>195</v>
      </c>
    </row>
    <row r="68" spans="1:6" x14ac:dyDescent="0.3">
      <c r="A68" t="s">
        <v>196</v>
      </c>
      <c r="B68" t="str" cm="1">
        <f t="array" ref="B68">_xlfn.XLOOKUP(C68, INDEX([1]!카테고리매핑,,2), INDEX([1]!카테고리매핑,,1), "미등록 카테고리")</f>
        <v>간식류</v>
      </c>
      <c r="C68" t="s">
        <v>11</v>
      </c>
      <c r="D68" t="str">
        <f>VLOOKUP(C68, '[1]VLOOKUP 함수용 카테고리'!$A$1:$B$59, 2, 0)</f>
        <v>SNACK</v>
      </c>
      <c r="E68" t="s">
        <v>197</v>
      </c>
      <c r="F68" t="s">
        <v>198</v>
      </c>
    </row>
    <row r="69" spans="1:6" x14ac:dyDescent="0.3">
      <c r="A69" t="s">
        <v>199</v>
      </c>
      <c r="B69" t="str" cm="1">
        <f t="array" ref="B69">_xlfn.XLOOKUP(C69, INDEX([1]!카테고리매핑,,2), INDEX([1]!카테고리매핑,,1), "미등록 카테고리")</f>
        <v>간식류</v>
      </c>
      <c r="C69" t="s">
        <v>15</v>
      </c>
      <c r="D69" t="str">
        <f>VLOOKUP(C69, '[1]VLOOKUP 함수용 카테고리'!$A$1:$B$59, 2, 0)</f>
        <v>BAKERY</v>
      </c>
      <c r="E69" t="s">
        <v>200</v>
      </c>
      <c r="F69" t="s">
        <v>201</v>
      </c>
    </row>
    <row r="70" spans="1:6" x14ac:dyDescent="0.3">
      <c r="A70" t="s">
        <v>202</v>
      </c>
      <c r="B70" t="str" cm="1">
        <f t="array" ref="B70">_xlfn.XLOOKUP(C70, INDEX([1]!카테고리매핑,,2), INDEX([1]!카테고리매핑,,1), "미등록 카테고리")</f>
        <v>수산물</v>
      </c>
      <c r="C70" t="s">
        <v>203</v>
      </c>
      <c r="D70" t="str">
        <f>VLOOKUP(C70, '[1]VLOOKUP 함수용 카테고리'!$A$1:$B$59, 2, 0)</f>
        <v>RAW_SEAFOOD</v>
      </c>
      <c r="E70" t="s">
        <v>204</v>
      </c>
      <c r="F70" t="s">
        <v>205</v>
      </c>
    </row>
    <row r="71" spans="1:6" x14ac:dyDescent="0.3">
      <c r="A71" t="s">
        <v>206</v>
      </c>
      <c r="B71" t="str" cm="1">
        <f t="array" ref="B71">_xlfn.XLOOKUP(C71, INDEX([1]!카테고리매핑,,2), INDEX([1]!카테고리매핑,,1), "미등록 카테고리")</f>
        <v>채소/곡물류</v>
      </c>
      <c r="C71" t="s">
        <v>207</v>
      </c>
      <c r="D71" t="str">
        <f>VLOOKUP(C71, '[1]VLOOKUP 함수용 카테고리'!$A$1:$B$59, 2, 0)</f>
        <v>GRAIN</v>
      </c>
      <c r="E71" t="s">
        <v>208</v>
      </c>
      <c r="F71" t="s">
        <v>209</v>
      </c>
    </row>
    <row r="72" spans="1:6" x14ac:dyDescent="0.3">
      <c r="A72" t="s">
        <v>210</v>
      </c>
      <c r="B72" t="str" cm="1">
        <f t="array" ref="B72">_xlfn.XLOOKUP(C72, INDEX([1]!카테고리매핑,,2), INDEX([1]!카테고리매핑,,1), "미등록 카테고리")</f>
        <v>유제품</v>
      </c>
      <c r="C72" t="s">
        <v>211</v>
      </c>
      <c r="D72" t="str">
        <f>VLOOKUP(C72, '[1]VLOOKUP 함수용 카테고리'!$A$1:$B$59, 2, 0)</f>
        <v>DAIRY</v>
      </c>
      <c r="E72" t="s">
        <v>212</v>
      </c>
      <c r="F72" t="s">
        <v>191</v>
      </c>
    </row>
    <row r="73" spans="1:6" x14ac:dyDescent="0.3">
      <c r="A73" t="s">
        <v>213</v>
      </c>
      <c r="B73" t="str" cm="1">
        <f t="array" ref="B73">_xlfn.XLOOKUP(C73, INDEX([1]!카테고리매핑,,2), INDEX([1]!카테고리매핑,,1), "미등록 카테고리")</f>
        <v>간식류</v>
      </c>
      <c r="C73" t="s">
        <v>11</v>
      </c>
      <c r="D73" t="str">
        <f>VLOOKUP(C73, '[1]VLOOKUP 함수용 카테고리'!$A$1:$B$59, 2, 0)</f>
        <v>SNACK</v>
      </c>
      <c r="E73" t="s">
        <v>214</v>
      </c>
      <c r="F73" t="s">
        <v>215</v>
      </c>
    </row>
    <row r="74" spans="1:6" x14ac:dyDescent="0.3">
      <c r="A74" t="s">
        <v>216</v>
      </c>
      <c r="B74" t="str" cm="1">
        <f t="array" ref="B74">_xlfn.XLOOKUP(C74, INDEX([1]!카테고리매핑,,2), INDEX([1]!카테고리매핑,,1), "미등록 카테고리")</f>
        <v>간식류</v>
      </c>
      <c r="C74" t="s">
        <v>109</v>
      </c>
      <c r="D74" t="str">
        <f>VLOOKUP(C74, '[1]VLOOKUP 함수용 카테고리'!$A$1:$B$59, 2, 0)</f>
        <v>SNACK</v>
      </c>
      <c r="E74" t="s">
        <v>217</v>
      </c>
      <c r="F74" t="s">
        <v>218</v>
      </c>
    </row>
    <row r="75" spans="1:6" x14ac:dyDescent="0.3">
      <c r="A75" t="s">
        <v>219</v>
      </c>
      <c r="B75" t="str" cm="1">
        <f t="array" ref="B75">_xlfn.XLOOKUP(C75, INDEX([1]!카테고리매핑,,2), INDEX([1]!카테고리매핑,,1), "미등록 카테고리")</f>
        <v>채소/곡물류</v>
      </c>
      <c r="C75" t="s">
        <v>27</v>
      </c>
      <c r="D75" t="str">
        <f>VLOOKUP(C75, '[1]VLOOKUP 함수용 카테고리'!$A$1:$B$59, 2, 0)</f>
        <v>SIMPLE_PROCESSED</v>
      </c>
      <c r="E75" t="s">
        <v>220</v>
      </c>
      <c r="F75" t="s">
        <v>221</v>
      </c>
    </row>
    <row r="76" spans="1:6" x14ac:dyDescent="0.3">
      <c r="A76" t="s">
        <v>222</v>
      </c>
      <c r="B76" t="str" cm="1">
        <f t="array" ref="B76">_xlfn.XLOOKUP(C76, INDEX([1]!카테고리매핑,,2), INDEX([1]!카테고리매핑,,1), "미등록 카테고리")</f>
        <v>조미료</v>
      </c>
      <c r="C76" t="s">
        <v>127</v>
      </c>
      <c r="D76" t="str">
        <f>VLOOKUP(C76, '[1]VLOOKUP 함수용 카테고리'!$A$1:$B$59, 2, 0)</f>
        <v>SAUCE_SEASONING</v>
      </c>
      <c r="E76" t="s">
        <v>223</v>
      </c>
      <c r="F76" t="s">
        <v>224</v>
      </c>
    </row>
    <row r="77" spans="1:6" x14ac:dyDescent="0.3">
      <c r="A77" t="s">
        <v>225</v>
      </c>
      <c r="B77" t="str" cm="1">
        <f t="array" ref="B77">_xlfn.XLOOKUP(C77, INDEX([1]!카테고리매핑,,2), INDEX([1]!카테고리매핑,,1), "미등록 카테고리")</f>
        <v>간식류</v>
      </c>
      <c r="C77" t="s">
        <v>63</v>
      </c>
      <c r="D77" t="str">
        <f>VLOOKUP(C77, '[1]VLOOKUP 함수용 카테고리'!$A$1:$B$59, 2, 0)</f>
        <v>BAKERY</v>
      </c>
      <c r="E77" t="s">
        <v>226</v>
      </c>
      <c r="F77" t="s">
        <v>227</v>
      </c>
    </row>
    <row r="78" spans="1:6" x14ac:dyDescent="0.3">
      <c r="A78" t="s">
        <v>228</v>
      </c>
      <c r="B78" t="str" cm="1">
        <f t="array" ref="B78">_xlfn.XLOOKUP(C78, INDEX([1]!카테고리매핑,,2), INDEX([1]!카테고리매핑,,1), "미등록 카테고리")</f>
        <v>수산물</v>
      </c>
      <c r="C78" t="s">
        <v>229</v>
      </c>
      <c r="D78" t="str">
        <f>VLOOKUP(C78, '[1]VLOOKUP 함수용 카테고리'!$A$1:$B$59, 2, 0)</f>
        <v>RAW_SEAFOOD</v>
      </c>
      <c r="E78" t="s">
        <v>230</v>
      </c>
      <c r="F78" t="s">
        <v>231</v>
      </c>
    </row>
    <row r="79" spans="1:6" x14ac:dyDescent="0.3">
      <c r="A79" t="s">
        <v>232</v>
      </c>
      <c r="B79" t="str" cm="1">
        <f t="array" ref="B79">_xlfn.XLOOKUP(C79, INDEX([1]!카테고리매핑,,2), INDEX([1]!카테고리매핑,,1), "미등록 카테고리")</f>
        <v>조미료</v>
      </c>
      <c r="C79" t="s">
        <v>117</v>
      </c>
      <c r="D79" t="str">
        <f>VLOOKUP(C79, '[1]VLOOKUP 함수용 카테고리'!$A$1:$B$59, 2, 0)</f>
        <v>SAUCE_SEASONING</v>
      </c>
      <c r="E79" t="s">
        <v>233</v>
      </c>
      <c r="F79" t="s">
        <v>234</v>
      </c>
    </row>
    <row r="80" spans="1:6" x14ac:dyDescent="0.3">
      <c r="A80" t="s">
        <v>235</v>
      </c>
      <c r="B80" t="str" cm="1">
        <f t="array" ref="B80">_xlfn.XLOOKUP(C80, INDEX([1]!카테고리매핑,,2), INDEX([1]!카테고리매핑,,1), "미등록 카테고리")</f>
        <v>간편식</v>
      </c>
      <c r="C80" t="s">
        <v>131</v>
      </c>
      <c r="D80" t="str">
        <f>VLOOKUP(C80, '[1]VLOOKUP 함수용 카테고리'!$A$1:$B$59, 2, 0)</f>
        <v>SIMPLE_PROCESSED</v>
      </c>
      <c r="E80" t="s">
        <v>236</v>
      </c>
      <c r="F80" t="s">
        <v>237</v>
      </c>
    </row>
    <row r="81" spans="1:6" x14ac:dyDescent="0.3">
      <c r="A81" t="s">
        <v>238</v>
      </c>
      <c r="B81" t="str" cm="1">
        <f t="array" ref="B81">_xlfn.XLOOKUP(C81, INDEX([1]!카테고리매핑,,2), INDEX([1]!카테고리매핑,,1), "미등록 카테고리")</f>
        <v>유제품</v>
      </c>
      <c r="C81" t="s">
        <v>123</v>
      </c>
      <c r="D81" t="str">
        <f>VLOOKUP(C81, '[1]VLOOKUP 함수용 카테고리'!$A$1:$B$59, 2, 0)</f>
        <v>DAIRY</v>
      </c>
      <c r="E81" t="s">
        <v>239</v>
      </c>
      <c r="F81" t="s">
        <v>240</v>
      </c>
    </row>
    <row r="82" spans="1:6" x14ac:dyDescent="0.3">
      <c r="A82" t="s">
        <v>241</v>
      </c>
      <c r="B82" t="str" cm="1">
        <f t="array" ref="B82">_xlfn.XLOOKUP(C82, INDEX([1]!카테고리매핑,,2), INDEX([1]!카테고리매핑,,1), "미등록 카테고리")</f>
        <v>음료</v>
      </c>
      <c r="C82" t="s">
        <v>242</v>
      </c>
      <c r="D82" t="str">
        <f>VLOOKUP(C82, '[1]VLOOKUP 함수용 카테고리'!$A$1:$B$59, 2, 0)</f>
        <v>BEVERAGE</v>
      </c>
      <c r="E82" t="s">
        <v>243</v>
      </c>
      <c r="F82" t="s">
        <v>7677</v>
      </c>
    </row>
    <row r="83" spans="1:6" x14ac:dyDescent="0.3">
      <c r="A83" t="s">
        <v>244</v>
      </c>
      <c r="B83" t="str" cm="1">
        <f t="array" ref="B83">_xlfn.XLOOKUP(C83, INDEX([1]!카테고리매핑,,2), INDEX([1]!카테고리매핑,,1), "미등록 카테고리")</f>
        <v>간편식</v>
      </c>
      <c r="C83" t="s">
        <v>19</v>
      </c>
      <c r="D83" t="str">
        <f>VLOOKUP(C83, '[1]VLOOKUP 함수용 카테고리'!$A$1:$B$59, 2, 0)</f>
        <v>FROZEN_MEAL</v>
      </c>
      <c r="E83" t="s">
        <v>245</v>
      </c>
      <c r="F83" t="s">
        <v>246</v>
      </c>
    </row>
    <row r="84" spans="1:6" x14ac:dyDescent="0.3">
      <c r="A84" t="s">
        <v>247</v>
      </c>
      <c r="B84" t="str" cm="1">
        <f t="array" ref="B84">_xlfn.XLOOKUP(C84, INDEX([1]!카테고리매핑,,2), INDEX([1]!카테고리매핑,,1), "미등록 카테고리")</f>
        <v>조미료</v>
      </c>
      <c r="C84" t="s">
        <v>127</v>
      </c>
      <c r="D84" t="str">
        <f>VLOOKUP(C84, '[1]VLOOKUP 함수용 카테고리'!$A$1:$B$59, 2, 0)</f>
        <v>SAUCE_SEASONING</v>
      </c>
      <c r="E84" t="s">
        <v>248</v>
      </c>
      <c r="F84" t="s">
        <v>249</v>
      </c>
    </row>
    <row r="85" spans="1:6" x14ac:dyDescent="0.3">
      <c r="A85" t="s">
        <v>250</v>
      </c>
      <c r="B85" t="str" cm="1">
        <f t="array" ref="B85">_xlfn.XLOOKUP(C85, INDEX([1]!카테고리매핑,,2), INDEX([1]!카테고리매핑,,1), "미등록 카테고리")</f>
        <v>간식류</v>
      </c>
      <c r="C85" t="s">
        <v>11</v>
      </c>
      <c r="D85" t="str">
        <f>VLOOKUP(C85, '[1]VLOOKUP 함수용 카테고리'!$A$1:$B$59, 2, 0)</f>
        <v>SNACK</v>
      </c>
      <c r="E85" t="s">
        <v>251</v>
      </c>
      <c r="F85" t="s">
        <v>7678</v>
      </c>
    </row>
    <row r="86" spans="1:6" x14ac:dyDescent="0.3">
      <c r="A86" t="s">
        <v>252</v>
      </c>
      <c r="B86" t="str" cm="1">
        <f t="array" ref="B86">_xlfn.XLOOKUP(C86, INDEX([1]!카테고리매핑,,2), INDEX([1]!카테고리매핑,,1), "미등록 카테고리")</f>
        <v>육류/계란</v>
      </c>
      <c r="C86" t="s">
        <v>149</v>
      </c>
      <c r="D86" t="str">
        <f>VLOOKUP(C86, '[1]VLOOKUP 함수용 카테고리'!$A$1:$B$59, 2, 0)</f>
        <v>RAW_MEAT</v>
      </c>
      <c r="E86" t="s">
        <v>253</v>
      </c>
      <c r="F86" t="s">
        <v>254</v>
      </c>
    </row>
    <row r="87" spans="1:6" x14ac:dyDescent="0.3">
      <c r="A87" t="s">
        <v>255</v>
      </c>
      <c r="B87" t="str" cm="1">
        <f t="array" ref="B87">_xlfn.XLOOKUP(C87, INDEX([1]!카테고리매핑,,2), INDEX([1]!카테고리매핑,,1), "미등록 카테고리")</f>
        <v>간편식</v>
      </c>
      <c r="C87" t="s">
        <v>256</v>
      </c>
      <c r="D87" t="str">
        <f>VLOOKUP(C87, '[1]VLOOKUP 함수용 카테고리'!$A$1:$B$59, 2, 0)</f>
        <v>RTC_MEAL</v>
      </c>
      <c r="E87" t="s">
        <v>256</v>
      </c>
      <c r="F87" t="s">
        <v>257</v>
      </c>
    </row>
    <row r="88" spans="1:6" x14ac:dyDescent="0.3">
      <c r="A88" t="s">
        <v>258</v>
      </c>
      <c r="B88" t="str" cm="1">
        <f t="array" ref="B88">_xlfn.XLOOKUP(C88, INDEX([1]!카테고리매핑,,2), INDEX([1]!카테고리매핑,,1), "미등록 카테고리")</f>
        <v>조미료</v>
      </c>
      <c r="C88" t="s">
        <v>127</v>
      </c>
      <c r="D88" t="str">
        <f>VLOOKUP(C88, '[1]VLOOKUP 함수용 카테고리'!$A$1:$B$59, 2, 0)</f>
        <v>SAUCE_SEASONING</v>
      </c>
      <c r="E88" t="s">
        <v>259</v>
      </c>
    </row>
    <row r="89" spans="1:6" x14ac:dyDescent="0.3">
      <c r="A89" t="s">
        <v>260</v>
      </c>
      <c r="B89" t="str" cm="1">
        <f t="array" ref="B89">_xlfn.XLOOKUP(C89, INDEX([1]!카테고리매핑,,2), INDEX([1]!카테고리매핑,,1), "미등록 카테고리")</f>
        <v>채소/곡물류</v>
      </c>
      <c r="C89" t="s">
        <v>7</v>
      </c>
      <c r="D89" t="str">
        <f>VLOOKUP(C89, '[1]VLOOKUP 함수용 카테고리'!$A$1:$B$59, 2, 0)</f>
        <v>RAW_PRODUCE</v>
      </c>
      <c r="E89" t="s">
        <v>261</v>
      </c>
    </row>
    <row r="90" spans="1:6" x14ac:dyDescent="0.3">
      <c r="A90" t="s">
        <v>262</v>
      </c>
      <c r="B90" t="str" cm="1">
        <f t="array" ref="B90">_xlfn.XLOOKUP(C90, INDEX([1]!카테고리매핑,,2), INDEX([1]!카테고리매핑,,1), "미등록 카테고리")</f>
        <v>수산물</v>
      </c>
      <c r="C90" t="s">
        <v>263</v>
      </c>
      <c r="D90" t="str">
        <f>VLOOKUP(C90, '[1]VLOOKUP 함수용 카테고리'!$A$1:$B$59, 2, 0)</f>
        <v>RAW_SEAFOOD</v>
      </c>
      <c r="E90" t="s">
        <v>264</v>
      </c>
    </row>
    <row r="91" spans="1:6" x14ac:dyDescent="0.3">
      <c r="A91" t="s">
        <v>265</v>
      </c>
      <c r="B91" t="str" cm="1">
        <f t="array" ref="B91">_xlfn.XLOOKUP(C91, INDEX([1]!카테고리매핑,,2), INDEX([1]!카테고리매핑,,1), "미등록 카테고리")</f>
        <v>육류/계란</v>
      </c>
      <c r="C91" t="s">
        <v>149</v>
      </c>
      <c r="D91" t="str">
        <f>VLOOKUP(C91, '[1]VLOOKUP 함수용 카테고리'!$A$1:$B$59, 2, 0)</f>
        <v>RAW_MEAT</v>
      </c>
      <c r="E91" t="s">
        <v>266</v>
      </c>
      <c r="F91" t="s">
        <v>267</v>
      </c>
    </row>
    <row r="92" spans="1:6" x14ac:dyDescent="0.3">
      <c r="A92" t="s">
        <v>268</v>
      </c>
      <c r="B92" t="str" cm="1">
        <f t="array" ref="B92">_xlfn.XLOOKUP(C92, INDEX([1]!카테고리매핑,,2), INDEX([1]!카테고리매핑,,1), "미등록 카테고리")</f>
        <v>조미료</v>
      </c>
      <c r="C92" t="s">
        <v>127</v>
      </c>
      <c r="D92" t="str">
        <f>VLOOKUP(C92, '[1]VLOOKUP 함수용 카테고리'!$A$1:$B$59, 2, 0)</f>
        <v>SAUCE_SEASONING</v>
      </c>
      <c r="E92" t="s">
        <v>171</v>
      </c>
      <c r="F92" t="s">
        <v>269</v>
      </c>
    </row>
    <row r="93" spans="1:6" x14ac:dyDescent="0.3">
      <c r="A93" t="s">
        <v>270</v>
      </c>
      <c r="B93" t="str" cm="1">
        <f t="array" ref="B93">_xlfn.XLOOKUP(C93, INDEX([1]!카테고리매핑,,2), INDEX([1]!카테고리매핑,,1), "미등록 카테고리")</f>
        <v>간편식</v>
      </c>
      <c r="C93" t="s">
        <v>167</v>
      </c>
      <c r="D93" t="str">
        <f>VLOOKUP(C93, '[1]VLOOKUP 함수용 카테고리'!$A$1:$B$59, 2, 0)</f>
        <v>INSTANT</v>
      </c>
      <c r="E93" t="s">
        <v>271</v>
      </c>
      <c r="F93" t="s">
        <v>7679</v>
      </c>
    </row>
    <row r="94" spans="1:6" x14ac:dyDescent="0.3">
      <c r="A94" t="s">
        <v>272</v>
      </c>
      <c r="B94" t="str" cm="1">
        <f t="array" ref="B94">_xlfn.XLOOKUP(C94, INDEX([1]!카테고리매핑,,2), INDEX([1]!카테고리매핑,,1), "미등록 카테고리")</f>
        <v>유제품</v>
      </c>
      <c r="C94" t="s">
        <v>98</v>
      </c>
      <c r="D94" t="str">
        <f>VLOOKUP(C94, '[1]VLOOKUP 함수용 카테고리'!$A$1:$B$59, 2, 0)</f>
        <v>DAIRY</v>
      </c>
      <c r="E94" t="s">
        <v>273</v>
      </c>
      <c r="F94" t="s">
        <v>274</v>
      </c>
    </row>
    <row r="95" spans="1:6" x14ac:dyDescent="0.3">
      <c r="A95" t="s">
        <v>275</v>
      </c>
      <c r="B95" t="str" cm="1">
        <f t="array" ref="B95">_xlfn.XLOOKUP(C95, INDEX([1]!카테고리매핑,,2), INDEX([1]!카테고리매핑,,1), "미등록 카테고리")</f>
        <v>상온식품</v>
      </c>
      <c r="C95" t="s">
        <v>276</v>
      </c>
      <c r="D95" t="str">
        <f>VLOOKUP(C95, '[1]VLOOKUP 함수용 카테고리'!$A$1:$B$59, 2, 0)</f>
        <v>DRIED_SEAFOOD</v>
      </c>
      <c r="E95" t="s">
        <v>277</v>
      </c>
      <c r="F95" t="s">
        <v>278</v>
      </c>
    </row>
    <row r="96" spans="1:6" x14ac:dyDescent="0.3">
      <c r="A96" t="s">
        <v>279</v>
      </c>
      <c r="B96" t="str" cm="1">
        <f t="array" ref="B96">_xlfn.XLOOKUP(C96, INDEX([1]!카테고리매핑,,2), INDEX([1]!카테고리매핑,,1), "미등록 카테고리")</f>
        <v>술</v>
      </c>
      <c r="C96" t="s">
        <v>42</v>
      </c>
      <c r="D96" t="str">
        <f>VLOOKUP(C96, '[1]VLOOKUP 함수용 카테고리'!$A$1:$B$59, 2, 0)</f>
        <v>ALCOHOL</v>
      </c>
      <c r="E96" t="s">
        <v>144</v>
      </c>
    </row>
    <row r="97" spans="1:6" x14ac:dyDescent="0.3">
      <c r="A97" t="s">
        <v>281</v>
      </c>
      <c r="B97" t="str" cm="1">
        <f t="array" ref="B97">_xlfn.XLOOKUP(C97, INDEX([1]!카테고리매핑,,2), INDEX([1]!카테고리매핑,,1), "미등록 카테고리")</f>
        <v>육류/계란</v>
      </c>
      <c r="C97" t="s">
        <v>149</v>
      </c>
      <c r="D97" t="str">
        <f>VLOOKUP(C97, '[1]VLOOKUP 함수용 카테고리'!$A$1:$B$59, 2, 0)</f>
        <v>RAW_MEAT</v>
      </c>
      <c r="E97" t="s">
        <v>253</v>
      </c>
      <c r="F97" t="s">
        <v>282</v>
      </c>
    </row>
    <row r="98" spans="1:6" x14ac:dyDescent="0.3">
      <c r="A98" t="s">
        <v>283</v>
      </c>
      <c r="B98" t="str" cm="1">
        <f t="array" ref="B98">_xlfn.XLOOKUP(C98, INDEX([1]!카테고리매핑,,2), INDEX([1]!카테고리매핑,,1), "미등록 카테고리")</f>
        <v>간편식</v>
      </c>
      <c r="C98" t="s">
        <v>131</v>
      </c>
      <c r="D98" t="str">
        <f>VLOOKUP(C98, '[1]VLOOKUP 함수용 카테고리'!$A$1:$B$59, 2, 0)</f>
        <v>SIMPLE_PROCESSED</v>
      </c>
      <c r="E98" t="s">
        <v>284</v>
      </c>
      <c r="F98" t="s">
        <v>285</v>
      </c>
    </row>
    <row r="99" spans="1:6" x14ac:dyDescent="0.3">
      <c r="A99" t="s">
        <v>286</v>
      </c>
      <c r="B99" t="str" cm="1">
        <f t="array" ref="B99">_xlfn.XLOOKUP(C99, INDEX([1]!카테고리매핑,,2), INDEX([1]!카테고리매핑,,1), "미등록 카테고리")</f>
        <v>간편식</v>
      </c>
      <c r="C99" t="s">
        <v>256</v>
      </c>
      <c r="D99" t="str">
        <f>VLOOKUP(C99, '[1]VLOOKUP 함수용 카테고리'!$A$1:$B$59, 2, 0)</f>
        <v>RTC_MEAL</v>
      </c>
      <c r="E99" t="s">
        <v>256</v>
      </c>
      <c r="F99" t="s">
        <v>257</v>
      </c>
    </row>
    <row r="100" spans="1:6" x14ac:dyDescent="0.3">
      <c r="A100" t="s">
        <v>287</v>
      </c>
      <c r="B100" t="str" cm="1">
        <f t="array" ref="B100">_xlfn.XLOOKUP(C100, INDEX([1]!카테고리매핑,,2), INDEX([1]!카테고리매핑,,1), "미등록 카테고리")</f>
        <v>음료</v>
      </c>
      <c r="C100" t="s">
        <v>23</v>
      </c>
      <c r="D100" t="str">
        <f>VLOOKUP(C100, '[1]VLOOKUP 함수용 카테고리'!$A$1:$B$59, 2, 0)</f>
        <v>BEVERAGE</v>
      </c>
      <c r="E100" t="s">
        <v>288</v>
      </c>
      <c r="F100" t="s">
        <v>7680</v>
      </c>
    </row>
    <row r="101" spans="1:6" x14ac:dyDescent="0.3">
      <c r="A101" t="s">
        <v>289</v>
      </c>
      <c r="B101" t="str" cm="1">
        <f t="array" ref="B101">_xlfn.XLOOKUP(C101, INDEX([1]!카테고리매핑,,2), INDEX([1]!카테고리매핑,,1), "미등록 카테고리")</f>
        <v>간식류</v>
      </c>
      <c r="C101" t="s">
        <v>15</v>
      </c>
      <c r="D101" t="str">
        <f>VLOOKUP(C101, '[1]VLOOKUP 함수용 카테고리'!$A$1:$B$59, 2, 0)</f>
        <v>BAKERY</v>
      </c>
      <c r="E101" t="s">
        <v>200</v>
      </c>
      <c r="F101" t="s">
        <v>201</v>
      </c>
    </row>
    <row r="102" spans="1:6" x14ac:dyDescent="0.3">
      <c r="A102" t="s">
        <v>290</v>
      </c>
      <c r="B102" t="str" cm="1">
        <f t="array" ref="B102">_xlfn.XLOOKUP(C102, INDEX([1]!카테고리매핑,,2), INDEX([1]!카테고리매핑,,1), "미등록 카테고리")</f>
        <v>육류/계란</v>
      </c>
      <c r="C102" t="s">
        <v>105</v>
      </c>
      <c r="D102" t="str">
        <f>VLOOKUP(C102, '[1]VLOOKUP 함수용 카테고리'!$A$1:$B$59, 2, 0)</f>
        <v>RAW_MEAT</v>
      </c>
      <c r="E102" t="s">
        <v>291</v>
      </c>
      <c r="F102" t="s">
        <v>292</v>
      </c>
    </row>
    <row r="103" spans="1:6" x14ac:dyDescent="0.3">
      <c r="A103" t="s">
        <v>293</v>
      </c>
      <c r="B103" t="str" cm="1">
        <f t="array" ref="B103">_xlfn.XLOOKUP(C103, INDEX([1]!카테고리매핑,,2), INDEX([1]!카테고리매핑,,1), "미등록 카테고리")</f>
        <v>육류/계란</v>
      </c>
      <c r="C103" t="s">
        <v>105</v>
      </c>
      <c r="D103" t="str">
        <f>VLOOKUP(C103, '[1]VLOOKUP 함수용 카테고리'!$A$1:$B$59, 2, 0)</f>
        <v>RAW_MEAT</v>
      </c>
      <c r="E103" t="s">
        <v>294</v>
      </c>
      <c r="F103" t="s">
        <v>254</v>
      </c>
    </row>
    <row r="104" spans="1:6" x14ac:dyDescent="0.3">
      <c r="A104" t="s">
        <v>295</v>
      </c>
      <c r="B104" t="str" cm="1">
        <f t="array" ref="B104">_xlfn.XLOOKUP(C104, INDEX([1]!카테고리매핑,,2), INDEX([1]!카테고리매핑,,1), "미등록 카테고리")</f>
        <v>조미료</v>
      </c>
      <c r="C104" t="s">
        <v>84</v>
      </c>
      <c r="D104" t="str">
        <f>VLOOKUP(C104, '[1]VLOOKUP 함수용 카테고리'!$A$1:$B$59, 2, 0)</f>
        <v>SAUCE_SEASONING</v>
      </c>
      <c r="E104" t="s">
        <v>90</v>
      </c>
      <c r="F104" t="s">
        <v>296</v>
      </c>
    </row>
    <row r="105" spans="1:6" x14ac:dyDescent="0.3">
      <c r="A105" t="s">
        <v>297</v>
      </c>
      <c r="B105" t="str" cm="1">
        <f t="array" ref="B105">_xlfn.XLOOKUP(C105, INDEX([1]!카테고리매핑,,2), INDEX([1]!카테고리매핑,,1), "미등록 카테고리")</f>
        <v>육류/계란</v>
      </c>
      <c r="C105" t="s">
        <v>298</v>
      </c>
      <c r="D105" t="str">
        <f>VLOOKUP(C105, '[1]VLOOKUP 함수용 카테고리'!$A$1:$B$59, 2, 0)</f>
        <v>RAW_MEAT</v>
      </c>
      <c r="E105" t="s">
        <v>298</v>
      </c>
      <c r="F105" t="s">
        <v>299</v>
      </c>
    </row>
    <row r="106" spans="1:6" x14ac:dyDescent="0.3">
      <c r="A106" t="s">
        <v>300</v>
      </c>
      <c r="B106" t="str" cm="1">
        <f t="array" ref="B106">_xlfn.XLOOKUP(C106, INDEX([1]!카테고리매핑,,2), INDEX([1]!카테고리매핑,,1), "미등록 카테고리")</f>
        <v>채소/곡물류</v>
      </c>
      <c r="C106" t="s">
        <v>301</v>
      </c>
      <c r="D106" t="str">
        <f>VLOOKUP(C106, '[1]VLOOKUP 함수용 카테고리'!$A$1:$B$59, 2, 0)</f>
        <v>GRAIN</v>
      </c>
      <c r="E106" t="s">
        <v>302</v>
      </c>
      <c r="F106" t="s">
        <v>303</v>
      </c>
    </row>
    <row r="107" spans="1:6" x14ac:dyDescent="0.3">
      <c r="A107" t="s">
        <v>304</v>
      </c>
      <c r="B107" t="str" cm="1">
        <f t="array" ref="B107">_xlfn.XLOOKUP(C107, INDEX([1]!카테고리매핑,,2), INDEX([1]!카테고리매핑,,1), "미등록 카테고리")</f>
        <v>음료</v>
      </c>
      <c r="C107" t="s">
        <v>23</v>
      </c>
      <c r="D107" t="str">
        <f>VLOOKUP(C107, '[1]VLOOKUP 함수용 카테고리'!$A$1:$B$59, 2, 0)</f>
        <v>BEVERAGE</v>
      </c>
      <c r="E107" t="s">
        <v>305</v>
      </c>
      <c r="F107" t="s">
        <v>306</v>
      </c>
    </row>
    <row r="108" spans="1:6" x14ac:dyDescent="0.3">
      <c r="A108" t="s">
        <v>307</v>
      </c>
      <c r="B108" t="str" cm="1">
        <f t="array" ref="B108">_xlfn.XLOOKUP(C108, INDEX([1]!카테고리매핑,,2), INDEX([1]!카테고리매핑,,1), "미등록 카테고리")</f>
        <v>유제품</v>
      </c>
      <c r="C108" t="s">
        <v>123</v>
      </c>
      <c r="D108" t="str">
        <f>VLOOKUP(C108, '[1]VLOOKUP 함수용 카테고리'!$A$1:$B$59, 2, 0)</f>
        <v>DAIRY</v>
      </c>
      <c r="E108" t="s">
        <v>308</v>
      </c>
      <c r="F108" t="s">
        <v>7681</v>
      </c>
    </row>
    <row r="109" spans="1:6" x14ac:dyDescent="0.3">
      <c r="A109" t="s">
        <v>309</v>
      </c>
      <c r="B109" t="str" cm="1">
        <f t="array" ref="B109">_xlfn.XLOOKUP(C109, INDEX([1]!카테고리매핑,,2), INDEX([1]!카테고리매핑,,1), "미등록 카테고리")</f>
        <v>조미료</v>
      </c>
      <c r="C109" t="s">
        <v>84</v>
      </c>
      <c r="D109" t="str">
        <f>VLOOKUP(C109, '[1]VLOOKUP 함수용 카테고리'!$A$1:$B$59, 2, 0)</f>
        <v>SAUCE_SEASONING</v>
      </c>
      <c r="E109" t="s">
        <v>85</v>
      </c>
      <c r="F109" t="s">
        <v>310</v>
      </c>
    </row>
    <row r="110" spans="1:6" x14ac:dyDescent="0.3">
      <c r="A110" t="s">
        <v>311</v>
      </c>
      <c r="B110" t="str" cm="1">
        <f t="array" ref="B110">_xlfn.XLOOKUP(C110, INDEX([1]!카테고리매핑,,2), INDEX([1]!카테고리매핑,,1), "미등록 카테고리")</f>
        <v>수산물</v>
      </c>
      <c r="C110" t="s">
        <v>263</v>
      </c>
      <c r="D110" t="str">
        <f>VLOOKUP(C110, '[1]VLOOKUP 함수용 카테고리'!$A$1:$B$59, 2, 0)</f>
        <v>RAW_SEAFOOD</v>
      </c>
      <c r="E110" t="s">
        <v>312</v>
      </c>
      <c r="F110" t="s">
        <v>215</v>
      </c>
    </row>
    <row r="111" spans="1:6" x14ac:dyDescent="0.3">
      <c r="A111" t="s">
        <v>313</v>
      </c>
      <c r="B111" t="str" cm="1">
        <f t="array" ref="B111">_xlfn.XLOOKUP(C111, INDEX([1]!카테고리매핑,,2), INDEX([1]!카테고리매핑,,1), "미등록 카테고리")</f>
        <v>간식류</v>
      </c>
      <c r="C111" t="s">
        <v>15</v>
      </c>
      <c r="D111" t="str">
        <f>VLOOKUP(C111, '[1]VLOOKUP 함수용 카테고리'!$A$1:$B$59, 2, 0)</f>
        <v>BAKERY</v>
      </c>
      <c r="E111" t="s">
        <v>53</v>
      </c>
      <c r="F111" t="s">
        <v>314</v>
      </c>
    </row>
    <row r="112" spans="1:6" x14ac:dyDescent="0.3">
      <c r="A112" t="s">
        <v>315</v>
      </c>
      <c r="B112" t="str" cm="1">
        <f t="array" ref="B112">_xlfn.XLOOKUP(C112, INDEX([1]!카테고리매핑,,2), INDEX([1]!카테고리매핑,,1), "미등록 카테고리")</f>
        <v>조미료</v>
      </c>
      <c r="C112" t="s">
        <v>127</v>
      </c>
      <c r="D112" t="str">
        <f>VLOOKUP(C112, '[1]VLOOKUP 함수용 카테고리'!$A$1:$B$59, 2, 0)</f>
        <v>SAUCE_SEASONING</v>
      </c>
      <c r="E112" t="s">
        <v>316</v>
      </c>
      <c r="F112" t="s">
        <v>317</v>
      </c>
    </row>
    <row r="113" spans="1:6" x14ac:dyDescent="0.3">
      <c r="A113" t="s">
        <v>318</v>
      </c>
      <c r="B113" t="str" cm="1">
        <f t="array" ref="B113">_xlfn.XLOOKUP(C113, INDEX([1]!카테고리매핑,,2), INDEX([1]!카테고리매핑,,1), "미등록 카테고리")</f>
        <v>수산물</v>
      </c>
      <c r="C113" t="s">
        <v>229</v>
      </c>
      <c r="D113" t="str">
        <f>VLOOKUP(C113, '[1]VLOOKUP 함수용 카테고리'!$A$1:$B$59, 2, 0)</f>
        <v>RAW_SEAFOOD</v>
      </c>
      <c r="E113" t="s">
        <v>230</v>
      </c>
    </row>
    <row r="114" spans="1:6" x14ac:dyDescent="0.3">
      <c r="A114" t="s">
        <v>319</v>
      </c>
      <c r="B114" t="str" cm="1">
        <f t="array" ref="B114">_xlfn.XLOOKUP(C114, INDEX([1]!카테고리매핑,,2), INDEX([1]!카테고리매핑,,1), "미등록 카테고리")</f>
        <v>간식류</v>
      </c>
      <c r="C114" t="s">
        <v>38</v>
      </c>
      <c r="D114" t="str">
        <f>VLOOKUP(C114, '[1]VLOOKUP 함수용 카테고리'!$A$1:$B$59, 2, 0)</f>
        <v>SNACK</v>
      </c>
      <c r="E114" t="s">
        <v>320</v>
      </c>
      <c r="F114" t="s">
        <v>321</v>
      </c>
    </row>
    <row r="115" spans="1:6" x14ac:dyDescent="0.3">
      <c r="A115" t="s">
        <v>322</v>
      </c>
      <c r="B115" t="str" cm="1">
        <f t="array" ref="B115">_xlfn.XLOOKUP(C115, INDEX([1]!카테고리매핑,,2), INDEX([1]!카테고리매핑,,1), "미등록 카테고리")</f>
        <v>음료</v>
      </c>
      <c r="C115" t="s">
        <v>23</v>
      </c>
      <c r="D115" t="str">
        <f>VLOOKUP(C115, '[1]VLOOKUP 함수용 카테고리'!$A$1:$B$59, 2, 0)</f>
        <v>BEVERAGE</v>
      </c>
      <c r="E115" t="s">
        <v>323</v>
      </c>
      <c r="F115" t="s">
        <v>324</v>
      </c>
    </row>
    <row r="116" spans="1:6" x14ac:dyDescent="0.3">
      <c r="A116" t="s">
        <v>325</v>
      </c>
      <c r="B116" t="str" cm="1">
        <f t="array" ref="B116">_xlfn.XLOOKUP(C116, INDEX([1]!카테고리매핑,,2), INDEX([1]!카테고리매핑,,1), "미등록 카테고리")</f>
        <v>육류/계란</v>
      </c>
      <c r="C116" t="s">
        <v>149</v>
      </c>
      <c r="D116" t="str">
        <f>VLOOKUP(C116, '[1]VLOOKUP 함수용 카테고리'!$A$1:$B$59, 2, 0)</f>
        <v>RAW_MEAT</v>
      </c>
      <c r="E116" t="s">
        <v>326</v>
      </c>
      <c r="F116" t="s">
        <v>327</v>
      </c>
    </row>
    <row r="117" spans="1:6" x14ac:dyDescent="0.3">
      <c r="A117" t="s">
        <v>328</v>
      </c>
      <c r="B117" t="str" cm="1">
        <f t="array" ref="B117">_xlfn.XLOOKUP(C117, INDEX([1]!카테고리매핑,,2), INDEX([1]!카테고리매핑,,1), "미등록 카테고리")</f>
        <v>상온식품</v>
      </c>
      <c r="C117" t="s">
        <v>276</v>
      </c>
      <c r="D117" t="str">
        <f>VLOOKUP(C117, '[1]VLOOKUP 함수용 카테고리'!$A$1:$B$59, 2, 0)</f>
        <v>DRIED_SEAFOOD</v>
      </c>
      <c r="E117" t="s">
        <v>277</v>
      </c>
      <c r="F117" t="s">
        <v>329</v>
      </c>
    </row>
    <row r="118" spans="1:6" x14ac:dyDescent="0.3">
      <c r="A118" t="s">
        <v>330</v>
      </c>
      <c r="B118" t="str" cm="1">
        <f t="array" ref="B118">_xlfn.XLOOKUP(C118, INDEX([1]!카테고리매핑,,2), INDEX([1]!카테고리매핑,,1), "미등록 카테고리")</f>
        <v>채소/곡물류</v>
      </c>
      <c r="C118" t="s">
        <v>7</v>
      </c>
      <c r="D118" t="str">
        <f>VLOOKUP(C118, '[1]VLOOKUP 함수용 카테고리'!$A$1:$B$59, 2, 0)</f>
        <v>RAW_PRODUCE</v>
      </c>
      <c r="E118" t="s">
        <v>331</v>
      </c>
    </row>
    <row r="119" spans="1:6" x14ac:dyDescent="0.3">
      <c r="A119" t="s">
        <v>333</v>
      </c>
      <c r="B119" t="str" cm="1">
        <f t="array" ref="B119">_xlfn.XLOOKUP(C119, INDEX([1]!카테고리매핑,,2), INDEX([1]!카테고리매핑,,1), "미등록 카테고리")</f>
        <v>미등록 카테고리</v>
      </c>
      <c r="C119" t="s">
        <v>334</v>
      </c>
      <c r="D119" t="str">
        <f>VLOOKUP(C119, '[1]VLOOKUP 함수용 카테고리'!$A$1:$B$59, 2, 0)</f>
        <v>UNKNOWN</v>
      </c>
      <c r="E119" t="s">
        <v>334</v>
      </c>
      <c r="F119" t="s">
        <v>335</v>
      </c>
    </row>
    <row r="120" spans="1:6" x14ac:dyDescent="0.3">
      <c r="A120" t="s">
        <v>336</v>
      </c>
      <c r="B120" t="str" cm="1">
        <f t="array" ref="B120">_xlfn.XLOOKUP(C120, INDEX([1]!카테고리매핑,,2), INDEX([1]!카테고리매핑,,1), "미등록 카테고리")</f>
        <v>채소/곡물류</v>
      </c>
      <c r="C120" t="s">
        <v>301</v>
      </c>
      <c r="D120" t="str">
        <f>VLOOKUP(C120, '[1]VLOOKUP 함수용 카테고리'!$A$1:$B$59, 2, 0)</f>
        <v>GRAIN</v>
      </c>
      <c r="E120" t="s">
        <v>337</v>
      </c>
      <c r="F120" t="s">
        <v>338</v>
      </c>
    </row>
    <row r="121" spans="1:6" x14ac:dyDescent="0.3">
      <c r="A121" t="s">
        <v>339</v>
      </c>
      <c r="B121" t="str" cm="1">
        <f t="array" ref="B121">_xlfn.XLOOKUP(C121, INDEX([1]!카테고리매핑,,2), INDEX([1]!카테고리매핑,,1), "미등록 카테고리")</f>
        <v>조미료</v>
      </c>
      <c r="C121" t="s">
        <v>127</v>
      </c>
      <c r="D121" t="str">
        <f>VLOOKUP(C121, '[1]VLOOKUP 함수용 카테고리'!$A$1:$B$59, 2, 0)</f>
        <v>SAUCE_SEASONING</v>
      </c>
      <c r="E121" t="s">
        <v>340</v>
      </c>
      <c r="F121" t="s">
        <v>341</v>
      </c>
    </row>
    <row r="122" spans="1:6" x14ac:dyDescent="0.3">
      <c r="A122" t="s">
        <v>342</v>
      </c>
      <c r="B122" t="str" cm="1">
        <f t="array" ref="B122">_xlfn.XLOOKUP(C122, INDEX([1]!카테고리매핑,,2), INDEX([1]!카테고리매핑,,1), "미등록 카테고리")</f>
        <v>유제품</v>
      </c>
      <c r="C122" t="s">
        <v>211</v>
      </c>
      <c r="D122" t="str">
        <f>VLOOKUP(C122, '[1]VLOOKUP 함수용 카테고리'!$A$1:$B$59, 2, 0)</f>
        <v>DAIRY</v>
      </c>
      <c r="E122" t="s">
        <v>343</v>
      </c>
      <c r="F122" t="s">
        <v>193</v>
      </c>
    </row>
    <row r="123" spans="1:6" x14ac:dyDescent="0.3">
      <c r="A123" t="s">
        <v>344</v>
      </c>
      <c r="B123" t="str" cm="1">
        <f t="array" ref="B123">_xlfn.XLOOKUP(C123, INDEX([1]!카테고리매핑,,2), INDEX([1]!카테고리매핑,,1), "미등록 카테고리")</f>
        <v>간편식</v>
      </c>
      <c r="C123" t="s">
        <v>46</v>
      </c>
      <c r="D123" t="str">
        <f>VLOOKUP(C123, '[1]VLOOKUP 함수용 카테고리'!$A$1:$B$59, 2, 0)</f>
        <v>RTC_MEAL</v>
      </c>
      <c r="E123" t="s">
        <v>46</v>
      </c>
      <c r="F123" t="s">
        <v>345</v>
      </c>
    </row>
    <row r="124" spans="1:6" x14ac:dyDescent="0.3">
      <c r="A124" t="s">
        <v>346</v>
      </c>
      <c r="B124" t="str" cm="1">
        <f t="array" ref="B124">_xlfn.XLOOKUP(C124, INDEX([1]!카테고리매핑,,2), INDEX([1]!카테고리매핑,,1), "미등록 카테고리")</f>
        <v>술</v>
      </c>
      <c r="C124" t="s">
        <v>42</v>
      </c>
      <c r="D124" t="str">
        <f>VLOOKUP(C124, '[1]VLOOKUP 함수용 카테고리'!$A$1:$B$59, 2, 0)</f>
        <v>ALCOHOL</v>
      </c>
      <c r="E124" t="s">
        <v>347</v>
      </c>
    </row>
    <row r="125" spans="1:6" x14ac:dyDescent="0.3">
      <c r="A125" t="s">
        <v>348</v>
      </c>
      <c r="B125" t="str" cm="1">
        <f t="array" ref="B125">_xlfn.XLOOKUP(C125, INDEX([1]!카테고리매핑,,2), INDEX([1]!카테고리매핑,,1), "미등록 카테고리")</f>
        <v>조미료</v>
      </c>
      <c r="C125" t="s">
        <v>127</v>
      </c>
      <c r="D125" t="str">
        <f>VLOOKUP(C125, '[1]VLOOKUP 함수용 카테고리'!$A$1:$B$59, 2, 0)</f>
        <v>SAUCE_SEASONING</v>
      </c>
      <c r="E125" t="s">
        <v>349</v>
      </c>
      <c r="F125" t="s">
        <v>350</v>
      </c>
    </row>
    <row r="126" spans="1:6" x14ac:dyDescent="0.3">
      <c r="A126" t="s">
        <v>351</v>
      </c>
      <c r="B126" t="str" cm="1">
        <f t="array" ref="B126">_xlfn.XLOOKUP(C126, INDEX([1]!카테고리매핑,,2), INDEX([1]!카테고리매핑,,1), "미등록 카테고리")</f>
        <v>음료</v>
      </c>
      <c r="C126" t="s">
        <v>23</v>
      </c>
      <c r="D126" t="str">
        <f>VLOOKUP(C126, '[1]VLOOKUP 함수용 카테고리'!$A$1:$B$59, 2, 0)</f>
        <v>BEVERAGE</v>
      </c>
      <c r="E126" t="s">
        <v>352</v>
      </c>
      <c r="F126" t="s">
        <v>353</v>
      </c>
    </row>
    <row r="127" spans="1:6" x14ac:dyDescent="0.3">
      <c r="A127" t="s">
        <v>354</v>
      </c>
      <c r="B127" t="str" cm="1">
        <f t="array" ref="B127">_xlfn.XLOOKUP(C127, INDEX([1]!카테고리매핑,,2), INDEX([1]!카테고리매핑,,1), "미등록 카테고리")</f>
        <v>음료</v>
      </c>
      <c r="C127" t="s">
        <v>23</v>
      </c>
      <c r="D127" t="str">
        <f>VLOOKUP(C127, '[1]VLOOKUP 함수용 카테고리'!$A$1:$B$59, 2, 0)</f>
        <v>BEVERAGE</v>
      </c>
      <c r="E127" t="s">
        <v>355</v>
      </c>
      <c r="F127" t="s">
        <v>356</v>
      </c>
    </row>
    <row r="128" spans="1:6" x14ac:dyDescent="0.3">
      <c r="A128" t="s">
        <v>357</v>
      </c>
      <c r="B128" t="str" cm="1">
        <f t="array" ref="B128">_xlfn.XLOOKUP(C128, INDEX([1]!카테고리매핑,,2), INDEX([1]!카테고리매핑,,1), "미등록 카테고리")</f>
        <v>조미료</v>
      </c>
      <c r="C128" t="s">
        <v>127</v>
      </c>
      <c r="D128" t="str">
        <f>VLOOKUP(C128, '[1]VLOOKUP 함수용 카테고리'!$A$1:$B$59, 2, 0)</f>
        <v>SAUCE_SEASONING</v>
      </c>
      <c r="E128" t="s">
        <v>358</v>
      </c>
      <c r="F128" t="s">
        <v>359</v>
      </c>
    </row>
    <row r="129" spans="1:6" x14ac:dyDescent="0.3">
      <c r="A129" t="s">
        <v>360</v>
      </c>
      <c r="B129" t="str" cm="1">
        <f t="array" ref="B129">_xlfn.XLOOKUP(C129, INDEX([1]!카테고리매핑,,2), INDEX([1]!카테고리매핑,,1), "미등록 카테고리")</f>
        <v>간식류</v>
      </c>
      <c r="C129" t="s">
        <v>11</v>
      </c>
      <c r="D129" t="str">
        <f>VLOOKUP(C129, '[1]VLOOKUP 함수용 카테고리'!$A$1:$B$59, 2, 0)</f>
        <v>SNACK</v>
      </c>
      <c r="E129" t="s">
        <v>361</v>
      </c>
      <c r="F129" t="s">
        <v>362</v>
      </c>
    </row>
    <row r="130" spans="1:6" x14ac:dyDescent="0.3">
      <c r="A130" t="s">
        <v>363</v>
      </c>
      <c r="B130" t="str" cm="1">
        <f t="array" ref="B130">_xlfn.XLOOKUP(C130, INDEX([1]!카테고리매핑,,2), INDEX([1]!카테고리매핑,,1), "미등록 카테고리")</f>
        <v>조미료</v>
      </c>
      <c r="C130" t="s">
        <v>84</v>
      </c>
      <c r="D130" t="str">
        <f>VLOOKUP(C130, '[1]VLOOKUP 함수용 카테고리'!$A$1:$B$59, 2, 0)</f>
        <v>SAUCE_SEASONING</v>
      </c>
      <c r="E130" t="s">
        <v>364</v>
      </c>
      <c r="F130" t="s">
        <v>365</v>
      </c>
    </row>
    <row r="131" spans="1:6" x14ac:dyDescent="0.3">
      <c r="A131" t="s">
        <v>366</v>
      </c>
      <c r="B131" t="str" cm="1">
        <f t="array" ref="B131">_xlfn.XLOOKUP(C131, INDEX([1]!카테고리매핑,,2), INDEX([1]!카테고리매핑,,1), "미등록 카테고리")</f>
        <v>유제품</v>
      </c>
      <c r="C131" t="s">
        <v>123</v>
      </c>
      <c r="D131" t="str">
        <f>VLOOKUP(C131, '[1]VLOOKUP 함수용 카테고리'!$A$1:$B$59, 2, 0)</f>
        <v>DAIRY</v>
      </c>
      <c r="E131" t="s">
        <v>367</v>
      </c>
      <c r="F131" t="s">
        <v>350</v>
      </c>
    </row>
    <row r="132" spans="1:6" x14ac:dyDescent="0.3">
      <c r="A132" t="s">
        <v>368</v>
      </c>
      <c r="B132" t="str" cm="1">
        <f t="array" ref="B132">_xlfn.XLOOKUP(C132, INDEX([1]!카테고리매핑,,2), INDEX([1]!카테고리매핑,,1), "미등록 카테고리")</f>
        <v>간편식</v>
      </c>
      <c r="C132" t="s">
        <v>46</v>
      </c>
      <c r="D132" t="str">
        <f>VLOOKUP(C132, '[1]VLOOKUP 함수용 카테고리'!$A$1:$B$59, 2, 0)</f>
        <v>RTC_MEAL</v>
      </c>
      <c r="E132" t="s">
        <v>46</v>
      </c>
      <c r="F132" t="s">
        <v>369</v>
      </c>
    </row>
    <row r="133" spans="1:6" x14ac:dyDescent="0.3">
      <c r="A133" t="s">
        <v>370</v>
      </c>
      <c r="B133" t="str" cm="1">
        <f t="array" ref="B133">_xlfn.XLOOKUP(C133, INDEX([1]!카테고리매핑,,2), INDEX([1]!카테고리매핑,,1), "미등록 카테고리")</f>
        <v>간식류</v>
      </c>
      <c r="C133" t="s">
        <v>11</v>
      </c>
      <c r="D133" t="str">
        <f>VLOOKUP(C133, '[1]VLOOKUP 함수용 카테고리'!$A$1:$B$59, 2, 0)</f>
        <v>SNACK</v>
      </c>
      <c r="E133" t="s">
        <v>371</v>
      </c>
      <c r="F133" t="s">
        <v>372</v>
      </c>
    </row>
    <row r="134" spans="1:6" x14ac:dyDescent="0.3">
      <c r="A134" t="s">
        <v>373</v>
      </c>
      <c r="B134" t="str" cm="1">
        <f t="array" ref="B134">_xlfn.XLOOKUP(C134, INDEX([1]!카테고리매핑,,2), INDEX([1]!카테고리매핑,,1), "미등록 카테고리")</f>
        <v>음료</v>
      </c>
      <c r="C134" t="s">
        <v>23</v>
      </c>
      <c r="D134" t="str">
        <f>VLOOKUP(C134, '[1]VLOOKUP 함수용 카테고리'!$A$1:$B$59, 2, 0)</f>
        <v>BEVERAGE</v>
      </c>
      <c r="E134" t="s">
        <v>374</v>
      </c>
      <c r="F134" t="s">
        <v>375</v>
      </c>
    </row>
    <row r="135" spans="1:6" x14ac:dyDescent="0.3">
      <c r="A135" t="s">
        <v>376</v>
      </c>
      <c r="B135" t="str" cm="1">
        <f t="array" ref="B135">_xlfn.XLOOKUP(C135, INDEX([1]!카테고리매핑,,2), INDEX([1]!카테고리매핑,,1), "미등록 카테고리")</f>
        <v>유제품</v>
      </c>
      <c r="C135" t="s">
        <v>123</v>
      </c>
      <c r="D135" t="str">
        <f>VLOOKUP(C135, '[1]VLOOKUP 함수용 카테고리'!$A$1:$B$59, 2, 0)</f>
        <v>DAIRY</v>
      </c>
      <c r="E135" t="s">
        <v>239</v>
      </c>
      <c r="F135" t="s">
        <v>377</v>
      </c>
    </row>
    <row r="136" spans="1:6" x14ac:dyDescent="0.3">
      <c r="A136" t="s">
        <v>378</v>
      </c>
      <c r="B136" t="str" cm="1">
        <f t="array" ref="B136">_xlfn.XLOOKUP(C136, INDEX([1]!카테고리매핑,,2), INDEX([1]!카테고리매핑,,1), "미등록 카테고리")</f>
        <v>간편식</v>
      </c>
      <c r="C136" t="s">
        <v>46</v>
      </c>
      <c r="D136" t="str">
        <f>VLOOKUP(C136, '[1]VLOOKUP 함수용 카테고리'!$A$1:$B$59, 2, 0)</f>
        <v>RTC_MEAL</v>
      </c>
      <c r="E136" t="s">
        <v>46</v>
      </c>
      <c r="F136" t="s">
        <v>379</v>
      </c>
    </row>
    <row r="137" spans="1:6" x14ac:dyDescent="0.3">
      <c r="A137" t="s">
        <v>380</v>
      </c>
      <c r="B137" t="str" cm="1">
        <f t="array" ref="B137">_xlfn.XLOOKUP(C137, INDEX([1]!카테고리매핑,,2), INDEX([1]!카테고리매핑,,1), "미등록 카테고리")</f>
        <v>조미료</v>
      </c>
      <c r="C137" t="s">
        <v>84</v>
      </c>
      <c r="D137" t="str">
        <f>VLOOKUP(C137, '[1]VLOOKUP 함수용 카테고리'!$A$1:$B$59, 2, 0)</f>
        <v>SAUCE_SEASONING</v>
      </c>
      <c r="E137" t="s">
        <v>85</v>
      </c>
      <c r="F137" t="s">
        <v>381</v>
      </c>
    </row>
    <row r="138" spans="1:6" x14ac:dyDescent="0.3">
      <c r="A138" t="s">
        <v>382</v>
      </c>
      <c r="B138" t="str" cm="1">
        <f t="array" ref="B138">_xlfn.XLOOKUP(C138, INDEX([1]!카테고리매핑,,2), INDEX([1]!카테고리매핑,,1), "미등록 카테고리")</f>
        <v>음료</v>
      </c>
      <c r="C138" t="s">
        <v>23</v>
      </c>
      <c r="D138" t="str">
        <f>VLOOKUP(C138, '[1]VLOOKUP 함수용 카테고리'!$A$1:$B$59, 2, 0)</f>
        <v>BEVERAGE</v>
      </c>
      <c r="E138" t="s">
        <v>24</v>
      </c>
      <c r="F138" t="s">
        <v>383</v>
      </c>
    </row>
    <row r="139" spans="1:6" x14ac:dyDescent="0.3">
      <c r="A139" t="s">
        <v>384</v>
      </c>
      <c r="B139" t="str" cm="1">
        <f t="array" ref="B139">_xlfn.XLOOKUP(C139, INDEX([1]!카테고리매핑,,2), INDEX([1]!카테고리매핑,,1), "미등록 카테고리")</f>
        <v>유제품</v>
      </c>
      <c r="C139" t="s">
        <v>123</v>
      </c>
      <c r="D139" t="str">
        <f>VLOOKUP(C139, '[1]VLOOKUP 함수용 카테고리'!$A$1:$B$59, 2, 0)</f>
        <v>DAIRY</v>
      </c>
      <c r="E139" t="s">
        <v>190</v>
      </c>
    </row>
    <row r="140" spans="1:6" x14ac:dyDescent="0.3">
      <c r="A140" t="s">
        <v>385</v>
      </c>
      <c r="B140" t="str" cm="1">
        <f t="array" ref="B140">_xlfn.XLOOKUP(C140, INDEX([1]!카테고리매핑,,2), INDEX([1]!카테고리매핑,,1), "미등록 카테고리")</f>
        <v>간편식</v>
      </c>
      <c r="C140" t="s">
        <v>131</v>
      </c>
      <c r="D140" t="str">
        <f>VLOOKUP(C140, '[1]VLOOKUP 함수용 카테고리'!$A$1:$B$59, 2, 0)</f>
        <v>SIMPLE_PROCESSED</v>
      </c>
      <c r="E140" t="s">
        <v>386</v>
      </c>
      <c r="F140" t="s">
        <v>387</v>
      </c>
    </row>
    <row r="141" spans="1:6" x14ac:dyDescent="0.3">
      <c r="A141" t="s">
        <v>388</v>
      </c>
      <c r="B141" t="str" cm="1">
        <f t="array" ref="B141">_xlfn.XLOOKUP(C141, INDEX([1]!카테고리매핑,,2), INDEX([1]!카테고리매핑,,1), "미등록 카테고리")</f>
        <v>간식류</v>
      </c>
      <c r="C141" t="s">
        <v>15</v>
      </c>
      <c r="D141" t="str">
        <f>VLOOKUP(C141, '[1]VLOOKUP 함수용 카테고리'!$A$1:$B$59, 2, 0)</f>
        <v>BAKERY</v>
      </c>
      <c r="E141" t="s">
        <v>16</v>
      </c>
      <c r="F141" t="s">
        <v>389</v>
      </c>
    </row>
    <row r="142" spans="1:6" x14ac:dyDescent="0.3">
      <c r="A142" t="s">
        <v>390</v>
      </c>
      <c r="B142" t="str" cm="1">
        <f t="array" ref="B142">_xlfn.XLOOKUP(C142, INDEX([1]!카테고리매핑,,2), INDEX([1]!카테고리매핑,,1), "미등록 카테고리")</f>
        <v>수산물</v>
      </c>
      <c r="C142" t="s">
        <v>140</v>
      </c>
      <c r="D142" t="str">
        <f>VLOOKUP(C142, '[1]VLOOKUP 함수용 카테고리'!$A$1:$B$59, 2, 0)</f>
        <v>SIMPLE_PROCESSED</v>
      </c>
      <c r="E142" t="s">
        <v>141</v>
      </c>
      <c r="F142" t="s">
        <v>391</v>
      </c>
    </row>
    <row r="143" spans="1:6" x14ac:dyDescent="0.3">
      <c r="A143" t="s">
        <v>392</v>
      </c>
      <c r="B143" t="str" cm="1">
        <f t="array" ref="B143">_xlfn.XLOOKUP(C143, INDEX([1]!카테고리매핑,,2), INDEX([1]!카테고리매핑,,1), "미등록 카테고리")</f>
        <v>간식류</v>
      </c>
      <c r="C143" t="s">
        <v>15</v>
      </c>
      <c r="D143" t="str">
        <f>VLOOKUP(C143, '[1]VLOOKUP 함수용 카테고리'!$A$1:$B$59, 2, 0)</f>
        <v>BAKERY</v>
      </c>
      <c r="E143" t="s">
        <v>53</v>
      </c>
      <c r="F143" t="s">
        <v>393</v>
      </c>
    </row>
    <row r="144" spans="1:6" x14ac:dyDescent="0.3">
      <c r="A144" t="s">
        <v>394</v>
      </c>
      <c r="B144" t="str" cm="1">
        <f t="array" ref="B144">_xlfn.XLOOKUP(C144, INDEX([1]!카테고리매핑,,2), INDEX([1]!카테고리매핑,,1), "미등록 카테고리")</f>
        <v>조미료</v>
      </c>
      <c r="C144" t="s">
        <v>83</v>
      </c>
      <c r="D144" t="str">
        <f>VLOOKUP(C144, '[1]VLOOKUP 함수용 카테고리'!$A$1:$B$59, 2, 0)</f>
        <v>SAUCE_SEASONING</v>
      </c>
      <c r="E144" t="s">
        <v>395</v>
      </c>
    </row>
    <row r="145" spans="1:6" x14ac:dyDescent="0.3">
      <c r="A145" t="s">
        <v>397</v>
      </c>
      <c r="B145" t="str" cm="1">
        <f t="array" ref="B145">_xlfn.XLOOKUP(C145, INDEX([1]!카테고리매핑,,2), INDEX([1]!카테고리매핑,,1), "미등록 카테고리")</f>
        <v>유제품</v>
      </c>
      <c r="C145" t="s">
        <v>123</v>
      </c>
      <c r="D145" t="str">
        <f>VLOOKUP(C145, '[1]VLOOKUP 함수용 카테고리'!$A$1:$B$59, 2, 0)</f>
        <v>DAIRY</v>
      </c>
      <c r="E145" t="s">
        <v>239</v>
      </c>
      <c r="F145" t="s">
        <v>398</v>
      </c>
    </row>
    <row r="146" spans="1:6" x14ac:dyDescent="0.3">
      <c r="A146" t="s">
        <v>399</v>
      </c>
      <c r="B146" t="str" cm="1">
        <f t="array" ref="B146">_xlfn.XLOOKUP(C146, INDEX([1]!카테고리매핑,,2), INDEX([1]!카테고리매핑,,1), "미등록 카테고리")</f>
        <v>간식류</v>
      </c>
      <c r="C146" t="s">
        <v>63</v>
      </c>
      <c r="D146" t="str">
        <f>VLOOKUP(C146, '[1]VLOOKUP 함수용 카테고리'!$A$1:$B$59, 2, 0)</f>
        <v>BAKERY</v>
      </c>
      <c r="E146" t="s">
        <v>400</v>
      </c>
      <c r="F146" t="s">
        <v>401</v>
      </c>
    </row>
    <row r="147" spans="1:6" x14ac:dyDescent="0.3">
      <c r="A147" t="s">
        <v>402</v>
      </c>
      <c r="B147" t="str" cm="1">
        <f t="array" ref="B147">_xlfn.XLOOKUP(C147, INDEX([1]!카테고리매핑,,2), INDEX([1]!카테고리매핑,,1), "미등록 카테고리")</f>
        <v>간식류</v>
      </c>
      <c r="C147" t="s">
        <v>38</v>
      </c>
      <c r="D147" t="str">
        <f>VLOOKUP(C147, '[1]VLOOKUP 함수용 카테고리'!$A$1:$B$59, 2, 0)</f>
        <v>SNACK</v>
      </c>
      <c r="E147" t="s">
        <v>179</v>
      </c>
      <c r="F147" t="s">
        <v>403</v>
      </c>
    </row>
    <row r="148" spans="1:6" x14ac:dyDescent="0.3">
      <c r="A148" t="s">
        <v>404</v>
      </c>
      <c r="B148" t="str" cm="1">
        <f t="array" ref="B148">_xlfn.XLOOKUP(C148, INDEX([1]!카테고리매핑,,2), INDEX([1]!카테고리매핑,,1), "미등록 카테고리")</f>
        <v>채소/곡물류</v>
      </c>
      <c r="C148" t="s">
        <v>7</v>
      </c>
      <c r="D148" t="str">
        <f>VLOOKUP(C148, '[1]VLOOKUP 함수용 카테고리'!$A$1:$B$59, 2, 0)</f>
        <v>RAW_PRODUCE</v>
      </c>
      <c r="E148" t="s">
        <v>405</v>
      </c>
      <c r="F148" t="s">
        <v>406</v>
      </c>
    </row>
    <row r="149" spans="1:6" x14ac:dyDescent="0.3">
      <c r="A149" t="s">
        <v>407</v>
      </c>
      <c r="B149" t="str" cm="1">
        <f t="array" ref="B149">_xlfn.XLOOKUP(C149, INDEX([1]!카테고리매핑,,2), INDEX([1]!카테고리매핑,,1), "미등록 카테고리")</f>
        <v>수산물</v>
      </c>
      <c r="C149" t="s">
        <v>263</v>
      </c>
      <c r="D149" t="str">
        <f>VLOOKUP(C149, '[1]VLOOKUP 함수용 카테고리'!$A$1:$B$59, 2, 0)</f>
        <v>RAW_SEAFOOD</v>
      </c>
      <c r="E149" t="s">
        <v>408</v>
      </c>
      <c r="F149" t="s">
        <v>409</v>
      </c>
    </row>
    <row r="150" spans="1:6" x14ac:dyDescent="0.3">
      <c r="A150" t="s">
        <v>410</v>
      </c>
      <c r="B150" t="str" cm="1">
        <f t="array" ref="B150">_xlfn.XLOOKUP(C150, INDEX([1]!카테고리매핑,,2), INDEX([1]!카테고리매핑,,1), "미등록 카테고리")</f>
        <v>술</v>
      </c>
      <c r="C150" t="s">
        <v>411</v>
      </c>
      <c r="D150" t="str">
        <f>VLOOKUP(C150, '[1]VLOOKUP 함수용 카테고리'!$A$1:$B$59, 2, 0)</f>
        <v>ALCOHOL</v>
      </c>
      <c r="E150" t="s">
        <v>412</v>
      </c>
    </row>
    <row r="151" spans="1:6" x14ac:dyDescent="0.3">
      <c r="A151" t="s">
        <v>414</v>
      </c>
      <c r="B151" t="str" cm="1">
        <f t="array" ref="B151">_xlfn.XLOOKUP(C151, INDEX([1]!카테고리매핑,,2), INDEX([1]!카테고리매핑,,1), "미등록 카테고리")</f>
        <v>간편식</v>
      </c>
      <c r="C151" t="s">
        <v>131</v>
      </c>
      <c r="D151" t="str">
        <f>VLOOKUP(C151, '[1]VLOOKUP 함수용 카테고리'!$A$1:$B$59, 2, 0)</f>
        <v>SIMPLE_PROCESSED</v>
      </c>
      <c r="E151" t="s">
        <v>415</v>
      </c>
      <c r="F151" t="s">
        <v>416</v>
      </c>
    </row>
    <row r="152" spans="1:6" x14ac:dyDescent="0.3">
      <c r="A152" t="s">
        <v>417</v>
      </c>
      <c r="B152" t="str" cm="1">
        <f t="array" ref="B152">_xlfn.XLOOKUP(C152, INDEX([1]!카테고리매핑,,2), INDEX([1]!카테고리매핑,,1), "미등록 카테고리")</f>
        <v>간편식</v>
      </c>
      <c r="C152" t="s">
        <v>131</v>
      </c>
      <c r="D152" t="str">
        <f>VLOOKUP(C152, '[1]VLOOKUP 함수용 카테고리'!$A$1:$B$59, 2, 0)</f>
        <v>SIMPLE_PROCESSED</v>
      </c>
      <c r="E152" t="s">
        <v>418</v>
      </c>
      <c r="F152" t="s">
        <v>419</v>
      </c>
    </row>
    <row r="153" spans="1:6" x14ac:dyDescent="0.3">
      <c r="A153" t="s">
        <v>420</v>
      </c>
      <c r="B153" t="str" cm="1">
        <f t="array" ref="B153">_xlfn.XLOOKUP(C153, INDEX([1]!카테고리매핑,,2), INDEX([1]!카테고리매핑,,1), "미등록 카테고리")</f>
        <v>조미료</v>
      </c>
      <c r="C153" t="s">
        <v>117</v>
      </c>
      <c r="D153" t="str">
        <f>VLOOKUP(C153, '[1]VLOOKUP 함수용 카테고리'!$A$1:$B$59, 2, 0)</f>
        <v>SAUCE_SEASONING</v>
      </c>
      <c r="E153" t="s">
        <v>421</v>
      </c>
      <c r="F153" t="s">
        <v>296</v>
      </c>
    </row>
    <row r="154" spans="1:6" x14ac:dyDescent="0.3">
      <c r="A154" t="s">
        <v>422</v>
      </c>
      <c r="B154" t="str" cm="1">
        <f t="array" ref="B154">_xlfn.XLOOKUP(C154, INDEX([1]!카테고리매핑,,2), INDEX([1]!카테고리매핑,,1), "미등록 카테고리")</f>
        <v>간편식</v>
      </c>
      <c r="C154" t="s">
        <v>256</v>
      </c>
      <c r="D154" t="str">
        <f>VLOOKUP(C154, '[1]VLOOKUP 함수용 카테고리'!$A$1:$B$59, 2, 0)</f>
        <v>RTC_MEAL</v>
      </c>
      <c r="E154" t="s">
        <v>256</v>
      </c>
      <c r="F154" t="s">
        <v>423</v>
      </c>
    </row>
    <row r="155" spans="1:6" x14ac:dyDescent="0.3">
      <c r="A155" t="s">
        <v>424</v>
      </c>
      <c r="B155" t="str" cm="1">
        <f t="array" ref="B155">_xlfn.XLOOKUP(C155, INDEX([1]!카테고리매핑,,2), INDEX([1]!카테고리매핑,,1), "미등록 카테고리")</f>
        <v>술</v>
      </c>
      <c r="C155" t="s">
        <v>56</v>
      </c>
      <c r="D155" t="str">
        <f>VLOOKUP(C155, '[1]VLOOKUP 함수용 카테고리'!$A$1:$B$59, 2, 0)</f>
        <v>ALCOHOL</v>
      </c>
      <c r="E155" t="s">
        <v>57</v>
      </c>
    </row>
    <row r="156" spans="1:6" x14ac:dyDescent="0.3">
      <c r="A156" t="s">
        <v>425</v>
      </c>
      <c r="B156" t="str" cm="1">
        <f t="array" ref="B156">_xlfn.XLOOKUP(C156, INDEX([1]!카테고리매핑,,2), INDEX([1]!카테고리매핑,,1), "미등록 카테고리")</f>
        <v>간편식</v>
      </c>
      <c r="C156" t="s">
        <v>19</v>
      </c>
      <c r="D156" t="str">
        <f>VLOOKUP(C156, '[1]VLOOKUP 함수용 카테고리'!$A$1:$B$59, 2, 0)</f>
        <v>FROZEN_MEAL</v>
      </c>
      <c r="E156" t="s">
        <v>245</v>
      </c>
      <c r="F156" t="s">
        <v>426</v>
      </c>
    </row>
    <row r="157" spans="1:6" x14ac:dyDescent="0.3">
      <c r="A157" t="s">
        <v>427</v>
      </c>
      <c r="B157" t="str" cm="1">
        <f t="array" ref="B157">_xlfn.XLOOKUP(C157, INDEX([1]!카테고리매핑,,2), INDEX([1]!카테고리매핑,,1), "미등록 카테고리")</f>
        <v>육류/계란</v>
      </c>
      <c r="C157" t="s">
        <v>428</v>
      </c>
      <c r="D157" t="str">
        <f>VLOOKUP(C157, '[1]VLOOKUP 함수용 카테고리'!$A$1:$B$59, 2, 0)</f>
        <v>PROCESSED_MEAT</v>
      </c>
      <c r="E157" t="s">
        <v>429</v>
      </c>
      <c r="F157" t="s">
        <v>430</v>
      </c>
    </row>
    <row r="158" spans="1:6" x14ac:dyDescent="0.3">
      <c r="A158" t="s">
        <v>431</v>
      </c>
      <c r="B158" t="str" cm="1">
        <f t="array" ref="B158">_xlfn.XLOOKUP(C158, INDEX([1]!카테고리매핑,,2), INDEX([1]!카테고리매핑,,1), "미등록 카테고리")</f>
        <v>유제품</v>
      </c>
      <c r="C158" t="s">
        <v>432</v>
      </c>
      <c r="D158" t="str">
        <f>VLOOKUP(C158, '[1]VLOOKUP 함수용 카테고리'!$A$1:$B$59, 2, 0)</f>
        <v>DAIRY</v>
      </c>
      <c r="E158" t="s">
        <v>433</v>
      </c>
      <c r="F158" t="s">
        <v>434</v>
      </c>
    </row>
    <row r="159" spans="1:6" x14ac:dyDescent="0.3">
      <c r="A159" t="s">
        <v>435</v>
      </c>
      <c r="B159" t="str" cm="1">
        <f t="array" ref="B159">_xlfn.XLOOKUP(C159, INDEX([1]!카테고리매핑,,2), INDEX([1]!카테고리매핑,,1), "미등록 카테고리")</f>
        <v>조미료</v>
      </c>
      <c r="C159" t="s">
        <v>127</v>
      </c>
      <c r="D159" t="str">
        <f>VLOOKUP(C159, '[1]VLOOKUP 함수용 카테고리'!$A$1:$B$59, 2, 0)</f>
        <v>SAUCE_SEASONING</v>
      </c>
      <c r="E159" t="s">
        <v>436</v>
      </c>
      <c r="F159" t="s">
        <v>129</v>
      </c>
    </row>
    <row r="160" spans="1:6" x14ac:dyDescent="0.3">
      <c r="A160" t="s">
        <v>437</v>
      </c>
      <c r="B160" t="str" cm="1">
        <f t="array" ref="B160">_xlfn.XLOOKUP(C160, INDEX([1]!카테고리매핑,,2), INDEX([1]!카테고리매핑,,1), "미등록 카테고리")</f>
        <v>간식류</v>
      </c>
      <c r="C160" t="s">
        <v>11</v>
      </c>
      <c r="D160" t="str">
        <f>VLOOKUP(C160, '[1]VLOOKUP 함수용 카테고리'!$A$1:$B$59, 2, 0)</f>
        <v>SNACK</v>
      </c>
      <c r="E160" t="s">
        <v>153</v>
      </c>
      <c r="F160" t="s">
        <v>350</v>
      </c>
    </row>
    <row r="161" spans="1:6" x14ac:dyDescent="0.3">
      <c r="A161" t="s">
        <v>438</v>
      </c>
      <c r="B161" t="str" cm="1">
        <f t="array" ref="B161">_xlfn.XLOOKUP(C161, INDEX([1]!카테고리매핑,,2), INDEX([1]!카테고리매핑,,1), "미등록 카테고리")</f>
        <v>간편식</v>
      </c>
      <c r="C161" t="s">
        <v>46</v>
      </c>
      <c r="D161" t="str">
        <f>VLOOKUP(C161, '[1]VLOOKUP 함수용 카테고리'!$A$1:$B$59, 2, 0)</f>
        <v>RTC_MEAL</v>
      </c>
      <c r="E161" t="s">
        <v>46</v>
      </c>
      <c r="F161" t="s">
        <v>7682</v>
      </c>
    </row>
    <row r="162" spans="1:6" x14ac:dyDescent="0.3">
      <c r="A162" t="s">
        <v>439</v>
      </c>
      <c r="B162" t="str" cm="1">
        <f t="array" ref="B162">_xlfn.XLOOKUP(C162, INDEX([1]!카테고리매핑,,2), INDEX([1]!카테고리매핑,,1), "미등록 카테고리")</f>
        <v>조미료</v>
      </c>
      <c r="C162" t="s">
        <v>127</v>
      </c>
      <c r="D162" t="str">
        <f>VLOOKUP(C162, '[1]VLOOKUP 함수용 카테고리'!$A$1:$B$59, 2, 0)</f>
        <v>SAUCE_SEASONING</v>
      </c>
      <c r="E162" t="s">
        <v>340</v>
      </c>
      <c r="F162" t="s">
        <v>341</v>
      </c>
    </row>
    <row r="163" spans="1:6" x14ac:dyDescent="0.3">
      <c r="A163" t="s">
        <v>440</v>
      </c>
      <c r="B163" t="str" cm="1">
        <f t="array" ref="B163">_xlfn.XLOOKUP(C163, INDEX([1]!카테고리매핑,,2), INDEX([1]!카테고리매핑,,1), "미등록 카테고리")</f>
        <v>수산물</v>
      </c>
      <c r="C163" t="s">
        <v>263</v>
      </c>
      <c r="D163" t="str">
        <f>VLOOKUP(C163, '[1]VLOOKUP 함수용 카테고리'!$A$1:$B$59, 2, 0)</f>
        <v>RAW_SEAFOOD</v>
      </c>
      <c r="E163" t="s">
        <v>264</v>
      </c>
    </row>
    <row r="164" spans="1:6" x14ac:dyDescent="0.3">
      <c r="A164" t="s">
        <v>441</v>
      </c>
      <c r="B164" t="str" cm="1">
        <f t="array" ref="B164">_xlfn.XLOOKUP(C164, INDEX([1]!카테고리매핑,,2), INDEX([1]!카테고리매핑,,1), "미등록 카테고리")</f>
        <v>간식류</v>
      </c>
      <c r="C164" t="s">
        <v>38</v>
      </c>
      <c r="D164" t="str">
        <f>VLOOKUP(C164, '[1]VLOOKUP 함수용 카테고리'!$A$1:$B$59, 2, 0)</f>
        <v>SNACK</v>
      </c>
      <c r="E164" t="s">
        <v>179</v>
      </c>
      <c r="F164" t="s">
        <v>442</v>
      </c>
    </row>
    <row r="165" spans="1:6" x14ac:dyDescent="0.3">
      <c r="A165" t="s">
        <v>443</v>
      </c>
      <c r="B165" t="str" cm="1">
        <f t="array" ref="B165">_xlfn.XLOOKUP(C165, INDEX([1]!카테고리매핑,,2), INDEX([1]!카테고리매핑,,1), "미등록 카테고리")</f>
        <v>조미료</v>
      </c>
      <c r="C165" t="s">
        <v>84</v>
      </c>
      <c r="D165" t="str">
        <f>VLOOKUP(C165, '[1]VLOOKUP 함수용 카테고리'!$A$1:$B$59, 2, 0)</f>
        <v>SAUCE_SEASONING</v>
      </c>
      <c r="E165" t="s">
        <v>444</v>
      </c>
      <c r="F165" t="s">
        <v>445</v>
      </c>
    </row>
    <row r="166" spans="1:6" x14ac:dyDescent="0.3">
      <c r="A166" t="s">
        <v>446</v>
      </c>
      <c r="B166" t="str" cm="1">
        <f t="array" ref="B166">_xlfn.XLOOKUP(C166, INDEX([1]!카테고리매핑,,2), INDEX([1]!카테고리매핑,,1), "미등록 카테고리")</f>
        <v>조미료</v>
      </c>
      <c r="C166" t="s">
        <v>117</v>
      </c>
      <c r="D166" t="str">
        <f>VLOOKUP(C166, '[1]VLOOKUP 함수용 카테고리'!$A$1:$B$59, 2, 0)</f>
        <v>SAUCE_SEASONING</v>
      </c>
      <c r="E166" t="s">
        <v>447</v>
      </c>
      <c r="F166" t="s">
        <v>448</v>
      </c>
    </row>
    <row r="167" spans="1:6" x14ac:dyDescent="0.3">
      <c r="A167" t="s">
        <v>449</v>
      </c>
      <c r="B167" t="str" cm="1">
        <f t="array" ref="B167">_xlfn.XLOOKUP(C167, INDEX([1]!카테고리매핑,,2), INDEX([1]!카테고리매핑,,1), "미등록 카테고리")</f>
        <v>술</v>
      </c>
      <c r="C167" t="s">
        <v>42</v>
      </c>
      <c r="D167" t="str">
        <f>VLOOKUP(C167, '[1]VLOOKUP 함수용 카테고리'!$A$1:$B$59, 2, 0)</f>
        <v>ALCOHOL</v>
      </c>
      <c r="E167" t="s">
        <v>43</v>
      </c>
    </row>
    <row r="168" spans="1:6" x14ac:dyDescent="0.3">
      <c r="A168" t="s">
        <v>450</v>
      </c>
      <c r="B168" t="str" cm="1">
        <f t="array" ref="B168">_xlfn.XLOOKUP(C168, INDEX([1]!카테고리매핑,,2), INDEX([1]!카테고리매핑,,1), "미등록 카테고리")</f>
        <v>수산물</v>
      </c>
      <c r="C168" t="s">
        <v>229</v>
      </c>
      <c r="D168" t="str">
        <f>VLOOKUP(C168, '[1]VLOOKUP 함수용 카테고리'!$A$1:$B$59, 2, 0)</f>
        <v>RAW_SEAFOOD</v>
      </c>
      <c r="E168" t="s">
        <v>230</v>
      </c>
      <c r="F168" t="s">
        <v>451</v>
      </c>
    </row>
    <row r="169" spans="1:6" x14ac:dyDescent="0.3">
      <c r="A169" t="s">
        <v>452</v>
      </c>
      <c r="B169" t="str" cm="1">
        <f t="array" ref="B169">_xlfn.XLOOKUP(C169, INDEX([1]!카테고리매핑,,2), INDEX([1]!카테고리매핑,,1), "미등록 카테고리")</f>
        <v>육류/계란</v>
      </c>
      <c r="C169" t="s">
        <v>149</v>
      </c>
      <c r="D169" t="str">
        <f>VLOOKUP(C169, '[1]VLOOKUP 함수용 카테고리'!$A$1:$B$59, 2, 0)</f>
        <v>RAW_MEAT</v>
      </c>
      <c r="E169" t="s">
        <v>266</v>
      </c>
      <c r="F169" t="s">
        <v>282</v>
      </c>
    </row>
    <row r="170" spans="1:6" x14ac:dyDescent="0.3">
      <c r="A170" t="s">
        <v>453</v>
      </c>
      <c r="B170" t="str" cm="1">
        <f t="array" ref="B170">_xlfn.XLOOKUP(C170, INDEX([1]!카테고리매핑,,2), INDEX([1]!카테고리매핑,,1), "미등록 카테고리")</f>
        <v>음료</v>
      </c>
      <c r="C170" t="s">
        <v>23</v>
      </c>
      <c r="D170" t="str">
        <f>VLOOKUP(C170, '[1]VLOOKUP 함수용 카테고리'!$A$1:$B$59, 2, 0)</f>
        <v>BEVERAGE</v>
      </c>
      <c r="E170" t="s">
        <v>355</v>
      </c>
      <c r="F170" t="s">
        <v>356</v>
      </c>
    </row>
    <row r="171" spans="1:6" x14ac:dyDescent="0.3">
      <c r="A171" t="s">
        <v>454</v>
      </c>
      <c r="B171" t="str" cm="1">
        <f t="array" ref="B171">_xlfn.XLOOKUP(C171, INDEX([1]!카테고리매핑,,2), INDEX([1]!카테고리매핑,,1), "미등록 카테고리")</f>
        <v>간식류</v>
      </c>
      <c r="C171" t="s">
        <v>11</v>
      </c>
      <c r="D171" t="str">
        <f>VLOOKUP(C171, '[1]VLOOKUP 함수용 카테고리'!$A$1:$B$59, 2, 0)</f>
        <v>SNACK</v>
      </c>
      <c r="E171" t="s">
        <v>455</v>
      </c>
      <c r="F171" t="s">
        <v>32</v>
      </c>
    </row>
    <row r="172" spans="1:6" x14ac:dyDescent="0.3">
      <c r="A172" t="s">
        <v>456</v>
      </c>
      <c r="B172" t="s">
        <v>7683</v>
      </c>
      <c r="C172" t="s">
        <v>334</v>
      </c>
      <c r="D172" t="str">
        <f>VLOOKUP(C172, '[1]VLOOKUP 함수용 카테고리'!$A$1:$B$59, 2, 0)</f>
        <v>UNKNOWN</v>
      </c>
      <c r="E172" t="s">
        <v>334</v>
      </c>
      <c r="F172" t="s">
        <v>457</v>
      </c>
    </row>
    <row r="173" spans="1:6" x14ac:dyDescent="0.3">
      <c r="A173" t="s">
        <v>458</v>
      </c>
      <c r="B173" t="str" cm="1">
        <f t="array" ref="B173">_xlfn.XLOOKUP(C173, INDEX([1]!카테고리매핑,,2), INDEX([1]!카테고리매핑,,1), "미등록 카테고리")</f>
        <v>술</v>
      </c>
      <c r="C173" t="s">
        <v>42</v>
      </c>
      <c r="D173" t="str">
        <f>VLOOKUP(C173, '[1]VLOOKUP 함수용 카테고리'!$A$1:$B$59, 2, 0)</f>
        <v>ALCOHOL</v>
      </c>
      <c r="E173" t="s">
        <v>43</v>
      </c>
    </row>
    <row r="174" spans="1:6" x14ac:dyDescent="0.3">
      <c r="A174" t="s">
        <v>459</v>
      </c>
      <c r="B174" t="str" cm="1">
        <f t="array" ref="B174">_xlfn.XLOOKUP(C174, INDEX([1]!카테고리매핑,,2), INDEX([1]!카테고리매핑,,1), "미등록 카테고리")</f>
        <v>간편식</v>
      </c>
      <c r="C174" t="s">
        <v>131</v>
      </c>
      <c r="D174" t="str">
        <f>VLOOKUP(C174, '[1]VLOOKUP 함수용 카테고리'!$A$1:$B$59, 2, 0)</f>
        <v>SIMPLE_PROCESSED</v>
      </c>
      <c r="E174" t="s">
        <v>460</v>
      </c>
      <c r="F174" t="s">
        <v>461</v>
      </c>
    </row>
    <row r="175" spans="1:6" x14ac:dyDescent="0.3">
      <c r="A175" t="s">
        <v>462</v>
      </c>
      <c r="B175" t="str" cm="1">
        <f t="array" ref="B175">_xlfn.XLOOKUP(C175, INDEX([1]!카테고리매핑,,2), INDEX([1]!카테고리매핑,,1), "미등록 카테고리")</f>
        <v>간식류</v>
      </c>
      <c r="C175" t="s">
        <v>11</v>
      </c>
      <c r="D175" t="str">
        <f>VLOOKUP(C175, '[1]VLOOKUP 함수용 카테고리'!$A$1:$B$59, 2, 0)</f>
        <v>SNACK</v>
      </c>
      <c r="E175" t="s">
        <v>371</v>
      </c>
      <c r="F175" t="s">
        <v>463</v>
      </c>
    </row>
    <row r="176" spans="1:6" x14ac:dyDescent="0.3">
      <c r="A176" t="s">
        <v>464</v>
      </c>
      <c r="B176" t="str" cm="1">
        <f t="array" ref="B176">_xlfn.XLOOKUP(C176, INDEX([1]!카테고리매핑,,2), INDEX([1]!카테고리매핑,,1), "미등록 카테고리")</f>
        <v>술</v>
      </c>
      <c r="C176" t="s">
        <v>42</v>
      </c>
      <c r="D176" t="str">
        <f>VLOOKUP(C176, '[1]VLOOKUP 함수용 카테고리'!$A$1:$B$59, 2, 0)</f>
        <v>ALCOHOL</v>
      </c>
      <c r="E176" t="s">
        <v>347</v>
      </c>
    </row>
    <row r="177" spans="1:6" x14ac:dyDescent="0.3">
      <c r="A177" t="s">
        <v>465</v>
      </c>
      <c r="B177" t="str" cm="1">
        <f t="array" ref="B177">_xlfn.XLOOKUP(C177, INDEX([1]!카테고리매핑,,2), INDEX([1]!카테고리매핑,,1), "미등록 카테고리")</f>
        <v>수산물</v>
      </c>
      <c r="C177" t="s">
        <v>183</v>
      </c>
      <c r="D177" t="str">
        <f>VLOOKUP(C177, '[1]VLOOKUP 함수용 카테고리'!$A$1:$B$59, 2, 0)</f>
        <v>DRIED_SEAFOOD</v>
      </c>
      <c r="E177" t="s">
        <v>466</v>
      </c>
    </row>
    <row r="178" spans="1:6" x14ac:dyDescent="0.3">
      <c r="A178" t="s">
        <v>467</v>
      </c>
      <c r="B178" t="str" cm="1">
        <f t="array" ref="B178">_xlfn.XLOOKUP(C178, INDEX([1]!카테고리매핑,,2), INDEX([1]!카테고리매핑,,1), "미등록 카테고리")</f>
        <v>술</v>
      </c>
      <c r="C178" t="s">
        <v>42</v>
      </c>
      <c r="D178" t="str">
        <f>VLOOKUP(C178, '[1]VLOOKUP 함수용 카테고리'!$A$1:$B$59, 2, 0)</f>
        <v>ALCOHOL</v>
      </c>
      <c r="E178" t="s">
        <v>43</v>
      </c>
    </row>
    <row r="179" spans="1:6" x14ac:dyDescent="0.3">
      <c r="A179" t="s">
        <v>468</v>
      </c>
      <c r="B179" t="str" cm="1">
        <f t="array" ref="B179">_xlfn.XLOOKUP(C179, INDEX([1]!카테고리매핑,,2), INDEX([1]!카테고리매핑,,1), "미등록 카테고리")</f>
        <v>육류/계란</v>
      </c>
      <c r="C179" t="s">
        <v>105</v>
      </c>
      <c r="D179" t="str">
        <f>VLOOKUP(C179, '[1]VLOOKUP 함수용 카테고리'!$A$1:$B$59, 2, 0)</f>
        <v>RAW_MEAT</v>
      </c>
      <c r="E179" t="s">
        <v>469</v>
      </c>
      <c r="F179" t="s">
        <v>151</v>
      </c>
    </row>
    <row r="180" spans="1:6" x14ac:dyDescent="0.3">
      <c r="A180" t="s">
        <v>470</v>
      </c>
      <c r="B180" t="str" cm="1">
        <f t="array" ref="B180">_xlfn.XLOOKUP(C180, INDEX([1]!카테고리매핑,,2), INDEX([1]!카테고리매핑,,1), "미등록 카테고리")</f>
        <v>간편식</v>
      </c>
      <c r="C180" t="s">
        <v>46</v>
      </c>
      <c r="D180" t="str">
        <f>VLOOKUP(C180, '[1]VLOOKUP 함수용 카테고리'!$A$1:$B$59, 2, 0)</f>
        <v>RTC_MEAL</v>
      </c>
      <c r="E180" t="s">
        <v>46</v>
      </c>
      <c r="F180" t="s">
        <v>471</v>
      </c>
    </row>
    <row r="181" spans="1:6" x14ac:dyDescent="0.3">
      <c r="A181" t="s">
        <v>472</v>
      </c>
      <c r="B181" t="str" cm="1">
        <f t="array" ref="B181">_xlfn.XLOOKUP(C181, INDEX([1]!카테고리매핑,,2), INDEX([1]!카테고리매핑,,1), "미등록 카테고리")</f>
        <v>간식류</v>
      </c>
      <c r="C181" t="s">
        <v>38</v>
      </c>
      <c r="D181" t="str">
        <f>VLOOKUP(C181, '[1]VLOOKUP 함수용 카테고리'!$A$1:$B$59, 2, 0)</f>
        <v>SNACK</v>
      </c>
      <c r="E181" t="s">
        <v>39</v>
      </c>
      <c r="F181" t="s">
        <v>88</v>
      </c>
    </row>
    <row r="182" spans="1:6" x14ac:dyDescent="0.3">
      <c r="A182" t="s">
        <v>473</v>
      </c>
      <c r="B182" t="str" cm="1">
        <f t="array" ref="B182">_xlfn.XLOOKUP(C182, INDEX([1]!카테고리매핑,,2), INDEX([1]!카테고리매핑,,1), "미등록 카테고리")</f>
        <v>간식류</v>
      </c>
      <c r="C182" t="s">
        <v>11</v>
      </c>
      <c r="D182" t="str">
        <f>VLOOKUP(C182, '[1]VLOOKUP 함수용 카테고리'!$A$1:$B$59, 2, 0)</f>
        <v>SNACK</v>
      </c>
      <c r="E182" t="s">
        <v>153</v>
      </c>
      <c r="F182" t="s">
        <v>129</v>
      </c>
    </row>
    <row r="183" spans="1:6" x14ac:dyDescent="0.3">
      <c r="A183" t="s">
        <v>474</v>
      </c>
      <c r="B183" t="str" cm="1">
        <f t="array" ref="B183">_xlfn.XLOOKUP(C183, INDEX([1]!카테고리매핑,,2), INDEX([1]!카테고리매핑,,1), "미등록 카테고리")</f>
        <v>유제품</v>
      </c>
      <c r="C183" t="s">
        <v>98</v>
      </c>
      <c r="D183" t="str">
        <f>VLOOKUP(C183, '[1]VLOOKUP 함수용 카테고리'!$A$1:$B$59, 2, 0)</f>
        <v>DAIRY</v>
      </c>
      <c r="E183" t="s">
        <v>273</v>
      </c>
      <c r="F183" t="s">
        <v>475</v>
      </c>
    </row>
    <row r="184" spans="1:6" x14ac:dyDescent="0.3">
      <c r="A184" t="s">
        <v>476</v>
      </c>
      <c r="B184" t="str" cm="1">
        <f t="array" ref="B184">_xlfn.XLOOKUP(C184, INDEX([1]!카테고리매핑,,2), INDEX([1]!카테고리매핑,,1), "미등록 카테고리")</f>
        <v>조미료</v>
      </c>
      <c r="C184" t="s">
        <v>117</v>
      </c>
      <c r="D184" t="str">
        <f>VLOOKUP(C184, '[1]VLOOKUP 함수용 카테고리'!$A$1:$B$59, 2, 0)</f>
        <v>SAUCE_SEASONING</v>
      </c>
      <c r="E184" t="s">
        <v>118</v>
      </c>
      <c r="F184" t="s">
        <v>350</v>
      </c>
    </row>
    <row r="185" spans="1:6" x14ac:dyDescent="0.3">
      <c r="A185" t="s">
        <v>477</v>
      </c>
      <c r="B185" t="str" cm="1">
        <f t="array" ref="B185">_xlfn.XLOOKUP(C185, INDEX([1]!카테고리매핑,,2), INDEX([1]!카테고리매핑,,1), "미등록 카테고리")</f>
        <v>간편식</v>
      </c>
      <c r="C185" t="s">
        <v>46</v>
      </c>
      <c r="D185" t="str">
        <f>VLOOKUP(C185, '[1]VLOOKUP 함수용 카테고리'!$A$1:$B$59, 2, 0)</f>
        <v>RTC_MEAL</v>
      </c>
      <c r="E185" t="s">
        <v>46</v>
      </c>
      <c r="F185" t="s">
        <v>478</v>
      </c>
    </row>
    <row r="186" spans="1:6" x14ac:dyDescent="0.3">
      <c r="A186" t="s">
        <v>479</v>
      </c>
      <c r="B186" t="str" cm="1">
        <f t="array" ref="B186">_xlfn.XLOOKUP(C186, INDEX([1]!카테고리매핑,,2), INDEX([1]!카테고리매핑,,1), "미등록 카테고리")</f>
        <v>조미료</v>
      </c>
      <c r="C186" t="s">
        <v>117</v>
      </c>
      <c r="D186" t="str">
        <f>VLOOKUP(C186, '[1]VLOOKUP 함수용 카테고리'!$A$1:$B$59, 2, 0)</f>
        <v>SAUCE_SEASONING</v>
      </c>
      <c r="E186" t="s">
        <v>480</v>
      </c>
      <c r="F186" t="s">
        <v>481</v>
      </c>
    </row>
    <row r="187" spans="1:6" x14ac:dyDescent="0.3">
      <c r="A187" t="s">
        <v>482</v>
      </c>
      <c r="B187" t="str" cm="1">
        <f t="array" ref="B187">_xlfn.XLOOKUP(C187, INDEX([1]!카테고리매핑,,2), INDEX([1]!카테고리매핑,,1), "미등록 카테고리")</f>
        <v>술</v>
      </c>
      <c r="C187" t="s">
        <v>42</v>
      </c>
      <c r="D187" t="str">
        <f>VLOOKUP(C187, '[1]VLOOKUP 함수용 카테고리'!$A$1:$B$59, 2, 0)</f>
        <v>ALCOHOL</v>
      </c>
      <c r="E187" t="s">
        <v>43</v>
      </c>
    </row>
    <row r="188" spans="1:6" x14ac:dyDescent="0.3">
      <c r="A188" t="s">
        <v>483</v>
      </c>
      <c r="B188" t="str" cm="1">
        <f t="array" ref="B188">_xlfn.XLOOKUP(C188, INDEX([1]!카테고리매핑,,2), INDEX([1]!카테고리매핑,,1), "미등록 카테고리")</f>
        <v>유제품</v>
      </c>
      <c r="C188" t="s">
        <v>98</v>
      </c>
      <c r="D188" t="str">
        <f>VLOOKUP(C188, '[1]VLOOKUP 함수용 카테고리'!$A$1:$B$59, 2, 0)</f>
        <v>DAIRY</v>
      </c>
      <c r="E188" t="s">
        <v>98</v>
      </c>
      <c r="F188" t="s">
        <v>484</v>
      </c>
    </row>
    <row r="189" spans="1:6" x14ac:dyDescent="0.3">
      <c r="A189" t="s">
        <v>485</v>
      </c>
      <c r="B189" t="str" cm="1">
        <f t="array" ref="B189">_xlfn.XLOOKUP(C189, INDEX([1]!카테고리매핑,,2), INDEX([1]!카테고리매핑,,1), "미등록 카테고리")</f>
        <v>유제품</v>
      </c>
      <c r="C189" t="s">
        <v>123</v>
      </c>
      <c r="D189" t="str">
        <f>VLOOKUP(C189, '[1]VLOOKUP 함수용 카테고리'!$A$1:$B$59, 2, 0)</f>
        <v>DAIRY</v>
      </c>
      <c r="E189" t="s">
        <v>190</v>
      </c>
      <c r="F189" t="s">
        <v>475</v>
      </c>
    </row>
    <row r="190" spans="1:6" x14ac:dyDescent="0.3">
      <c r="A190" t="s">
        <v>486</v>
      </c>
      <c r="B190" t="str" cm="1">
        <f t="array" ref="B190">_xlfn.XLOOKUP(C190, INDEX([1]!카테고리매핑,,2), INDEX([1]!카테고리매핑,,1), "미등록 카테고리")</f>
        <v>간편식</v>
      </c>
      <c r="C190" t="s">
        <v>46</v>
      </c>
      <c r="D190" t="str">
        <f>VLOOKUP(C190, '[1]VLOOKUP 함수용 카테고리'!$A$1:$B$59, 2, 0)</f>
        <v>RTC_MEAL</v>
      </c>
      <c r="E190" t="s">
        <v>46</v>
      </c>
      <c r="F190" t="s">
        <v>156</v>
      </c>
    </row>
    <row r="191" spans="1:6" x14ac:dyDescent="0.3">
      <c r="A191" t="s">
        <v>487</v>
      </c>
      <c r="B191" t="str" cm="1">
        <f t="array" ref="B191">_xlfn.XLOOKUP(C191, INDEX([1]!카테고리매핑,,2), INDEX([1]!카테고리매핑,,1), "미등록 카테고리")</f>
        <v>채소/곡물류</v>
      </c>
      <c r="C191" t="s">
        <v>7</v>
      </c>
      <c r="D191" t="str">
        <f>VLOOKUP(C191, '[1]VLOOKUP 함수용 카테고리'!$A$1:$B$59, 2, 0)</f>
        <v>RAW_PRODUCE</v>
      </c>
      <c r="E191" t="s">
        <v>331</v>
      </c>
    </row>
    <row r="192" spans="1:6" x14ac:dyDescent="0.3">
      <c r="A192" t="s">
        <v>488</v>
      </c>
      <c r="B192" t="str" cm="1">
        <f t="array" ref="B192">_xlfn.XLOOKUP(C192, INDEX([1]!카테고리매핑,,2), INDEX([1]!카테고리매핑,,1), "미등록 카테고리")</f>
        <v>유제품</v>
      </c>
      <c r="C192" t="s">
        <v>123</v>
      </c>
      <c r="D192" t="str">
        <f>VLOOKUP(C192, '[1]VLOOKUP 함수용 카테고리'!$A$1:$B$59, 2, 0)</f>
        <v>DAIRY</v>
      </c>
      <c r="E192" t="s">
        <v>124</v>
      </c>
      <c r="F192" t="s">
        <v>191</v>
      </c>
    </row>
    <row r="193" spans="1:6" x14ac:dyDescent="0.3">
      <c r="A193" t="s">
        <v>489</v>
      </c>
      <c r="B193" t="str" cm="1">
        <f t="array" ref="B193">_xlfn.XLOOKUP(C193, INDEX([1]!카테고리매핑,,2), INDEX([1]!카테고리매핑,,1), "미등록 카테고리")</f>
        <v>채소/곡물류</v>
      </c>
      <c r="C193" t="s">
        <v>301</v>
      </c>
      <c r="D193" t="str">
        <f>VLOOKUP(C193, '[1]VLOOKUP 함수용 카테고리'!$A$1:$B$59, 2, 0)</f>
        <v>GRAIN</v>
      </c>
      <c r="E193" t="s">
        <v>490</v>
      </c>
    </row>
    <row r="194" spans="1:6" x14ac:dyDescent="0.3">
      <c r="A194" t="s">
        <v>491</v>
      </c>
      <c r="B194" t="str" cm="1">
        <f t="array" ref="B194">_xlfn.XLOOKUP(C194, INDEX([1]!카테고리매핑,,2), INDEX([1]!카테고리매핑,,1), "미등록 카테고리")</f>
        <v>채소/곡물류</v>
      </c>
      <c r="C194" t="s">
        <v>301</v>
      </c>
      <c r="D194" t="str">
        <f>VLOOKUP(C194, '[1]VLOOKUP 함수용 카테고리'!$A$1:$B$59, 2, 0)</f>
        <v>GRAIN</v>
      </c>
      <c r="E194" t="s">
        <v>490</v>
      </c>
      <c r="F194" t="s">
        <v>221</v>
      </c>
    </row>
    <row r="195" spans="1:6" x14ac:dyDescent="0.3">
      <c r="A195" t="s">
        <v>492</v>
      </c>
      <c r="B195" t="str" cm="1">
        <f t="array" ref="B195">_xlfn.XLOOKUP(C195, INDEX([1]!카테고리매핑,,2), INDEX([1]!카테고리매핑,,1), "미등록 카테고리")</f>
        <v>음료</v>
      </c>
      <c r="C195" t="s">
        <v>242</v>
      </c>
      <c r="D195" t="str">
        <f>VLOOKUP(C195, '[1]VLOOKUP 함수용 카테고리'!$A$1:$B$59, 2, 0)</f>
        <v>BEVERAGE</v>
      </c>
      <c r="E195" t="s">
        <v>493</v>
      </c>
      <c r="F195" t="s">
        <v>494</v>
      </c>
    </row>
    <row r="196" spans="1:6" x14ac:dyDescent="0.3">
      <c r="A196" t="s">
        <v>495</v>
      </c>
      <c r="B196" t="str" cm="1">
        <f t="array" ref="B196">_xlfn.XLOOKUP(C196, INDEX([1]!카테고리매핑,,2), INDEX([1]!카테고리매핑,,1), "미등록 카테고리")</f>
        <v>간식류</v>
      </c>
      <c r="C196" t="s">
        <v>63</v>
      </c>
      <c r="D196" t="str">
        <f>VLOOKUP(C196, '[1]VLOOKUP 함수용 카테고리'!$A$1:$B$59, 2, 0)</f>
        <v>BAKERY</v>
      </c>
      <c r="E196" t="s">
        <v>496</v>
      </c>
      <c r="F196" t="s">
        <v>497</v>
      </c>
    </row>
    <row r="197" spans="1:6" x14ac:dyDescent="0.3">
      <c r="A197" t="s">
        <v>498</v>
      </c>
      <c r="B197" t="str" cm="1">
        <f t="array" ref="B197">_xlfn.XLOOKUP(C197, INDEX([1]!카테고리매핑,,2), INDEX([1]!카테고리매핑,,1), "미등록 카테고리")</f>
        <v>간식류</v>
      </c>
      <c r="C197" t="s">
        <v>15</v>
      </c>
      <c r="D197" t="str">
        <f>VLOOKUP(C197, '[1]VLOOKUP 함수용 카테고리'!$A$1:$B$59, 2, 0)</f>
        <v>BAKERY</v>
      </c>
      <c r="E197" t="s">
        <v>499</v>
      </c>
      <c r="F197" t="s">
        <v>500</v>
      </c>
    </row>
    <row r="198" spans="1:6" x14ac:dyDescent="0.3">
      <c r="A198" t="s">
        <v>501</v>
      </c>
      <c r="B198" t="str" cm="1">
        <f t="array" ref="B198">_xlfn.XLOOKUP(C198, INDEX([1]!카테고리매핑,,2), INDEX([1]!카테고리매핑,,1), "미등록 카테고리")</f>
        <v>음료</v>
      </c>
      <c r="C198" t="s">
        <v>23</v>
      </c>
      <c r="D198" t="str">
        <f>VLOOKUP(C198, '[1]VLOOKUP 함수용 카테고리'!$A$1:$B$59, 2, 0)</f>
        <v>BEVERAGE</v>
      </c>
      <c r="E198" t="s">
        <v>502</v>
      </c>
      <c r="F198" t="s">
        <v>503</v>
      </c>
    </row>
    <row r="199" spans="1:6" x14ac:dyDescent="0.3">
      <c r="A199" t="s">
        <v>504</v>
      </c>
      <c r="B199" t="str" cm="1">
        <f t="array" ref="B199">_xlfn.XLOOKUP(C199, INDEX([1]!카테고리매핑,,2), INDEX([1]!카테고리매핑,,1), "미등록 카테고리")</f>
        <v>술</v>
      </c>
      <c r="C199" t="s">
        <v>56</v>
      </c>
      <c r="D199" t="str">
        <f>VLOOKUP(C199, '[1]VLOOKUP 함수용 카테고리'!$A$1:$B$59, 2, 0)</f>
        <v>ALCOHOL</v>
      </c>
      <c r="E199" t="s">
        <v>505</v>
      </c>
    </row>
    <row r="200" spans="1:6" x14ac:dyDescent="0.3">
      <c r="A200" t="s">
        <v>506</v>
      </c>
      <c r="B200" t="str" cm="1">
        <f t="array" ref="B200">_xlfn.XLOOKUP(C200, INDEX([1]!카테고리매핑,,2), INDEX([1]!카테고리매핑,,1), "미등록 카테고리")</f>
        <v>간식류</v>
      </c>
      <c r="C200" t="s">
        <v>11</v>
      </c>
      <c r="D200" t="str">
        <f>VLOOKUP(C200, '[1]VLOOKUP 함수용 카테고리'!$A$1:$B$59, 2, 0)</f>
        <v>SNACK</v>
      </c>
      <c r="E200" t="s">
        <v>507</v>
      </c>
      <c r="F200" t="s">
        <v>508</v>
      </c>
    </row>
    <row r="201" spans="1:6" x14ac:dyDescent="0.3">
      <c r="A201" t="s">
        <v>509</v>
      </c>
      <c r="B201" t="str" cm="1">
        <f t="array" ref="B201">_xlfn.XLOOKUP(C201, INDEX([1]!카테고리매핑,,2), INDEX([1]!카테고리매핑,,1), "미등록 카테고리")</f>
        <v>간편식</v>
      </c>
      <c r="C201" t="s">
        <v>167</v>
      </c>
      <c r="D201" t="str">
        <f>VLOOKUP(C201, '[1]VLOOKUP 함수용 카테고리'!$A$1:$B$59, 2, 0)</f>
        <v>INSTANT</v>
      </c>
      <c r="E201" t="s">
        <v>510</v>
      </c>
      <c r="F201" t="s">
        <v>511</v>
      </c>
    </row>
    <row r="202" spans="1:6" x14ac:dyDescent="0.3">
      <c r="A202" t="s">
        <v>512</v>
      </c>
      <c r="B202" t="str" cm="1">
        <f t="array" ref="B202">_xlfn.XLOOKUP(C202, INDEX([1]!카테고리매핑,,2), INDEX([1]!카테고리매핑,,1), "미등록 카테고리")</f>
        <v>간식류</v>
      </c>
      <c r="C202" t="s">
        <v>63</v>
      </c>
      <c r="D202" t="str">
        <f>VLOOKUP(C202, '[1]VLOOKUP 함수용 카테고리'!$A$1:$B$59, 2, 0)</f>
        <v>BAKERY</v>
      </c>
      <c r="E202" t="s">
        <v>513</v>
      </c>
      <c r="F202" t="s">
        <v>514</v>
      </c>
    </row>
    <row r="203" spans="1:6" x14ac:dyDescent="0.3">
      <c r="A203" t="s">
        <v>515</v>
      </c>
      <c r="B203" t="str" cm="1">
        <f t="array" ref="B203">_xlfn.XLOOKUP(C203, INDEX([1]!카테고리매핑,,2), INDEX([1]!카테고리매핑,,1), "미등록 카테고리")</f>
        <v>유제품</v>
      </c>
      <c r="C203" t="s">
        <v>98</v>
      </c>
      <c r="D203" t="str">
        <f>VLOOKUP(C203, '[1]VLOOKUP 함수용 카테고리'!$A$1:$B$59, 2, 0)</f>
        <v>DAIRY</v>
      </c>
      <c r="E203" t="s">
        <v>98</v>
      </c>
      <c r="F203" t="s">
        <v>516</v>
      </c>
    </row>
    <row r="204" spans="1:6" x14ac:dyDescent="0.3">
      <c r="A204" t="s">
        <v>517</v>
      </c>
      <c r="B204" t="str" cm="1">
        <f t="array" ref="B204">_xlfn.XLOOKUP(C204, INDEX([1]!카테고리매핑,,2), INDEX([1]!카테고리매핑,,1), "미등록 카테고리")</f>
        <v>수산물</v>
      </c>
      <c r="C204" t="s">
        <v>229</v>
      </c>
      <c r="D204" t="str">
        <f>VLOOKUP(C204, '[1]VLOOKUP 함수용 카테고리'!$A$1:$B$59, 2, 0)</f>
        <v>RAW_SEAFOOD</v>
      </c>
      <c r="E204" t="s">
        <v>230</v>
      </c>
    </row>
    <row r="205" spans="1:6" x14ac:dyDescent="0.3">
      <c r="A205" t="s">
        <v>518</v>
      </c>
      <c r="B205" t="str" cm="1">
        <f t="array" ref="B205">_xlfn.XLOOKUP(C205, INDEX([1]!카테고리매핑,,2), INDEX([1]!카테고리매핑,,1), "미등록 카테고리")</f>
        <v>조미료</v>
      </c>
      <c r="C205" t="s">
        <v>127</v>
      </c>
      <c r="D205" t="str">
        <f>VLOOKUP(C205, '[1]VLOOKUP 함수용 카테고리'!$A$1:$B$59, 2, 0)</f>
        <v>SAUCE_SEASONING</v>
      </c>
      <c r="E205" t="s">
        <v>519</v>
      </c>
      <c r="F205" t="s">
        <v>182</v>
      </c>
    </row>
    <row r="206" spans="1:6" x14ac:dyDescent="0.3">
      <c r="A206" t="s">
        <v>520</v>
      </c>
      <c r="B206" t="str" cm="1">
        <f t="array" ref="B206">_xlfn.XLOOKUP(C206, INDEX([1]!카테고리매핑,,2), INDEX([1]!카테고리매핑,,1), "미등록 카테고리")</f>
        <v>간식류</v>
      </c>
      <c r="C206" t="s">
        <v>11</v>
      </c>
      <c r="D206" t="str">
        <f>VLOOKUP(C206, '[1]VLOOKUP 함수용 카테고리'!$A$1:$B$59, 2, 0)</f>
        <v>SNACK</v>
      </c>
      <c r="E206" t="s">
        <v>521</v>
      </c>
      <c r="F206" t="s">
        <v>522</v>
      </c>
    </row>
    <row r="207" spans="1:6" x14ac:dyDescent="0.3">
      <c r="A207" t="s">
        <v>523</v>
      </c>
      <c r="B207" t="str" cm="1">
        <f t="array" ref="B207">_xlfn.XLOOKUP(C207, INDEX([1]!카테고리매핑,,2), INDEX([1]!카테고리매핑,,1), "미등록 카테고리")</f>
        <v>육류/계란</v>
      </c>
      <c r="C207" t="s">
        <v>105</v>
      </c>
      <c r="D207" t="str">
        <f>VLOOKUP(C207, '[1]VLOOKUP 함수용 카테고리'!$A$1:$B$59, 2, 0)</f>
        <v>RAW_MEAT</v>
      </c>
      <c r="E207" t="s">
        <v>524</v>
      </c>
      <c r="F207" t="s">
        <v>151</v>
      </c>
    </row>
    <row r="208" spans="1:6" x14ac:dyDescent="0.3">
      <c r="A208" t="s">
        <v>525</v>
      </c>
      <c r="B208" t="str" cm="1">
        <f t="array" ref="B208">_xlfn.XLOOKUP(C208, INDEX([1]!카테고리매핑,,2), INDEX([1]!카테고리매핑,,1), "미등록 카테고리")</f>
        <v>간편식</v>
      </c>
      <c r="C208" t="s">
        <v>131</v>
      </c>
      <c r="D208" t="str">
        <f>VLOOKUP(C208, '[1]VLOOKUP 함수용 카테고리'!$A$1:$B$59, 2, 0)</f>
        <v>SIMPLE_PROCESSED</v>
      </c>
      <c r="E208" t="s">
        <v>526</v>
      </c>
      <c r="F208" t="s">
        <v>527</v>
      </c>
    </row>
    <row r="209" spans="1:6" x14ac:dyDescent="0.3">
      <c r="A209" t="s">
        <v>528</v>
      </c>
      <c r="B209" t="str" cm="1">
        <f t="array" ref="B209">_xlfn.XLOOKUP(C209, INDEX([1]!카테고리매핑,,2), INDEX([1]!카테고리매핑,,1), "미등록 카테고리")</f>
        <v>간편식</v>
      </c>
      <c r="C209" t="s">
        <v>46</v>
      </c>
      <c r="D209" t="str">
        <f>VLOOKUP(C209, '[1]VLOOKUP 함수용 카테고리'!$A$1:$B$59, 2, 0)</f>
        <v>RTC_MEAL</v>
      </c>
      <c r="E209" t="s">
        <v>46</v>
      </c>
      <c r="F209" t="s">
        <v>529</v>
      </c>
    </row>
    <row r="210" spans="1:6" x14ac:dyDescent="0.3">
      <c r="A210" t="s">
        <v>530</v>
      </c>
      <c r="B210" t="str" cm="1">
        <f t="array" ref="B210">_xlfn.XLOOKUP(C210, INDEX([1]!카테고리매핑,,2), INDEX([1]!카테고리매핑,,1), "미등록 카테고리")</f>
        <v>간식류</v>
      </c>
      <c r="C210" t="s">
        <v>63</v>
      </c>
      <c r="D210" t="str">
        <f>VLOOKUP(C210, '[1]VLOOKUP 함수용 카테고리'!$A$1:$B$59, 2, 0)</f>
        <v>BAKERY</v>
      </c>
      <c r="E210" t="s">
        <v>496</v>
      </c>
      <c r="F210" t="s">
        <v>531</v>
      </c>
    </row>
    <row r="211" spans="1:6" x14ac:dyDescent="0.3">
      <c r="A211" t="s">
        <v>532</v>
      </c>
      <c r="B211" t="str" cm="1">
        <f t="array" ref="B211">_xlfn.XLOOKUP(C211, INDEX([1]!카테고리매핑,,2), INDEX([1]!카테고리매핑,,1), "미등록 카테고리")</f>
        <v>채소/곡물류</v>
      </c>
      <c r="C211" t="s">
        <v>301</v>
      </c>
      <c r="D211" t="str">
        <f>VLOOKUP(C211, '[1]VLOOKUP 함수용 카테고리'!$A$1:$B$59, 2, 0)</f>
        <v>GRAIN</v>
      </c>
      <c r="E211" t="s">
        <v>490</v>
      </c>
      <c r="F211" t="s">
        <v>533</v>
      </c>
    </row>
    <row r="212" spans="1:6" x14ac:dyDescent="0.3">
      <c r="A212" t="s">
        <v>534</v>
      </c>
      <c r="B212" t="str" cm="1">
        <f t="array" ref="B212">_xlfn.XLOOKUP(C212, INDEX([1]!카테고리매핑,,2), INDEX([1]!카테고리매핑,,1), "미등록 카테고리")</f>
        <v>채소/곡물류</v>
      </c>
      <c r="C212" t="s">
        <v>7</v>
      </c>
      <c r="D212" t="str">
        <f>VLOOKUP(C212, '[1]VLOOKUP 함수용 카테고리'!$A$1:$B$59, 2, 0)</f>
        <v>RAW_PRODUCE</v>
      </c>
      <c r="E212" t="s">
        <v>535</v>
      </c>
    </row>
    <row r="213" spans="1:6" x14ac:dyDescent="0.3">
      <c r="A213" t="s">
        <v>536</v>
      </c>
      <c r="B213" t="str" cm="1">
        <f t="array" ref="B213">_xlfn.XLOOKUP(C213, INDEX([1]!카테고리매핑,,2), INDEX([1]!카테고리매핑,,1), "미등록 카테고리")</f>
        <v>육류/계란</v>
      </c>
      <c r="C213" t="s">
        <v>298</v>
      </c>
      <c r="D213" t="str">
        <f>VLOOKUP(C213, '[1]VLOOKUP 함수용 카테고리'!$A$1:$B$59, 2, 0)</f>
        <v>RAW_MEAT</v>
      </c>
      <c r="E213" t="s">
        <v>537</v>
      </c>
      <c r="F213" t="s">
        <v>538</v>
      </c>
    </row>
    <row r="214" spans="1:6" x14ac:dyDescent="0.3">
      <c r="A214" t="s">
        <v>539</v>
      </c>
      <c r="B214" t="str" cm="1">
        <f t="array" ref="B214">_xlfn.XLOOKUP(C214, INDEX([1]!카테고리매핑,,2), INDEX([1]!카테고리매핑,,1), "미등록 카테고리")</f>
        <v>간편식</v>
      </c>
      <c r="C214" t="s">
        <v>131</v>
      </c>
      <c r="D214" t="str">
        <f>VLOOKUP(C214, '[1]VLOOKUP 함수용 카테고리'!$A$1:$B$59, 2, 0)</f>
        <v>SIMPLE_PROCESSED</v>
      </c>
      <c r="E214" t="s">
        <v>540</v>
      </c>
      <c r="F214" t="s">
        <v>541</v>
      </c>
    </row>
    <row r="215" spans="1:6" x14ac:dyDescent="0.3">
      <c r="A215" t="s">
        <v>542</v>
      </c>
      <c r="B215" t="str" cm="1">
        <f t="array" ref="B215">_xlfn.XLOOKUP(C215, INDEX([1]!카테고리매핑,,2), INDEX([1]!카테고리매핑,,1), "미등록 카테고리")</f>
        <v>유제품</v>
      </c>
      <c r="C215" t="s">
        <v>211</v>
      </c>
      <c r="D215" t="str">
        <f>VLOOKUP(C215, '[1]VLOOKUP 함수용 카테고리'!$A$1:$B$59, 2, 0)</f>
        <v>DAIRY</v>
      </c>
      <c r="E215" t="s">
        <v>212</v>
      </c>
      <c r="F215" t="s">
        <v>543</v>
      </c>
    </row>
    <row r="216" spans="1:6" x14ac:dyDescent="0.3">
      <c r="A216" t="s">
        <v>544</v>
      </c>
      <c r="B216" t="str" cm="1">
        <f t="array" ref="B216">_xlfn.XLOOKUP(C216, INDEX([1]!카테고리매핑,,2), INDEX([1]!카테고리매핑,,1), "미등록 카테고리")</f>
        <v>간식류</v>
      </c>
      <c r="C216" t="s">
        <v>15</v>
      </c>
      <c r="D216" t="str">
        <f>VLOOKUP(C216, '[1]VLOOKUP 함수용 카테고리'!$A$1:$B$59, 2, 0)</f>
        <v>BAKERY</v>
      </c>
      <c r="E216" t="s">
        <v>200</v>
      </c>
      <c r="F216" t="s">
        <v>545</v>
      </c>
    </row>
    <row r="217" spans="1:6" x14ac:dyDescent="0.3">
      <c r="A217" t="s">
        <v>546</v>
      </c>
      <c r="B217" t="str" cm="1">
        <f t="array" ref="B217">_xlfn.XLOOKUP(C217, INDEX([1]!카테고리매핑,,2), INDEX([1]!카테고리매핑,,1), "미등록 카테고리")</f>
        <v>간편식</v>
      </c>
      <c r="C217" t="s">
        <v>46</v>
      </c>
      <c r="D217" t="str">
        <f>VLOOKUP(C217, '[1]VLOOKUP 함수용 카테고리'!$A$1:$B$59, 2, 0)</f>
        <v>RTC_MEAL</v>
      </c>
      <c r="E217" t="s">
        <v>46</v>
      </c>
      <c r="F217" t="s">
        <v>547</v>
      </c>
    </row>
    <row r="218" spans="1:6" x14ac:dyDescent="0.3">
      <c r="A218" t="s">
        <v>548</v>
      </c>
      <c r="B218" t="str" cm="1">
        <f t="array" ref="B218">_xlfn.XLOOKUP(C218, INDEX([1]!카테고리매핑,,2), INDEX([1]!카테고리매핑,,1), "미등록 카테고리")</f>
        <v>유제품</v>
      </c>
      <c r="C218" t="s">
        <v>432</v>
      </c>
      <c r="D218" t="str">
        <f>VLOOKUP(C218, '[1]VLOOKUP 함수용 카테고리'!$A$1:$B$59, 2, 0)</f>
        <v>DAIRY</v>
      </c>
      <c r="E218" t="s">
        <v>549</v>
      </c>
      <c r="F218" t="s">
        <v>550</v>
      </c>
    </row>
    <row r="219" spans="1:6" x14ac:dyDescent="0.3">
      <c r="A219" t="s">
        <v>551</v>
      </c>
      <c r="B219" t="str" cm="1">
        <f t="array" ref="B219">_xlfn.XLOOKUP(C219, INDEX([1]!카테고리매핑,,2), INDEX([1]!카테고리매핑,,1), "미등록 카테고리")</f>
        <v>간식류</v>
      </c>
      <c r="C219" t="s">
        <v>38</v>
      </c>
      <c r="D219" t="str">
        <f>VLOOKUP(C219, '[1]VLOOKUP 함수용 카테고리'!$A$1:$B$59, 2, 0)</f>
        <v>SNACK</v>
      </c>
      <c r="E219" t="s">
        <v>179</v>
      </c>
      <c r="F219" t="s">
        <v>54</v>
      </c>
    </row>
    <row r="220" spans="1:6" x14ac:dyDescent="0.3">
      <c r="A220" t="s">
        <v>552</v>
      </c>
      <c r="B220" t="str" cm="1">
        <f t="array" ref="B220">_xlfn.XLOOKUP(C220, INDEX([1]!카테고리매핑,,2), INDEX([1]!카테고리매핑,,1), "미등록 카테고리")</f>
        <v>술</v>
      </c>
      <c r="C220" t="s">
        <v>42</v>
      </c>
      <c r="D220" t="str">
        <f>VLOOKUP(C220, '[1]VLOOKUP 함수용 카테고리'!$A$1:$B$59, 2, 0)</f>
        <v>ALCOHOL</v>
      </c>
      <c r="E220" t="s">
        <v>553</v>
      </c>
      <c r="F220" t="s">
        <v>554</v>
      </c>
    </row>
    <row r="221" spans="1:6" x14ac:dyDescent="0.3">
      <c r="A221" t="s">
        <v>555</v>
      </c>
      <c r="B221" t="str" cm="1">
        <f t="array" ref="B221">_xlfn.XLOOKUP(C221, INDEX([1]!카테고리매핑,,2), INDEX([1]!카테고리매핑,,1), "미등록 카테고리")</f>
        <v>수산물</v>
      </c>
      <c r="C221" t="s">
        <v>140</v>
      </c>
      <c r="D221" t="str">
        <f>VLOOKUP(C221, '[1]VLOOKUP 함수용 카테고리'!$A$1:$B$59, 2, 0)</f>
        <v>SIMPLE_PROCESSED</v>
      </c>
      <c r="E221" t="s">
        <v>141</v>
      </c>
      <c r="F221" t="s">
        <v>556</v>
      </c>
    </row>
    <row r="222" spans="1:6" x14ac:dyDescent="0.3">
      <c r="A222" t="s">
        <v>557</v>
      </c>
      <c r="B222" t="str" cm="1">
        <f t="array" ref="B222">_xlfn.XLOOKUP(C222, INDEX([1]!카테고리매핑,,2), INDEX([1]!카테고리매핑,,1), "미등록 카테고리")</f>
        <v>조미료</v>
      </c>
      <c r="C222" t="s">
        <v>558</v>
      </c>
      <c r="D222" t="str">
        <f>VLOOKUP(C222, '[1]VLOOKUP 함수용 카테고리'!$A$1:$B$59, 2, 0)</f>
        <v>SAUCE_SEASONING</v>
      </c>
      <c r="E222" t="s">
        <v>559</v>
      </c>
      <c r="F222" t="s">
        <v>129</v>
      </c>
    </row>
    <row r="223" spans="1:6" x14ac:dyDescent="0.3">
      <c r="A223" t="s">
        <v>560</v>
      </c>
      <c r="B223" t="str" cm="1">
        <f t="array" ref="B223">_xlfn.XLOOKUP(C223, INDEX([1]!카테고리매핑,,2), INDEX([1]!카테고리매핑,,1), "미등록 카테고리")</f>
        <v>채소/곡물류</v>
      </c>
      <c r="C223" t="s">
        <v>207</v>
      </c>
      <c r="D223" t="str">
        <f>VLOOKUP(C223, '[1]VLOOKUP 함수용 카테고리'!$A$1:$B$59, 2, 0)</f>
        <v>GRAIN</v>
      </c>
      <c r="E223" t="s">
        <v>561</v>
      </c>
      <c r="F223" t="s">
        <v>156</v>
      </c>
    </row>
    <row r="224" spans="1:6" x14ac:dyDescent="0.3">
      <c r="A224" t="s">
        <v>562</v>
      </c>
      <c r="B224" t="str" cm="1">
        <f t="array" ref="B224">_xlfn.XLOOKUP(C224, INDEX([1]!카테고리매핑,,2), INDEX([1]!카테고리매핑,,1), "미등록 카테고리")</f>
        <v>음료</v>
      </c>
      <c r="C224" t="s">
        <v>23</v>
      </c>
      <c r="D224" t="str">
        <f>VLOOKUP(C224, '[1]VLOOKUP 함수용 카테고리'!$A$1:$B$59, 2, 0)</f>
        <v>BEVERAGE</v>
      </c>
      <c r="E224" t="s">
        <v>24</v>
      </c>
      <c r="F224" t="s">
        <v>563</v>
      </c>
    </row>
    <row r="225" spans="1:6" x14ac:dyDescent="0.3">
      <c r="A225" t="s">
        <v>564</v>
      </c>
      <c r="B225" t="str" cm="1">
        <f t="array" ref="B225">_xlfn.XLOOKUP(C225, INDEX([1]!카테고리매핑,,2), INDEX([1]!카테고리매핑,,1), "미등록 카테고리")</f>
        <v>간편식</v>
      </c>
      <c r="C225" t="s">
        <v>19</v>
      </c>
      <c r="D225" t="str">
        <f>VLOOKUP(C225, '[1]VLOOKUP 함수용 카테고리'!$A$1:$B$59, 2, 0)</f>
        <v>FROZEN_MEAL</v>
      </c>
      <c r="E225" t="s">
        <v>20</v>
      </c>
      <c r="F225" t="s">
        <v>350</v>
      </c>
    </row>
    <row r="226" spans="1:6" x14ac:dyDescent="0.3">
      <c r="A226" t="s">
        <v>565</v>
      </c>
      <c r="B226" t="str" cm="1">
        <f t="array" ref="B226">_xlfn.XLOOKUP(C226, INDEX([1]!카테고리매핑,,2), INDEX([1]!카테고리매핑,,1), "미등록 카테고리")</f>
        <v>채소/곡물류</v>
      </c>
      <c r="C226" t="s">
        <v>7</v>
      </c>
      <c r="D226" t="str">
        <f>VLOOKUP(C226, '[1]VLOOKUP 함수용 카테고리'!$A$1:$B$59, 2, 0)</f>
        <v>RAW_PRODUCE</v>
      </c>
      <c r="E226" t="s">
        <v>566</v>
      </c>
    </row>
    <row r="227" spans="1:6" x14ac:dyDescent="0.3">
      <c r="A227" t="s">
        <v>567</v>
      </c>
      <c r="B227" t="str" cm="1">
        <f t="array" ref="B227">_xlfn.XLOOKUP(C227, INDEX([1]!카테고리매핑,,2), INDEX([1]!카테고리매핑,,1), "미등록 카테고리")</f>
        <v>간편식</v>
      </c>
      <c r="C227" t="s">
        <v>46</v>
      </c>
      <c r="D227" t="str">
        <f>VLOOKUP(C227, '[1]VLOOKUP 함수용 카테고리'!$A$1:$B$59, 2, 0)</f>
        <v>RTC_MEAL</v>
      </c>
      <c r="E227" t="s">
        <v>46</v>
      </c>
      <c r="F227" t="s">
        <v>568</v>
      </c>
    </row>
    <row r="228" spans="1:6" x14ac:dyDescent="0.3">
      <c r="A228" t="s">
        <v>569</v>
      </c>
      <c r="B228" t="str" cm="1">
        <f t="array" ref="B228">_xlfn.XLOOKUP(C228, INDEX([1]!카테고리매핑,,2), INDEX([1]!카테고리매핑,,1), "미등록 카테고리")</f>
        <v>육류/계란</v>
      </c>
      <c r="C228" t="s">
        <v>298</v>
      </c>
      <c r="D228" t="str">
        <f>VLOOKUP(C228, '[1]VLOOKUP 함수용 카테고리'!$A$1:$B$59, 2, 0)</f>
        <v>RAW_MEAT</v>
      </c>
      <c r="E228" t="s">
        <v>570</v>
      </c>
      <c r="F228" t="s">
        <v>571</v>
      </c>
    </row>
    <row r="229" spans="1:6" x14ac:dyDescent="0.3">
      <c r="A229" t="s">
        <v>572</v>
      </c>
      <c r="B229" t="str" cm="1">
        <f t="array" ref="B229">_xlfn.XLOOKUP(C229, INDEX([1]!카테고리매핑,,2), INDEX([1]!카테고리매핑,,1), "미등록 카테고리")</f>
        <v>육류/계란</v>
      </c>
      <c r="C229" t="s">
        <v>149</v>
      </c>
      <c r="D229" t="str">
        <f>VLOOKUP(C229, '[1]VLOOKUP 함수용 카테고리'!$A$1:$B$59, 2, 0)</f>
        <v>RAW_MEAT</v>
      </c>
      <c r="E229" t="s">
        <v>573</v>
      </c>
      <c r="F229" t="s">
        <v>574</v>
      </c>
    </row>
    <row r="230" spans="1:6" x14ac:dyDescent="0.3">
      <c r="A230" t="s">
        <v>575</v>
      </c>
      <c r="B230" t="str" cm="1">
        <f t="array" ref="B230">_xlfn.XLOOKUP(C230, INDEX([1]!카테고리매핑,,2), INDEX([1]!카테고리매핑,,1), "미등록 카테고리")</f>
        <v>간편식</v>
      </c>
      <c r="C230" t="s">
        <v>256</v>
      </c>
      <c r="D230" t="str">
        <f>VLOOKUP(C230, '[1]VLOOKUP 함수용 카테고리'!$A$1:$B$59, 2, 0)</f>
        <v>RTC_MEAL</v>
      </c>
      <c r="E230" t="s">
        <v>576</v>
      </c>
      <c r="F230" t="s">
        <v>577</v>
      </c>
    </row>
    <row r="231" spans="1:6" x14ac:dyDescent="0.3">
      <c r="A231" t="s">
        <v>578</v>
      </c>
      <c r="B231" t="str" cm="1">
        <f t="array" ref="B231">_xlfn.XLOOKUP(C231, INDEX([1]!카테고리매핑,,2), INDEX([1]!카테고리매핑,,1), "미등록 카테고리")</f>
        <v>유제품</v>
      </c>
      <c r="C231" t="s">
        <v>98</v>
      </c>
      <c r="D231" t="str">
        <f>VLOOKUP(C231, '[1]VLOOKUP 함수용 카테고리'!$A$1:$B$59, 2, 0)</f>
        <v>DAIRY</v>
      </c>
      <c r="E231" t="s">
        <v>98</v>
      </c>
      <c r="F231" t="s">
        <v>579</v>
      </c>
    </row>
    <row r="232" spans="1:6" x14ac:dyDescent="0.3">
      <c r="A232" t="s">
        <v>580</v>
      </c>
      <c r="B232" t="str" cm="1">
        <f t="array" ref="B232">_xlfn.XLOOKUP(C232, INDEX([1]!카테고리매핑,,2), INDEX([1]!카테고리매핑,,1), "미등록 카테고리")</f>
        <v>음료</v>
      </c>
      <c r="C232" t="s">
        <v>23</v>
      </c>
      <c r="D232" t="str">
        <f>VLOOKUP(C232, '[1]VLOOKUP 함수용 카테고리'!$A$1:$B$59, 2, 0)</f>
        <v>BEVERAGE</v>
      </c>
      <c r="E232" t="s">
        <v>581</v>
      </c>
      <c r="F232" t="s">
        <v>582</v>
      </c>
    </row>
    <row r="233" spans="1:6" x14ac:dyDescent="0.3">
      <c r="A233" t="s">
        <v>583</v>
      </c>
      <c r="B233" t="str" cm="1">
        <f t="array" ref="B233">_xlfn.XLOOKUP(C233, INDEX([1]!카테고리매핑,,2), INDEX([1]!카테고리매핑,,1), "미등록 카테고리")</f>
        <v>음료</v>
      </c>
      <c r="C233" t="s">
        <v>584</v>
      </c>
      <c r="D233" t="str">
        <f>VLOOKUP(C233, '[1]VLOOKUP 함수용 카테고리'!$A$1:$B$59, 2, 0)</f>
        <v>BEVERAGE</v>
      </c>
      <c r="E233" t="s">
        <v>585</v>
      </c>
      <c r="F233" t="s">
        <v>586</v>
      </c>
    </row>
    <row r="234" spans="1:6" x14ac:dyDescent="0.3">
      <c r="A234" t="s">
        <v>587</v>
      </c>
      <c r="B234" t="str" cm="1">
        <f t="array" ref="B234">_xlfn.XLOOKUP(C234, INDEX([1]!카테고리매핑,,2), INDEX([1]!카테고리매핑,,1), "미등록 카테고리")</f>
        <v>간식류</v>
      </c>
      <c r="C234" t="s">
        <v>15</v>
      </c>
      <c r="D234" t="str">
        <f>VLOOKUP(C234, '[1]VLOOKUP 함수용 카테고리'!$A$1:$B$59, 2, 0)</f>
        <v>BAKERY</v>
      </c>
      <c r="E234" t="s">
        <v>53</v>
      </c>
      <c r="F234" t="s">
        <v>54</v>
      </c>
    </row>
    <row r="235" spans="1:6" x14ac:dyDescent="0.3">
      <c r="A235" t="s">
        <v>588</v>
      </c>
      <c r="B235" t="str" cm="1">
        <f t="array" ref="B235">_xlfn.XLOOKUP(C235, INDEX([1]!카테고리매핑,,2), INDEX([1]!카테고리매핑,,1), "미등록 카테고리")</f>
        <v>육류/계란</v>
      </c>
      <c r="C235" t="s">
        <v>149</v>
      </c>
      <c r="D235" t="str">
        <f>VLOOKUP(C235, '[1]VLOOKUP 함수용 카테고리'!$A$1:$B$59, 2, 0)</f>
        <v>RAW_MEAT</v>
      </c>
      <c r="E235" t="s">
        <v>589</v>
      </c>
      <c r="F235" t="s">
        <v>590</v>
      </c>
    </row>
    <row r="236" spans="1:6" x14ac:dyDescent="0.3">
      <c r="A236" t="s">
        <v>591</v>
      </c>
      <c r="B236" t="str" cm="1">
        <f t="array" ref="B236">_xlfn.XLOOKUP(C236, INDEX([1]!카테고리매핑,,2), INDEX([1]!카테고리매핑,,1), "미등록 카테고리")</f>
        <v>간편식</v>
      </c>
      <c r="C236" t="s">
        <v>46</v>
      </c>
      <c r="D236" t="str">
        <f>VLOOKUP(C236, '[1]VLOOKUP 함수용 카테고리'!$A$1:$B$59, 2, 0)</f>
        <v>RTC_MEAL</v>
      </c>
      <c r="E236" t="s">
        <v>46</v>
      </c>
      <c r="F236" t="s">
        <v>592</v>
      </c>
    </row>
    <row r="237" spans="1:6" x14ac:dyDescent="0.3">
      <c r="A237" t="s">
        <v>593</v>
      </c>
      <c r="B237" t="str" cm="1">
        <f t="array" ref="B237">_xlfn.XLOOKUP(C237, INDEX([1]!카테고리매핑,,2), INDEX([1]!카테고리매핑,,1), "미등록 카테고리")</f>
        <v>간식류</v>
      </c>
      <c r="C237" t="s">
        <v>11</v>
      </c>
      <c r="D237" t="str">
        <f>VLOOKUP(C237, '[1]VLOOKUP 함수용 카테고리'!$A$1:$B$59, 2, 0)</f>
        <v>SNACK</v>
      </c>
      <c r="E237" t="s">
        <v>594</v>
      </c>
      <c r="F237" t="s">
        <v>595</v>
      </c>
    </row>
    <row r="238" spans="1:6" x14ac:dyDescent="0.3">
      <c r="A238" t="s">
        <v>596</v>
      </c>
      <c r="B238" t="str" cm="1">
        <f t="array" ref="B238">_xlfn.XLOOKUP(C238, INDEX([1]!카테고리매핑,,2), INDEX([1]!카테고리매핑,,1), "미등록 카테고리")</f>
        <v>술</v>
      </c>
      <c r="C238" t="s">
        <v>56</v>
      </c>
      <c r="D238" t="str">
        <f>VLOOKUP(C238, '[1]VLOOKUP 함수용 카테고리'!$A$1:$B$59, 2, 0)</f>
        <v>ALCOHOL</v>
      </c>
      <c r="E238" t="s">
        <v>57</v>
      </c>
    </row>
    <row r="239" spans="1:6" x14ac:dyDescent="0.3">
      <c r="A239" t="s">
        <v>597</v>
      </c>
      <c r="B239" t="str" cm="1">
        <f t="array" ref="B239">_xlfn.XLOOKUP(C239, INDEX([1]!카테고리매핑,,2), INDEX([1]!카테고리매핑,,1), "미등록 카테고리")</f>
        <v>채소/곡물류</v>
      </c>
      <c r="C239" t="s">
        <v>301</v>
      </c>
      <c r="D239" t="str">
        <f>VLOOKUP(C239, '[1]VLOOKUP 함수용 카테고리'!$A$1:$B$59, 2, 0)</f>
        <v>GRAIN</v>
      </c>
      <c r="E239" t="s">
        <v>490</v>
      </c>
      <c r="F239" t="s">
        <v>598</v>
      </c>
    </row>
    <row r="240" spans="1:6" x14ac:dyDescent="0.3">
      <c r="A240" t="s">
        <v>599</v>
      </c>
      <c r="B240" t="str" cm="1">
        <f t="array" ref="B240">_xlfn.XLOOKUP(C240, INDEX([1]!카테고리매핑,,2), INDEX([1]!카테고리매핑,,1), "미등록 카테고리")</f>
        <v>상온식품</v>
      </c>
      <c r="C240" t="s">
        <v>276</v>
      </c>
      <c r="D240" t="str">
        <f>VLOOKUP(C240, '[1]VLOOKUP 함수용 카테고리'!$A$1:$B$59, 2, 0)</f>
        <v>DRIED_SEAFOOD</v>
      </c>
      <c r="E240" t="s">
        <v>277</v>
      </c>
      <c r="F240" t="s">
        <v>237</v>
      </c>
    </row>
    <row r="241" spans="1:6" x14ac:dyDescent="0.3">
      <c r="A241" t="s">
        <v>600</v>
      </c>
      <c r="B241" t="str" cm="1">
        <f t="array" ref="B241">_xlfn.XLOOKUP(C241, INDEX([1]!카테고리매핑,,2), INDEX([1]!카테고리매핑,,1), "미등록 카테고리")</f>
        <v>수산물</v>
      </c>
      <c r="C241" t="s">
        <v>101</v>
      </c>
      <c r="D241" t="str">
        <f>VLOOKUP(C241, '[1]VLOOKUP 함수용 카테고리'!$A$1:$B$59, 2, 0)</f>
        <v>DRIED_SEAFOOD</v>
      </c>
      <c r="E241" t="s">
        <v>601</v>
      </c>
    </row>
    <row r="242" spans="1:6" x14ac:dyDescent="0.3">
      <c r="A242" t="s">
        <v>602</v>
      </c>
      <c r="B242" t="str" cm="1">
        <f t="array" ref="B242">_xlfn.XLOOKUP(C242, INDEX([1]!카테고리매핑,,2), INDEX([1]!카테고리매핑,,1), "미등록 카테고리")</f>
        <v>간편식</v>
      </c>
      <c r="C242" t="s">
        <v>158</v>
      </c>
      <c r="D242" t="str">
        <f>VLOOKUP(C242, '[1]VLOOKUP 함수용 카테고리'!$A$1:$B$59, 2, 0)</f>
        <v>INSTANT</v>
      </c>
      <c r="E242" t="s">
        <v>603</v>
      </c>
      <c r="F242" t="s">
        <v>154</v>
      </c>
    </row>
    <row r="243" spans="1:6" x14ac:dyDescent="0.3">
      <c r="A243" t="s">
        <v>604</v>
      </c>
      <c r="B243" t="str" cm="1">
        <f t="array" ref="B243">_xlfn.XLOOKUP(C243, INDEX([1]!카테고리매핑,,2), INDEX([1]!카테고리매핑,,1), "미등록 카테고리")</f>
        <v>음료</v>
      </c>
      <c r="C243" t="s">
        <v>23</v>
      </c>
      <c r="D243" t="str">
        <f>VLOOKUP(C243, '[1]VLOOKUP 함수용 카테고리'!$A$1:$B$59, 2, 0)</f>
        <v>BEVERAGE</v>
      </c>
      <c r="E243" t="s">
        <v>288</v>
      </c>
      <c r="F243" t="s">
        <v>605</v>
      </c>
    </row>
    <row r="244" spans="1:6" x14ac:dyDescent="0.3">
      <c r="A244" t="s">
        <v>606</v>
      </c>
      <c r="B244" t="str" cm="1">
        <f t="array" ref="B244">_xlfn.XLOOKUP(C244, INDEX([1]!카테고리매핑,,2), INDEX([1]!카테고리매핑,,1), "미등록 카테고리")</f>
        <v>술</v>
      </c>
      <c r="C244" t="s">
        <v>42</v>
      </c>
      <c r="D244" t="str">
        <f>VLOOKUP(C244, '[1]VLOOKUP 함수용 카테고리'!$A$1:$B$59, 2, 0)</f>
        <v>ALCOHOL</v>
      </c>
      <c r="E244" t="s">
        <v>43</v>
      </c>
    </row>
    <row r="245" spans="1:6" x14ac:dyDescent="0.3">
      <c r="A245" t="s">
        <v>607</v>
      </c>
      <c r="B245" t="str" cm="1">
        <f t="array" ref="B245">_xlfn.XLOOKUP(C245, INDEX([1]!카테고리매핑,,2), INDEX([1]!카테고리매핑,,1), "미등록 카테고리")</f>
        <v>술</v>
      </c>
      <c r="C245" t="s">
        <v>56</v>
      </c>
      <c r="D245" t="str">
        <f>VLOOKUP(C245, '[1]VLOOKUP 함수용 카테고리'!$A$1:$B$59, 2, 0)</f>
        <v>ALCOHOL</v>
      </c>
      <c r="E245" t="s">
        <v>57</v>
      </c>
    </row>
    <row r="246" spans="1:6" x14ac:dyDescent="0.3">
      <c r="A246" t="s">
        <v>608</v>
      </c>
      <c r="B246" t="str" cm="1">
        <f t="array" ref="B246">_xlfn.XLOOKUP(C246, INDEX([1]!카테고리매핑,,2), INDEX([1]!카테고리매핑,,1), "미등록 카테고리")</f>
        <v>간식류</v>
      </c>
      <c r="C246" t="s">
        <v>63</v>
      </c>
      <c r="D246" t="str">
        <f>VLOOKUP(C246, '[1]VLOOKUP 함수용 카테고리'!$A$1:$B$59, 2, 0)</f>
        <v>BAKERY</v>
      </c>
      <c r="E246" t="s">
        <v>496</v>
      </c>
      <c r="F246" t="s">
        <v>609</v>
      </c>
    </row>
    <row r="247" spans="1:6" x14ac:dyDescent="0.3">
      <c r="A247" t="s">
        <v>610</v>
      </c>
      <c r="B247" t="str" cm="1">
        <f t="array" ref="B247">_xlfn.XLOOKUP(C247, INDEX([1]!카테고리매핑,,2), INDEX([1]!카테고리매핑,,1), "미등록 카테고리")</f>
        <v>채소/곡물류</v>
      </c>
      <c r="C247" t="s">
        <v>301</v>
      </c>
      <c r="D247" t="str">
        <f>VLOOKUP(C247, '[1]VLOOKUP 함수용 카테고리'!$A$1:$B$59, 2, 0)</f>
        <v>GRAIN</v>
      </c>
      <c r="E247" t="s">
        <v>611</v>
      </c>
      <c r="F247" t="s">
        <v>612</v>
      </c>
    </row>
    <row r="248" spans="1:6" x14ac:dyDescent="0.3">
      <c r="A248" t="s">
        <v>613</v>
      </c>
      <c r="B248" t="str" cm="1">
        <f t="array" ref="B248">_xlfn.XLOOKUP(C248, INDEX([1]!카테고리매핑,,2), INDEX([1]!카테고리매핑,,1), "미등록 카테고리")</f>
        <v>조미료</v>
      </c>
      <c r="C248" t="s">
        <v>127</v>
      </c>
      <c r="D248" t="str">
        <f>VLOOKUP(C248, '[1]VLOOKUP 함수용 카테고리'!$A$1:$B$59, 2, 0)</f>
        <v>SAUCE_SEASONING</v>
      </c>
      <c r="E248" t="s">
        <v>614</v>
      </c>
      <c r="F248" t="s">
        <v>615</v>
      </c>
    </row>
    <row r="249" spans="1:6" x14ac:dyDescent="0.3">
      <c r="A249" t="s">
        <v>616</v>
      </c>
      <c r="B249" t="str" cm="1">
        <f t="array" ref="B249">_xlfn.XLOOKUP(C249, INDEX([1]!카테고리매핑,,2), INDEX([1]!카테고리매핑,,1), "미등록 카테고리")</f>
        <v>간편식</v>
      </c>
      <c r="C249" t="s">
        <v>46</v>
      </c>
      <c r="D249" t="str">
        <f>VLOOKUP(C249, '[1]VLOOKUP 함수용 카테고리'!$A$1:$B$59, 2, 0)</f>
        <v>RTC_MEAL</v>
      </c>
      <c r="E249" t="s">
        <v>46</v>
      </c>
      <c r="F249" t="s">
        <v>617</v>
      </c>
    </row>
    <row r="250" spans="1:6" x14ac:dyDescent="0.3">
      <c r="A250" t="s">
        <v>618</v>
      </c>
      <c r="B250" t="str" cm="1">
        <f t="array" ref="B250">_xlfn.XLOOKUP(C250, INDEX([1]!카테고리매핑,,2), INDEX([1]!카테고리매핑,,1), "미등록 카테고리")</f>
        <v>조미료</v>
      </c>
      <c r="C250" t="s">
        <v>84</v>
      </c>
      <c r="D250" t="str">
        <f>VLOOKUP(C250, '[1]VLOOKUP 함수용 카테고리'!$A$1:$B$59, 2, 0)</f>
        <v>SAUCE_SEASONING</v>
      </c>
      <c r="E250" t="s">
        <v>619</v>
      </c>
      <c r="F250" t="s">
        <v>620</v>
      </c>
    </row>
    <row r="251" spans="1:6" x14ac:dyDescent="0.3">
      <c r="A251" t="s">
        <v>621</v>
      </c>
      <c r="B251" t="str" cm="1">
        <f t="array" ref="B251">_xlfn.XLOOKUP(C251, INDEX([1]!카테고리매핑,,2), INDEX([1]!카테고리매핑,,1), "미등록 카테고리")</f>
        <v>유제품</v>
      </c>
      <c r="C251" t="s">
        <v>123</v>
      </c>
      <c r="D251" t="str">
        <f>VLOOKUP(C251, '[1]VLOOKUP 함수용 카테고리'!$A$1:$B$59, 2, 0)</f>
        <v>DAIRY</v>
      </c>
      <c r="E251" t="s">
        <v>622</v>
      </c>
      <c r="F251" t="s">
        <v>623</v>
      </c>
    </row>
    <row r="252" spans="1:6" x14ac:dyDescent="0.3">
      <c r="A252" t="s">
        <v>624</v>
      </c>
      <c r="B252" t="str" cm="1">
        <f t="array" ref="B252">_xlfn.XLOOKUP(C252, INDEX([1]!카테고리매핑,,2), INDEX([1]!카테고리매핑,,1), "미등록 카테고리")</f>
        <v>조미료</v>
      </c>
      <c r="C252" t="s">
        <v>84</v>
      </c>
      <c r="D252" t="str">
        <f>VLOOKUP(C252, '[1]VLOOKUP 함수용 카테고리'!$A$1:$B$59, 2, 0)</f>
        <v>SAUCE_SEASONING</v>
      </c>
      <c r="E252" t="s">
        <v>85</v>
      </c>
    </row>
    <row r="253" spans="1:6" x14ac:dyDescent="0.3">
      <c r="A253" t="s">
        <v>625</v>
      </c>
      <c r="B253" t="str" cm="1">
        <f t="array" ref="B253">_xlfn.XLOOKUP(C253, INDEX([1]!카테고리매핑,,2), INDEX([1]!카테고리매핑,,1), "미등록 카테고리")</f>
        <v>간편식</v>
      </c>
      <c r="C253" t="s">
        <v>256</v>
      </c>
      <c r="D253" t="str">
        <f>VLOOKUP(C253, '[1]VLOOKUP 함수용 카테고리'!$A$1:$B$59, 2, 0)</f>
        <v>RTC_MEAL</v>
      </c>
      <c r="E253" t="s">
        <v>626</v>
      </c>
      <c r="F253" t="s">
        <v>627</v>
      </c>
    </row>
    <row r="254" spans="1:6" x14ac:dyDescent="0.3">
      <c r="A254" t="s">
        <v>628</v>
      </c>
      <c r="B254" t="str" cm="1">
        <f t="array" ref="B254">_xlfn.XLOOKUP(C254, INDEX([1]!카테고리매핑,,2), INDEX([1]!카테고리매핑,,1), "미등록 카테고리")</f>
        <v>미등록 카테고리</v>
      </c>
      <c r="C254" t="s">
        <v>334</v>
      </c>
      <c r="D254" t="str">
        <f>VLOOKUP(C254, '[1]VLOOKUP 함수용 카테고리'!$A$1:$B$59, 2, 0)</f>
        <v>UNKNOWN</v>
      </c>
      <c r="E254" t="s">
        <v>334</v>
      </c>
      <c r="F254" t="s">
        <v>629</v>
      </c>
    </row>
    <row r="255" spans="1:6" x14ac:dyDescent="0.3">
      <c r="A255" t="s">
        <v>630</v>
      </c>
      <c r="B255" t="str" cm="1">
        <f t="array" ref="B255">_xlfn.XLOOKUP(C255, INDEX([1]!카테고리매핑,,2), INDEX([1]!카테고리매핑,,1), "미등록 카테고리")</f>
        <v>간식류</v>
      </c>
      <c r="C255" t="s">
        <v>109</v>
      </c>
      <c r="D255" t="str">
        <f>VLOOKUP(C255, '[1]VLOOKUP 함수용 카테고리'!$A$1:$B$59, 2, 0)</f>
        <v>SNACK</v>
      </c>
      <c r="E255" t="s">
        <v>631</v>
      </c>
      <c r="F255" t="s">
        <v>632</v>
      </c>
    </row>
    <row r="256" spans="1:6" x14ac:dyDescent="0.3">
      <c r="A256" t="s">
        <v>633</v>
      </c>
      <c r="B256" t="str" cm="1">
        <f t="array" ref="B256">_xlfn.XLOOKUP(C256, INDEX([1]!카테고리매핑,,2), INDEX([1]!카테고리매핑,,1), "미등록 카테고리")</f>
        <v>간편식</v>
      </c>
      <c r="C256" t="s">
        <v>131</v>
      </c>
      <c r="D256" t="str">
        <f>VLOOKUP(C256, '[1]VLOOKUP 함수용 카테고리'!$A$1:$B$59, 2, 0)</f>
        <v>SIMPLE_PROCESSED</v>
      </c>
      <c r="E256" t="s">
        <v>132</v>
      </c>
    </row>
    <row r="257" spans="1:6" x14ac:dyDescent="0.3">
      <c r="A257" t="s">
        <v>634</v>
      </c>
      <c r="B257" t="str" cm="1">
        <f t="array" ref="B257">_xlfn.XLOOKUP(C257, INDEX([1]!카테고리매핑,,2), INDEX([1]!카테고리매핑,,1), "미등록 카테고리")</f>
        <v>육류/계란</v>
      </c>
      <c r="C257" t="s">
        <v>149</v>
      </c>
      <c r="D257" t="str">
        <f>VLOOKUP(C257, '[1]VLOOKUP 함수용 카테고리'!$A$1:$B$59, 2, 0)</f>
        <v>RAW_MEAT</v>
      </c>
      <c r="E257" t="s">
        <v>635</v>
      </c>
      <c r="F257" t="s">
        <v>636</v>
      </c>
    </row>
    <row r="258" spans="1:6" x14ac:dyDescent="0.3">
      <c r="A258" t="s">
        <v>637</v>
      </c>
      <c r="B258" t="str" cm="1">
        <f t="array" ref="B258">_xlfn.XLOOKUP(C258, INDEX([1]!카테고리매핑,,2), INDEX([1]!카테고리매핑,,1), "미등록 카테고리")</f>
        <v>음료</v>
      </c>
      <c r="C258" t="s">
        <v>23</v>
      </c>
      <c r="D258" t="str">
        <f>VLOOKUP(C258, '[1]VLOOKUP 함수용 카테고리'!$A$1:$B$59, 2, 0)</f>
        <v>BEVERAGE</v>
      </c>
      <c r="E258" t="s">
        <v>352</v>
      </c>
      <c r="F258" t="s">
        <v>638</v>
      </c>
    </row>
    <row r="259" spans="1:6" x14ac:dyDescent="0.3">
      <c r="A259" t="s">
        <v>639</v>
      </c>
      <c r="B259" t="str" cm="1">
        <f t="array" ref="B259">_xlfn.XLOOKUP(C259, INDEX([1]!카테고리매핑,,2), INDEX([1]!카테고리매핑,,1), "미등록 카테고리")</f>
        <v>음료</v>
      </c>
      <c r="C259" t="s">
        <v>23</v>
      </c>
      <c r="D259" t="str">
        <f>VLOOKUP(C259, '[1]VLOOKUP 함수용 카테고리'!$A$1:$B$59, 2, 0)</f>
        <v>BEVERAGE</v>
      </c>
      <c r="E259" t="s">
        <v>502</v>
      </c>
      <c r="F259" t="s">
        <v>640</v>
      </c>
    </row>
    <row r="260" spans="1:6" x14ac:dyDescent="0.3">
      <c r="A260" t="s">
        <v>641</v>
      </c>
      <c r="B260" t="str" cm="1">
        <f t="array" ref="B260">_xlfn.XLOOKUP(C260, INDEX([1]!카테고리매핑,,2), INDEX([1]!카테고리매핑,,1), "미등록 카테고리")</f>
        <v>채소/곡물류</v>
      </c>
      <c r="C260" t="s">
        <v>207</v>
      </c>
      <c r="D260" t="str">
        <f>VLOOKUP(C260, '[1]VLOOKUP 함수용 카테고리'!$A$1:$B$59, 2, 0)</f>
        <v>GRAIN</v>
      </c>
      <c r="E260" t="s">
        <v>642</v>
      </c>
      <c r="F260" t="s">
        <v>643</v>
      </c>
    </row>
    <row r="261" spans="1:6" x14ac:dyDescent="0.3">
      <c r="A261" t="s">
        <v>644</v>
      </c>
      <c r="B261" t="str" cm="1">
        <f t="array" ref="B261">_xlfn.XLOOKUP(C261, INDEX([1]!카테고리매핑,,2), INDEX([1]!카테고리매핑,,1), "미등록 카테고리")</f>
        <v>조미료</v>
      </c>
      <c r="C261" t="s">
        <v>117</v>
      </c>
      <c r="D261" t="str">
        <f>VLOOKUP(C261, '[1]VLOOKUP 함수용 카테고리'!$A$1:$B$59, 2, 0)</f>
        <v>SAUCE_SEASONING</v>
      </c>
      <c r="E261" t="s">
        <v>645</v>
      </c>
      <c r="F261" t="s">
        <v>646</v>
      </c>
    </row>
    <row r="262" spans="1:6" x14ac:dyDescent="0.3">
      <c r="A262" t="s">
        <v>647</v>
      </c>
      <c r="B262" t="str" cm="1">
        <f t="array" ref="B262">_xlfn.XLOOKUP(C262, INDEX([1]!카테고리매핑,,2), INDEX([1]!카테고리매핑,,1), "미등록 카테고리")</f>
        <v>간식류</v>
      </c>
      <c r="C262" t="s">
        <v>38</v>
      </c>
      <c r="D262" t="str">
        <f>VLOOKUP(C262, '[1]VLOOKUP 함수용 카테고리'!$A$1:$B$59, 2, 0)</f>
        <v>SNACK</v>
      </c>
      <c r="E262" t="s">
        <v>179</v>
      </c>
      <c r="F262" t="s">
        <v>403</v>
      </c>
    </row>
    <row r="263" spans="1:6" x14ac:dyDescent="0.3">
      <c r="A263" t="s">
        <v>648</v>
      </c>
      <c r="B263" t="str" cm="1">
        <f t="array" ref="B263">_xlfn.XLOOKUP(C263, INDEX([1]!카테고리매핑,,2), INDEX([1]!카테고리매핑,,1), "미등록 카테고리")</f>
        <v>조미료</v>
      </c>
      <c r="C263" t="s">
        <v>558</v>
      </c>
      <c r="D263" t="str">
        <f>VLOOKUP(C263, '[1]VLOOKUP 함수용 카테고리'!$A$1:$B$59, 2, 0)</f>
        <v>SAUCE_SEASONING</v>
      </c>
      <c r="E263" t="s">
        <v>649</v>
      </c>
      <c r="F263" t="s">
        <v>350</v>
      </c>
    </row>
    <row r="264" spans="1:6" x14ac:dyDescent="0.3">
      <c r="A264" t="s">
        <v>650</v>
      </c>
      <c r="B264" t="str" cm="1">
        <f t="array" ref="B264">_xlfn.XLOOKUP(C264, INDEX([1]!카테고리매핑,,2), INDEX([1]!카테고리매핑,,1), "미등록 카테고리")</f>
        <v>간식류</v>
      </c>
      <c r="C264" t="s">
        <v>11</v>
      </c>
      <c r="D264" t="str">
        <f>VLOOKUP(C264, '[1]VLOOKUP 함수용 카테고리'!$A$1:$B$59, 2, 0)</f>
        <v>SNACK</v>
      </c>
      <c r="E264" t="s">
        <v>651</v>
      </c>
    </row>
    <row r="265" spans="1:6" x14ac:dyDescent="0.3">
      <c r="A265" t="s">
        <v>652</v>
      </c>
      <c r="B265" t="str" cm="1">
        <f t="array" ref="B265">_xlfn.XLOOKUP(C265, INDEX([1]!카테고리매핑,,2), INDEX([1]!카테고리매핑,,1), "미등록 카테고리")</f>
        <v>육류/계란</v>
      </c>
      <c r="C265" t="s">
        <v>298</v>
      </c>
      <c r="D265" t="str">
        <f>VLOOKUP(C265, '[1]VLOOKUP 함수용 카테고리'!$A$1:$B$59, 2, 0)</f>
        <v>RAW_MEAT</v>
      </c>
      <c r="E265" t="s">
        <v>298</v>
      </c>
      <c r="F265" t="s">
        <v>299</v>
      </c>
    </row>
    <row r="266" spans="1:6" x14ac:dyDescent="0.3">
      <c r="A266" t="s">
        <v>653</v>
      </c>
      <c r="B266" t="str" cm="1">
        <f t="array" ref="B266">_xlfn.XLOOKUP(C266, INDEX([1]!카테고리매핑,,2), INDEX([1]!카테고리매핑,,1), "미등록 카테고리")</f>
        <v>과일/견과류</v>
      </c>
      <c r="C266" t="s">
        <v>654</v>
      </c>
      <c r="D266" t="str">
        <f>VLOOKUP(C266, '[1]VLOOKUP 함수용 카테고리'!$A$1:$B$59, 2, 0)</f>
        <v>RAW_FRUIT</v>
      </c>
      <c r="E266" t="s">
        <v>655</v>
      </c>
      <c r="F266" t="s">
        <v>656</v>
      </c>
    </row>
    <row r="267" spans="1:6" x14ac:dyDescent="0.3">
      <c r="A267" t="s">
        <v>657</v>
      </c>
      <c r="B267" t="str" cm="1">
        <f t="array" ref="B267">_xlfn.XLOOKUP(C267, INDEX([1]!카테고리매핑,,2), INDEX([1]!카테고리매핑,,1), "미등록 카테고리")</f>
        <v>조미료</v>
      </c>
      <c r="C267" t="s">
        <v>83</v>
      </c>
      <c r="D267" t="str">
        <f>VLOOKUP(C267, '[1]VLOOKUP 함수용 카테고리'!$A$1:$B$59, 2, 0)</f>
        <v>SAUCE_SEASONING</v>
      </c>
      <c r="E267" t="s">
        <v>658</v>
      </c>
      <c r="F267" t="s">
        <v>659</v>
      </c>
    </row>
    <row r="268" spans="1:6" x14ac:dyDescent="0.3">
      <c r="A268" t="s">
        <v>660</v>
      </c>
      <c r="B268" t="str" cm="1">
        <f t="array" ref="B268">_xlfn.XLOOKUP(C268, INDEX([1]!카테고리매핑,,2), INDEX([1]!카테고리매핑,,1), "미등록 카테고리")</f>
        <v>조미료</v>
      </c>
      <c r="C268" t="s">
        <v>84</v>
      </c>
      <c r="D268" t="str">
        <f>VLOOKUP(C268, '[1]VLOOKUP 함수용 카테고리'!$A$1:$B$59, 2, 0)</f>
        <v>SAUCE_SEASONING</v>
      </c>
      <c r="E268" t="s">
        <v>85</v>
      </c>
    </row>
    <row r="269" spans="1:6" x14ac:dyDescent="0.3">
      <c r="A269" t="s">
        <v>661</v>
      </c>
      <c r="B269" t="str" cm="1">
        <f t="array" ref="B269">_xlfn.XLOOKUP(C269, INDEX([1]!카테고리매핑,,2), INDEX([1]!카테고리매핑,,1), "미등록 카테고리")</f>
        <v>술</v>
      </c>
      <c r="C269" t="s">
        <v>42</v>
      </c>
      <c r="D269" t="str">
        <f>VLOOKUP(C269, '[1]VLOOKUP 함수용 카테고리'!$A$1:$B$59, 2, 0)</f>
        <v>ALCOHOL</v>
      </c>
      <c r="E269" t="s">
        <v>43</v>
      </c>
    </row>
    <row r="270" spans="1:6" x14ac:dyDescent="0.3">
      <c r="A270" t="s">
        <v>662</v>
      </c>
      <c r="B270" t="str" cm="1">
        <f t="array" ref="B270">_xlfn.XLOOKUP(C270, INDEX([1]!카테고리매핑,,2), INDEX([1]!카테고리매핑,,1), "미등록 카테고리")</f>
        <v>간편식</v>
      </c>
      <c r="C270" t="s">
        <v>256</v>
      </c>
      <c r="D270" t="str">
        <f>VLOOKUP(C270, '[1]VLOOKUP 함수용 카테고리'!$A$1:$B$59, 2, 0)</f>
        <v>RTC_MEAL</v>
      </c>
      <c r="E270" t="s">
        <v>256</v>
      </c>
      <c r="F270" t="s">
        <v>7695</v>
      </c>
    </row>
    <row r="271" spans="1:6" x14ac:dyDescent="0.3">
      <c r="A271" t="s">
        <v>664</v>
      </c>
      <c r="B271" t="str" cm="1">
        <f t="array" ref="B271">_xlfn.XLOOKUP(C271, INDEX([1]!카테고리매핑,,2), INDEX([1]!카테고리매핑,,1), "미등록 카테고리")</f>
        <v>수산물</v>
      </c>
      <c r="C271" t="s">
        <v>101</v>
      </c>
      <c r="D271" t="str">
        <f>VLOOKUP(C271, '[1]VLOOKUP 함수용 카테고리'!$A$1:$B$59, 2, 0)</f>
        <v>DRIED_SEAFOOD</v>
      </c>
      <c r="E271" t="s">
        <v>665</v>
      </c>
      <c r="F271" t="s">
        <v>666</v>
      </c>
    </row>
    <row r="272" spans="1:6" x14ac:dyDescent="0.3">
      <c r="A272" t="s">
        <v>667</v>
      </c>
      <c r="B272" t="str" cm="1">
        <f t="array" ref="B272">_xlfn.XLOOKUP(C272, INDEX([1]!카테고리매핑,,2), INDEX([1]!카테고리매핑,,1), "미등록 카테고리")</f>
        <v>육류/계란</v>
      </c>
      <c r="C272" t="s">
        <v>149</v>
      </c>
      <c r="D272" t="str">
        <f>VLOOKUP(C272, '[1]VLOOKUP 함수용 카테고리'!$A$1:$B$59, 2, 0)</f>
        <v>RAW_MEAT</v>
      </c>
      <c r="E272" t="s">
        <v>635</v>
      </c>
      <c r="F272" t="s">
        <v>350</v>
      </c>
    </row>
    <row r="273" spans="1:6" x14ac:dyDescent="0.3">
      <c r="A273" t="s">
        <v>668</v>
      </c>
      <c r="B273" t="str" cm="1">
        <f t="array" ref="B273">_xlfn.XLOOKUP(C273, INDEX([1]!카테고리매핑,,2), INDEX([1]!카테고리매핑,,1), "미등록 카테고리")</f>
        <v>과일/견과류</v>
      </c>
      <c r="C273" t="s">
        <v>654</v>
      </c>
      <c r="D273" t="str">
        <f>VLOOKUP(C273, '[1]VLOOKUP 함수용 카테고리'!$A$1:$B$59, 2, 0)</f>
        <v>RAW_FRUIT</v>
      </c>
      <c r="E273" t="s">
        <v>669</v>
      </c>
      <c r="F273" t="s">
        <v>670</v>
      </c>
    </row>
    <row r="274" spans="1:6" x14ac:dyDescent="0.3">
      <c r="A274" t="s">
        <v>671</v>
      </c>
      <c r="B274" t="str" cm="1">
        <f t="array" ref="B274">_xlfn.XLOOKUP(C274, INDEX([1]!카테고리매핑,,2), INDEX([1]!카테고리매핑,,1), "미등록 카테고리")</f>
        <v>간식류</v>
      </c>
      <c r="C274" t="s">
        <v>63</v>
      </c>
      <c r="D274" t="str">
        <f>VLOOKUP(C274, '[1]VLOOKUP 함수용 카테고리'!$A$1:$B$59, 2, 0)</f>
        <v>BAKERY</v>
      </c>
      <c r="E274" t="s">
        <v>672</v>
      </c>
      <c r="F274" t="s">
        <v>673</v>
      </c>
    </row>
    <row r="275" spans="1:6" x14ac:dyDescent="0.3">
      <c r="A275" t="s">
        <v>674</v>
      </c>
      <c r="B275" t="str" cm="1">
        <f t="array" ref="B275">_xlfn.XLOOKUP(C275, INDEX([1]!카테고리매핑,,2), INDEX([1]!카테고리매핑,,1), "미등록 카테고리")</f>
        <v>술</v>
      </c>
      <c r="C275" t="s">
        <v>56</v>
      </c>
      <c r="D275" t="str">
        <f>VLOOKUP(C275, '[1]VLOOKUP 함수용 카테고리'!$A$1:$B$59, 2, 0)</f>
        <v>ALCOHOL</v>
      </c>
      <c r="E275" t="s">
        <v>505</v>
      </c>
    </row>
    <row r="276" spans="1:6" x14ac:dyDescent="0.3">
      <c r="A276" t="s">
        <v>676</v>
      </c>
      <c r="B276" t="str" cm="1">
        <f t="array" ref="B276">_xlfn.XLOOKUP(C276, INDEX([1]!카테고리매핑,,2), INDEX([1]!카테고리매핑,,1), "미등록 카테고리")</f>
        <v>상온식품</v>
      </c>
      <c r="C276" t="s">
        <v>276</v>
      </c>
      <c r="D276" t="str">
        <f>VLOOKUP(C276, '[1]VLOOKUP 함수용 카테고리'!$A$1:$B$59, 2, 0)</f>
        <v>DRIED_SEAFOOD</v>
      </c>
      <c r="E276" t="s">
        <v>277</v>
      </c>
      <c r="F276" t="s">
        <v>278</v>
      </c>
    </row>
    <row r="277" spans="1:6" x14ac:dyDescent="0.3">
      <c r="A277" t="s">
        <v>677</v>
      </c>
      <c r="B277" t="str" cm="1">
        <f t="array" ref="B277">_xlfn.XLOOKUP(C277, INDEX([1]!카테고리매핑,,2), INDEX([1]!카테고리매핑,,1), "미등록 카테고리")</f>
        <v>간편식</v>
      </c>
      <c r="C277" t="s">
        <v>131</v>
      </c>
      <c r="D277" t="str">
        <f>VLOOKUP(C277, '[1]VLOOKUP 함수용 카테고리'!$A$1:$B$59, 2, 0)</f>
        <v>SIMPLE_PROCESSED</v>
      </c>
      <c r="E277" t="s">
        <v>678</v>
      </c>
      <c r="F277" t="s">
        <v>679</v>
      </c>
    </row>
    <row r="278" spans="1:6" x14ac:dyDescent="0.3">
      <c r="A278" t="s">
        <v>680</v>
      </c>
      <c r="B278" t="str" cm="1">
        <f t="array" ref="B278">_xlfn.XLOOKUP(C278, INDEX([1]!카테고리매핑,,2), INDEX([1]!카테고리매핑,,1), "미등록 카테고리")</f>
        <v>과일/견과류</v>
      </c>
      <c r="C278" t="s">
        <v>654</v>
      </c>
      <c r="D278" t="str">
        <f>VLOOKUP(C278, '[1]VLOOKUP 함수용 카테고리'!$A$1:$B$59, 2, 0)</f>
        <v>RAW_FRUIT</v>
      </c>
      <c r="E278" t="s">
        <v>681</v>
      </c>
      <c r="F278" t="s">
        <v>670</v>
      </c>
    </row>
    <row r="279" spans="1:6" x14ac:dyDescent="0.3">
      <c r="A279" t="s">
        <v>682</v>
      </c>
      <c r="B279" t="str" cm="1">
        <f t="array" ref="B279">_xlfn.XLOOKUP(C279, INDEX([1]!카테고리매핑,,2), INDEX([1]!카테고리매핑,,1), "미등록 카테고리")</f>
        <v>유제품</v>
      </c>
      <c r="C279" t="s">
        <v>211</v>
      </c>
      <c r="D279" t="str">
        <f>VLOOKUP(C279, '[1]VLOOKUP 함수용 카테고리'!$A$1:$B$59, 2, 0)</f>
        <v>DAIRY</v>
      </c>
      <c r="E279" t="s">
        <v>211</v>
      </c>
      <c r="F279" t="s">
        <v>623</v>
      </c>
    </row>
    <row r="280" spans="1:6" x14ac:dyDescent="0.3">
      <c r="A280" t="s">
        <v>683</v>
      </c>
      <c r="B280" t="str" cm="1">
        <f t="array" ref="B280">_xlfn.XLOOKUP(C280, INDEX([1]!카테고리매핑,,2), INDEX([1]!카테고리매핑,,1), "미등록 카테고리")</f>
        <v>간식류</v>
      </c>
      <c r="C280" t="s">
        <v>11</v>
      </c>
      <c r="D280" t="str">
        <f>VLOOKUP(C280, '[1]VLOOKUP 함수용 카테고리'!$A$1:$B$59, 2, 0)</f>
        <v>SNACK</v>
      </c>
      <c r="E280" t="s">
        <v>684</v>
      </c>
      <c r="F280" t="s">
        <v>685</v>
      </c>
    </row>
    <row r="281" spans="1:6" x14ac:dyDescent="0.3">
      <c r="A281" t="s">
        <v>686</v>
      </c>
      <c r="B281" t="str" cm="1">
        <f t="array" ref="B281">_xlfn.XLOOKUP(C281, INDEX([1]!카테고리매핑,,2), INDEX([1]!카테고리매핑,,1), "미등록 카테고리")</f>
        <v>육류/계란</v>
      </c>
      <c r="C281" t="s">
        <v>105</v>
      </c>
      <c r="D281" t="str">
        <f>VLOOKUP(C281, '[1]VLOOKUP 함수용 카테고리'!$A$1:$B$59, 2, 0)</f>
        <v>RAW_MEAT</v>
      </c>
      <c r="E281" t="s">
        <v>291</v>
      </c>
      <c r="F281" t="s">
        <v>246</v>
      </c>
    </row>
    <row r="282" spans="1:6" x14ac:dyDescent="0.3">
      <c r="A282" t="s">
        <v>687</v>
      </c>
      <c r="B282" t="str" cm="1">
        <f t="array" ref="B282">_xlfn.XLOOKUP(C282, INDEX([1]!카테고리매핑,,2), INDEX([1]!카테고리매핑,,1), "미등록 카테고리")</f>
        <v>유제품</v>
      </c>
      <c r="C282" t="s">
        <v>211</v>
      </c>
      <c r="D282" t="str">
        <f>VLOOKUP(C282, '[1]VLOOKUP 함수용 카테고리'!$A$1:$B$59, 2, 0)</f>
        <v>DAIRY</v>
      </c>
      <c r="E282" t="s">
        <v>211</v>
      </c>
      <c r="F282" t="s">
        <v>688</v>
      </c>
    </row>
    <row r="283" spans="1:6" x14ac:dyDescent="0.3">
      <c r="A283" t="s">
        <v>689</v>
      </c>
      <c r="B283" t="str" cm="1">
        <f t="array" ref="B283">_xlfn.XLOOKUP(C283, INDEX([1]!카테고리매핑,,2), INDEX([1]!카테고리매핑,,1), "미등록 카테고리")</f>
        <v>간식류</v>
      </c>
      <c r="C283" t="s">
        <v>11</v>
      </c>
      <c r="D283" t="str">
        <f>VLOOKUP(C283, '[1]VLOOKUP 함수용 카테고리'!$A$1:$B$59, 2, 0)</f>
        <v>SNACK</v>
      </c>
      <c r="E283" t="s">
        <v>690</v>
      </c>
      <c r="F283" t="s">
        <v>691</v>
      </c>
    </row>
    <row r="284" spans="1:6" x14ac:dyDescent="0.3">
      <c r="A284" t="s">
        <v>692</v>
      </c>
      <c r="B284" t="str" cm="1">
        <f t="array" ref="B284">_xlfn.XLOOKUP(C284, INDEX([1]!카테고리매핑,,2), INDEX([1]!카테고리매핑,,1), "미등록 카테고리")</f>
        <v>수산물</v>
      </c>
      <c r="C284" t="s">
        <v>101</v>
      </c>
      <c r="D284" t="str">
        <f>VLOOKUP(C284, '[1]VLOOKUP 함수용 카테고리'!$A$1:$B$59, 2, 0)</f>
        <v>DRIED_SEAFOOD</v>
      </c>
      <c r="E284" t="s">
        <v>693</v>
      </c>
      <c r="F284" t="s">
        <v>694</v>
      </c>
    </row>
    <row r="285" spans="1:6" x14ac:dyDescent="0.3">
      <c r="A285" t="s">
        <v>695</v>
      </c>
      <c r="B285" t="str" cm="1">
        <f t="array" ref="B285">_xlfn.XLOOKUP(C285, INDEX([1]!카테고리매핑,,2), INDEX([1]!카테고리매핑,,1), "미등록 카테고리")</f>
        <v>간편식</v>
      </c>
      <c r="C285" t="s">
        <v>131</v>
      </c>
      <c r="D285" t="str">
        <f>VLOOKUP(C285, '[1]VLOOKUP 함수용 카테고리'!$A$1:$B$59, 2, 0)</f>
        <v>SIMPLE_PROCESSED</v>
      </c>
      <c r="E285" t="s">
        <v>696</v>
      </c>
      <c r="F285" t="s">
        <v>697</v>
      </c>
    </row>
    <row r="286" spans="1:6" x14ac:dyDescent="0.3">
      <c r="A286" t="s">
        <v>698</v>
      </c>
      <c r="B286" t="str" cm="1">
        <f t="array" ref="B286">_xlfn.XLOOKUP(C286, INDEX([1]!카테고리매핑,,2), INDEX([1]!카테고리매핑,,1), "미등록 카테고리")</f>
        <v>유제품</v>
      </c>
      <c r="C286" t="s">
        <v>123</v>
      </c>
      <c r="D286" t="str">
        <f>VLOOKUP(C286, '[1]VLOOKUP 함수용 카테고리'!$A$1:$B$59, 2, 0)</f>
        <v>DAIRY</v>
      </c>
      <c r="E286" t="s">
        <v>239</v>
      </c>
      <c r="F286" t="s">
        <v>699</v>
      </c>
    </row>
    <row r="287" spans="1:6" x14ac:dyDescent="0.3">
      <c r="A287" t="s">
        <v>700</v>
      </c>
      <c r="B287" t="str" cm="1">
        <f t="array" ref="B287">_xlfn.XLOOKUP(C287, INDEX([1]!카테고리매핑,,2), INDEX([1]!카테고리매핑,,1), "미등록 카테고리")</f>
        <v>간식류</v>
      </c>
      <c r="C287" t="s">
        <v>11</v>
      </c>
      <c r="D287" t="str">
        <f>VLOOKUP(C287, '[1]VLOOKUP 함수용 카테고리'!$A$1:$B$59, 2, 0)</f>
        <v>SNACK</v>
      </c>
      <c r="E287" t="s">
        <v>701</v>
      </c>
      <c r="F287" t="s">
        <v>702</v>
      </c>
    </row>
    <row r="288" spans="1:6" x14ac:dyDescent="0.3">
      <c r="A288" t="s">
        <v>703</v>
      </c>
      <c r="B288" t="str" cm="1">
        <f t="array" ref="B288">_xlfn.XLOOKUP(C288, INDEX([1]!카테고리매핑,,2), INDEX([1]!카테고리매핑,,1), "미등록 카테고리")</f>
        <v>상온식품</v>
      </c>
      <c r="C288" t="s">
        <v>276</v>
      </c>
      <c r="D288" t="str">
        <f>VLOOKUP(C288, '[1]VLOOKUP 함수용 카테고리'!$A$1:$B$59, 2, 0)</f>
        <v>DRIED_SEAFOOD</v>
      </c>
      <c r="E288" t="s">
        <v>277</v>
      </c>
      <c r="F288" t="s">
        <v>704</v>
      </c>
    </row>
    <row r="289" spans="1:6" x14ac:dyDescent="0.3">
      <c r="A289" t="s">
        <v>705</v>
      </c>
      <c r="B289" t="str" cm="1">
        <f t="array" ref="B289">_xlfn.XLOOKUP(C289, INDEX([1]!카테고리매핑,,2), INDEX([1]!카테고리매핑,,1), "미등록 카테고리")</f>
        <v>유제품</v>
      </c>
      <c r="C289" t="s">
        <v>432</v>
      </c>
      <c r="D289" t="str">
        <f>VLOOKUP(C289, '[1]VLOOKUP 함수용 카테고리'!$A$1:$B$59, 2, 0)</f>
        <v>DAIRY</v>
      </c>
      <c r="E289" t="s">
        <v>549</v>
      </c>
      <c r="F289" t="s">
        <v>706</v>
      </c>
    </row>
    <row r="290" spans="1:6" x14ac:dyDescent="0.3">
      <c r="A290" t="s">
        <v>707</v>
      </c>
      <c r="B290" t="str" cm="1">
        <f t="array" ref="B290">_xlfn.XLOOKUP(C290, INDEX([1]!카테고리매핑,,2), INDEX([1]!카테고리매핑,,1), "미등록 카테고리")</f>
        <v>음료</v>
      </c>
      <c r="C290" t="s">
        <v>708</v>
      </c>
      <c r="D290" t="str">
        <f>VLOOKUP(C290, '[1]VLOOKUP 함수용 카테고리'!$A$1:$B$59, 2, 0)</f>
        <v>BEVERAGE</v>
      </c>
      <c r="E290" t="s">
        <v>708</v>
      </c>
      <c r="F290" t="s">
        <v>709</v>
      </c>
    </row>
    <row r="291" spans="1:6" x14ac:dyDescent="0.3">
      <c r="A291" t="s">
        <v>710</v>
      </c>
      <c r="B291" t="str" cm="1">
        <f t="array" ref="B291">_xlfn.XLOOKUP(C291, INDEX([1]!카테고리매핑,,2), INDEX([1]!카테고리매핑,,1), "미등록 카테고리")</f>
        <v>간편식</v>
      </c>
      <c r="C291" t="s">
        <v>46</v>
      </c>
      <c r="D291" t="str">
        <f>VLOOKUP(C291, '[1]VLOOKUP 함수용 카테고리'!$A$1:$B$59, 2, 0)</f>
        <v>RTC_MEAL</v>
      </c>
      <c r="E291" t="s">
        <v>46</v>
      </c>
      <c r="F291" t="s">
        <v>711</v>
      </c>
    </row>
    <row r="292" spans="1:6" x14ac:dyDescent="0.3">
      <c r="A292" t="s">
        <v>712</v>
      </c>
      <c r="B292" t="str" cm="1">
        <f t="array" ref="B292">_xlfn.XLOOKUP(C292, INDEX([1]!카테고리매핑,,2), INDEX([1]!카테고리매핑,,1), "미등록 카테고리")</f>
        <v>과일/견과류</v>
      </c>
      <c r="C292" t="s">
        <v>654</v>
      </c>
      <c r="D292" t="str">
        <f>VLOOKUP(C292, '[1]VLOOKUP 함수용 카테고리'!$A$1:$B$59, 2, 0)</f>
        <v>RAW_FRUIT</v>
      </c>
      <c r="E292" t="s">
        <v>681</v>
      </c>
      <c r="F292" t="s">
        <v>670</v>
      </c>
    </row>
    <row r="293" spans="1:6" x14ac:dyDescent="0.3">
      <c r="A293" t="s">
        <v>713</v>
      </c>
      <c r="B293" t="str" cm="1">
        <f t="array" ref="B293">_xlfn.XLOOKUP(C293, INDEX([1]!카테고리매핑,,2), INDEX([1]!카테고리매핑,,1), "미등록 카테고리")</f>
        <v>채소/곡물류</v>
      </c>
      <c r="C293" t="s">
        <v>27</v>
      </c>
      <c r="D293" t="str">
        <f>VLOOKUP(C293, '[1]VLOOKUP 함수용 카테고리'!$A$1:$B$59, 2, 0)</f>
        <v>SIMPLE_PROCESSED</v>
      </c>
      <c r="E293" t="s">
        <v>28</v>
      </c>
      <c r="F293" t="s">
        <v>51</v>
      </c>
    </row>
    <row r="294" spans="1:6" x14ac:dyDescent="0.3">
      <c r="A294" t="s">
        <v>714</v>
      </c>
      <c r="B294" t="str" cm="1">
        <f t="array" ref="B294">_xlfn.XLOOKUP(C294, INDEX([1]!카테고리매핑,,2), INDEX([1]!카테고리매핑,,1), "미등록 카테고리")</f>
        <v>음료</v>
      </c>
      <c r="C294" t="s">
        <v>708</v>
      </c>
      <c r="D294" t="str">
        <f>VLOOKUP(C294, '[1]VLOOKUP 함수용 카테고리'!$A$1:$B$59, 2, 0)</f>
        <v>BEVERAGE</v>
      </c>
      <c r="E294" t="s">
        <v>708</v>
      </c>
      <c r="F294" t="s">
        <v>709</v>
      </c>
    </row>
    <row r="295" spans="1:6" x14ac:dyDescent="0.3">
      <c r="A295" t="s">
        <v>715</v>
      </c>
      <c r="B295" t="str" cm="1">
        <f t="array" ref="B295">_xlfn.XLOOKUP(C295, INDEX([1]!카테고리매핑,,2), INDEX([1]!카테고리매핑,,1), "미등록 카테고리")</f>
        <v>채소/곡물류</v>
      </c>
      <c r="C295" t="s">
        <v>7</v>
      </c>
      <c r="D295" t="str">
        <f>VLOOKUP(C295, '[1]VLOOKUP 함수용 카테고리'!$A$1:$B$59, 2, 0)</f>
        <v>RAW_PRODUCE</v>
      </c>
      <c r="E295" t="s">
        <v>716</v>
      </c>
    </row>
    <row r="296" spans="1:6" x14ac:dyDescent="0.3">
      <c r="A296" t="s">
        <v>717</v>
      </c>
      <c r="B296" t="str" cm="1">
        <f t="array" ref="B296">_xlfn.XLOOKUP(C296, INDEX([1]!카테고리매핑,,2), INDEX([1]!카테고리매핑,,1), "미등록 카테고리")</f>
        <v>조미료</v>
      </c>
      <c r="C296" t="s">
        <v>127</v>
      </c>
      <c r="D296" t="str">
        <f>VLOOKUP(C296, '[1]VLOOKUP 함수용 카테고리'!$A$1:$B$59, 2, 0)</f>
        <v>SAUCE_SEASONING</v>
      </c>
      <c r="E296" t="s">
        <v>718</v>
      </c>
      <c r="F296" t="s">
        <v>719</v>
      </c>
    </row>
    <row r="297" spans="1:6" x14ac:dyDescent="0.3">
      <c r="A297" t="s">
        <v>720</v>
      </c>
      <c r="B297" t="str" cm="1">
        <f t="array" ref="B297">_xlfn.XLOOKUP(C297, INDEX([1]!카테고리매핑,,2), INDEX([1]!카테고리매핑,,1), "미등록 카테고리")</f>
        <v>술</v>
      </c>
      <c r="C297" t="s">
        <v>56</v>
      </c>
      <c r="D297" t="str">
        <f>VLOOKUP(C297, '[1]VLOOKUP 함수용 카테고리'!$A$1:$B$59, 2, 0)</f>
        <v>ALCOHOL</v>
      </c>
      <c r="E297" t="s">
        <v>721</v>
      </c>
    </row>
    <row r="298" spans="1:6" x14ac:dyDescent="0.3">
      <c r="A298" t="s">
        <v>722</v>
      </c>
      <c r="B298" t="str" cm="1">
        <f t="array" ref="B298">_xlfn.XLOOKUP(C298, INDEX([1]!카테고리매핑,,2), INDEX([1]!카테고리매핑,,1), "미등록 카테고리")</f>
        <v>채소/곡물류</v>
      </c>
      <c r="C298" t="s">
        <v>7</v>
      </c>
      <c r="D298" t="str">
        <f>VLOOKUP(C298, '[1]VLOOKUP 함수용 카테고리'!$A$1:$B$59, 2, 0)</f>
        <v>RAW_PRODUCE</v>
      </c>
      <c r="E298" t="s">
        <v>723</v>
      </c>
      <c r="F298" t="s">
        <v>406</v>
      </c>
    </row>
    <row r="299" spans="1:6" x14ac:dyDescent="0.3">
      <c r="A299" t="s">
        <v>724</v>
      </c>
      <c r="B299" t="str" cm="1">
        <f t="array" ref="B299">_xlfn.XLOOKUP(C299, INDEX([1]!카테고리매핑,,2), INDEX([1]!카테고리매핑,,1), "미등록 카테고리")</f>
        <v>육류/계란</v>
      </c>
      <c r="C299" t="s">
        <v>428</v>
      </c>
      <c r="D299" t="str">
        <f>VLOOKUP(C299, '[1]VLOOKUP 함수용 카테고리'!$A$1:$B$59, 2, 0)</f>
        <v>PROCESSED_MEAT</v>
      </c>
      <c r="E299" t="s">
        <v>725</v>
      </c>
      <c r="F299" t="s">
        <v>726</v>
      </c>
    </row>
    <row r="300" spans="1:6" x14ac:dyDescent="0.3">
      <c r="A300" t="s">
        <v>727</v>
      </c>
      <c r="B300" t="str" cm="1">
        <f t="array" ref="B300">_xlfn.XLOOKUP(C300, INDEX([1]!카테고리매핑,,2), INDEX([1]!카테고리매핑,,1), "미등록 카테고리")</f>
        <v>과일/견과류</v>
      </c>
      <c r="C300" t="s">
        <v>654</v>
      </c>
      <c r="D300" t="str">
        <f>VLOOKUP(C300, '[1]VLOOKUP 함수용 카테고리'!$A$1:$B$59, 2, 0)</f>
        <v>RAW_FRUIT</v>
      </c>
      <c r="E300" t="s">
        <v>728</v>
      </c>
      <c r="F300" t="s">
        <v>670</v>
      </c>
    </row>
    <row r="301" spans="1:6" x14ac:dyDescent="0.3">
      <c r="A301" t="s">
        <v>729</v>
      </c>
      <c r="B301" t="str" cm="1">
        <f t="array" ref="B301">_xlfn.XLOOKUP(C301, INDEX([1]!카테고리매핑,,2), INDEX([1]!카테고리매핑,,1), "미등록 카테고리")</f>
        <v>간식류</v>
      </c>
      <c r="C301" t="s">
        <v>63</v>
      </c>
      <c r="D301" t="str">
        <f>VLOOKUP(C301, '[1]VLOOKUP 함수용 카테고리'!$A$1:$B$59, 2, 0)</f>
        <v>BAKERY</v>
      </c>
      <c r="E301" t="s">
        <v>496</v>
      </c>
      <c r="F301" t="s">
        <v>350</v>
      </c>
    </row>
    <row r="302" spans="1:6" x14ac:dyDescent="0.3">
      <c r="A302" t="s">
        <v>730</v>
      </c>
      <c r="B302" t="str" cm="1">
        <f t="array" ref="B302">_xlfn.XLOOKUP(C302, INDEX([1]!카테고리매핑,,2), INDEX([1]!카테고리매핑,,1), "미등록 카테고리")</f>
        <v>미등록 카테고리</v>
      </c>
      <c r="C302" t="s">
        <v>334</v>
      </c>
      <c r="D302" t="str">
        <f>VLOOKUP(C302, '[1]VLOOKUP 함수용 카테고리'!$A$1:$B$59, 2, 0)</f>
        <v>UNKNOWN</v>
      </c>
      <c r="E302" t="s">
        <v>334</v>
      </c>
      <c r="F302" t="s">
        <v>731</v>
      </c>
    </row>
    <row r="303" spans="1:6" x14ac:dyDescent="0.3">
      <c r="A303" t="s">
        <v>732</v>
      </c>
      <c r="B303" t="str" cm="1">
        <f t="array" ref="B303">_xlfn.XLOOKUP(C303, INDEX([1]!카테고리매핑,,2), INDEX([1]!카테고리매핑,,1), "미등록 카테고리")</f>
        <v>간식류</v>
      </c>
      <c r="C303" t="s">
        <v>38</v>
      </c>
      <c r="D303" t="str">
        <f>VLOOKUP(C303, '[1]VLOOKUP 함수용 카테고리'!$A$1:$B$59, 2, 0)</f>
        <v>SNACK</v>
      </c>
      <c r="E303" t="s">
        <v>733</v>
      </c>
      <c r="F303" t="s">
        <v>734</v>
      </c>
    </row>
    <row r="304" spans="1:6" x14ac:dyDescent="0.3">
      <c r="A304" t="s">
        <v>735</v>
      </c>
      <c r="B304" t="str" cm="1">
        <f t="array" ref="B304">_xlfn.XLOOKUP(C304, INDEX([1]!카테고리매핑,,2), INDEX([1]!카테고리매핑,,1), "미등록 카테고리")</f>
        <v>상온식품</v>
      </c>
      <c r="C304" t="s">
        <v>276</v>
      </c>
      <c r="D304" t="str">
        <f>VLOOKUP(C304, '[1]VLOOKUP 함수용 카테고리'!$A$1:$B$59, 2, 0)</f>
        <v>DRIED_SEAFOOD</v>
      </c>
      <c r="E304" t="s">
        <v>277</v>
      </c>
      <c r="F304" t="s">
        <v>736</v>
      </c>
    </row>
    <row r="305" spans="1:6" x14ac:dyDescent="0.3">
      <c r="A305" t="s">
        <v>737</v>
      </c>
      <c r="B305" t="str" cm="1">
        <f t="array" ref="B305">_xlfn.XLOOKUP(C305, INDEX([1]!카테고리매핑,,2), INDEX([1]!카테고리매핑,,1), "미등록 카테고리")</f>
        <v>육류/계란</v>
      </c>
      <c r="C305" t="s">
        <v>428</v>
      </c>
      <c r="D305" t="str">
        <f>VLOOKUP(C305, '[1]VLOOKUP 함수용 카테고리'!$A$1:$B$59, 2, 0)</f>
        <v>PROCESSED_MEAT</v>
      </c>
      <c r="E305" t="s">
        <v>738</v>
      </c>
      <c r="F305" t="s">
        <v>739</v>
      </c>
    </row>
    <row r="306" spans="1:6" x14ac:dyDescent="0.3">
      <c r="A306" t="s">
        <v>740</v>
      </c>
      <c r="B306" t="str" cm="1">
        <f t="array" ref="B306">_xlfn.XLOOKUP(C306, INDEX([1]!카테고리매핑,,2), INDEX([1]!카테고리매핑,,1), "미등록 카테고리")</f>
        <v>간식류</v>
      </c>
      <c r="C306" t="s">
        <v>109</v>
      </c>
      <c r="D306" t="str">
        <f>VLOOKUP(C306, '[1]VLOOKUP 함수용 카테고리'!$A$1:$B$59, 2, 0)</f>
        <v>SNACK</v>
      </c>
      <c r="E306" t="s">
        <v>217</v>
      </c>
      <c r="F306" t="s">
        <v>741</v>
      </c>
    </row>
    <row r="307" spans="1:6" x14ac:dyDescent="0.3">
      <c r="A307" t="s">
        <v>742</v>
      </c>
      <c r="B307" t="str" cm="1">
        <f t="array" ref="B307">_xlfn.XLOOKUP(C307, INDEX([1]!카테고리매핑,,2), INDEX([1]!카테고리매핑,,1), "미등록 카테고리")</f>
        <v>채소/곡물류</v>
      </c>
      <c r="C307" t="s">
        <v>7</v>
      </c>
      <c r="D307" t="str">
        <f>VLOOKUP(C307, '[1]VLOOKUP 함수용 카테고리'!$A$1:$B$59, 2, 0)</f>
        <v>RAW_PRODUCE</v>
      </c>
      <c r="E307" t="s">
        <v>743</v>
      </c>
    </row>
    <row r="308" spans="1:6" x14ac:dyDescent="0.3">
      <c r="A308" t="s">
        <v>744</v>
      </c>
      <c r="B308" t="str" cm="1">
        <f t="array" ref="B308">_xlfn.XLOOKUP(C308, INDEX([1]!카테고리매핑,,2), INDEX([1]!카테고리매핑,,1), "미등록 카테고리")</f>
        <v>간편식</v>
      </c>
      <c r="C308" t="s">
        <v>46</v>
      </c>
      <c r="D308" t="str">
        <f>VLOOKUP(C308, '[1]VLOOKUP 함수용 카테고리'!$A$1:$B$59, 2, 0)</f>
        <v>RTC_MEAL</v>
      </c>
      <c r="E308" t="s">
        <v>46</v>
      </c>
      <c r="F308" t="s">
        <v>156</v>
      </c>
    </row>
    <row r="309" spans="1:6" x14ac:dyDescent="0.3">
      <c r="A309" t="s">
        <v>745</v>
      </c>
      <c r="B309" t="str" cm="1">
        <f t="array" ref="B309">_xlfn.XLOOKUP(C309, INDEX([1]!카테고리매핑,,2), INDEX([1]!카테고리매핑,,1), "미등록 카테고리")</f>
        <v>간편식</v>
      </c>
      <c r="C309" t="s">
        <v>46</v>
      </c>
      <c r="D309" t="str">
        <f>VLOOKUP(C309, '[1]VLOOKUP 함수용 카테고리'!$A$1:$B$59, 2, 0)</f>
        <v>RTC_MEAL</v>
      </c>
      <c r="E309" t="s">
        <v>46</v>
      </c>
      <c r="F309" t="s">
        <v>746</v>
      </c>
    </row>
    <row r="310" spans="1:6" x14ac:dyDescent="0.3">
      <c r="A310" t="s">
        <v>747</v>
      </c>
      <c r="B310" t="str" cm="1">
        <f t="array" ref="B310">_xlfn.XLOOKUP(C310, INDEX([1]!카테고리매핑,,2), INDEX([1]!카테고리매핑,,1), "미등록 카테고리")</f>
        <v>간식류</v>
      </c>
      <c r="C310" t="s">
        <v>15</v>
      </c>
      <c r="D310" t="str">
        <f>VLOOKUP(C310, '[1]VLOOKUP 함수용 카테고리'!$A$1:$B$59, 2, 0)</f>
        <v>BAKERY</v>
      </c>
      <c r="E310" t="s">
        <v>748</v>
      </c>
      <c r="F310" t="s">
        <v>749</v>
      </c>
    </row>
    <row r="311" spans="1:6" x14ac:dyDescent="0.3">
      <c r="A311" t="s">
        <v>750</v>
      </c>
      <c r="B311" t="str" cm="1">
        <f t="array" ref="B311">_xlfn.XLOOKUP(C311, INDEX([1]!카테고리매핑,,2), INDEX([1]!카테고리매핑,,1), "미등록 카테고리")</f>
        <v>육류/계란</v>
      </c>
      <c r="C311" t="s">
        <v>298</v>
      </c>
      <c r="D311" t="str">
        <f>VLOOKUP(C311, '[1]VLOOKUP 함수용 카테고리'!$A$1:$B$59, 2, 0)</f>
        <v>RAW_MEAT</v>
      </c>
      <c r="E311" t="s">
        <v>751</v>
      </c>
      <c r="F311" t="s">
        <v>350</v>
      </c>
    </row>
    <row r="312" spans="1:6" x14ac:dyDescent="0.3">
      <c r="A312" t="s">
        <v>752</v>
      </c>
      <c r="B312" t="str" cm="1">
        <f t="array" ref="B312">_xlfn.XLOOKUP(C312, INDEX([1]!카테고리매핑,,2), INDEX([1]!카테고리매핑,,1), "미등록 카테고리")</f>
        <v>음료</v>
      </c>
      <c r="C312" t="s">
        <v>23</v>
      </c>
      <c r="D312" t="str">
        <f>VLOOKUP(C312, '[1]VLOOKUP 함수용 카테고리'!$A$1:$B$59, 2, 0)</f>
        <v>BEVERAGE</v>
      </c>
      <c r="E312" t="s">
        <v>24</v>
      </c>
      <c r="F312" t="s">
        <v>753</v>
      </c>
    </row>
    <row r="313" spans="1:6" x14ac:dyDescent="0.3">
      <c r="A313" t="s">
        <v>754</v>
      </c>
      <c r="B313" t="str" cm="1">
        <f t="array" ref="B313">_xlfn.XLOOKUP(C313, INDEX([1]!카테고리매핑,,2), INDEX([1]!카테고리매핑,,1), "미등록 카테고리")</f>
        <v>간편식</v>
      </c>
      <c r="C313" t="s">
        <v>131</v>
      </c>
      <c r="D313" t="str">
        <f>VLOOKUP(C313, '[1]VLOOKUP 함수용 카테고리'!$A$1:$B$59, 2, 0)</f>
        <v>SIMPLE_PROCESSED</v>
      </c>
      <c r="E313" t="s">
        <v>755</v>
      </c>
      <c r="F313" t="s">
        <v>756</v>
      </c>
    </row>
    <row r="314" spans="1:6" x14ac:dyDescent="0.3">
      <c r="A314" t="s">
        <v>757</v>
      </c>
      <c r="B314" t="str" cm="1">
        <f t="array" ref="B314">_xlfn.XLOOKUP(C314, INDEX([1]!카테고리매핑,,2), INDEX([1]!카테고리매핑,,1), "미등록 카테고리")</f>
        <v>채소/곡물류</v>
      </c>
      <c r="C314" t="s">
        <v>7</v>
      </c>
      <c r="D314" t="str">
        <f>VLOOKUP(C314, '[1]VLOOKUP 함수용 카테고리'!$A$1:$B$59, 2, 0)</f>
        <v>RAW_PRODUCE</v>
      </c>
      <c r="E314" t="s">
        <v>8</v>
      </c>
      <c r="F314" t="s">
        <v>758</v>
      </c>
    </row>
    <row r="315" spans="1:6" x14ac:dyDescent="0.3">
      <c r="A315" t="s">
        <v>759</v>
      </c>
      <c r="B315" t="str" cm="1">
        <f t="array" ref="B315">_xlfn.XLOOKUP(C315, INDEX([1]!카테고리매핑,,2), INDEX([1]!카테고리매핑,,1), "미등록 카테고리")</f>
        <v>채소/곡물류</v>
      </c>
      <c r="C315" t="s">
        <v>27</v>
      </c>
      <c r="D315" t="str">
        <f>VLOOKUP(C315, '[1]VLOOKUP 함수용 카테고리'!$A$1:$B$59, 2, 0)</f>
        <v>SIMPLE_PROCESSED</v>
      </c>
      <c r="E315" t="s">
        <v>28</v>
      </c>
      <c r="F315" t="s">
        <v>760</v>
      </c>
    </row>
    <row r="316" spans="1:6" x14ac:dyDescent="0.3">
      <c r="A316" t="s">
        <v>761</v>
      </c>
      <c r="B316" t="str" cm="1">
        <f t="array" ref="B316">_xlfn.XLOOKUP(C316, INDEX([1]!카테고리매핑,,2), INDEX([1]!카테고리매핑,,1), "미등록 카테고리")</f>
        <v>음료</v>
      </c>
      <c r="C316" t="s">
        <v>23</v>
      </c>
      <c r="D316" t="str">
        <f>VLOOKUP(C316, '[1]VLOOKUP 함수용 카테고리'!$A$1:$B$59, 2, 0)</f>
        <v>BEVERAGE</v>
      </c>
      <c r="E316" t="s">
        <v>355</v>
      </c>
      <c r="F316" t="s">
        <v>375</v>
      </c>
    </row>
    <row r="317" spans="1:6" x14ac:dyDescent="0.3">
      <c r="A317" t="s">
        <v>762</v>
      </c>
      <c r="B317" t="str" cm="1">
        <f t="array" ref="B317">_xlfn.XLOOKUP(C317, INDEX([1]!카테고리매핑,,2), INDEX([1]!카테고리매핑,,1), "미등록 카테고리")</f>
        <v>간편식</v>
      </c>
      <c r="C317" t="s">
        <v>19</v>
      </c>
      <c r="D317" t="str">
        <f>VLOOKUP(C317, '[1]VLOOKUP 함수용 카테고리'!$A$1:$B$59, 2, 0)</f>
        <v>FROZEN_MEAL</v>
      </c>
      <c r="E317" t="s">
        <v>763</v>
      </c>
      <c r="F317" t="s">
        <v>369</v>
      </c>
    </row>
    <row r="318" spans="1:6" x14ac:dyDescent="0.3">
      <c r="A318" t="s">
        <v>764</v>
      </c>
      <c r="B318" t="str" cm="1">
        <f t="array" ref="B318">_xlfn.XLOOKUP(C318, INDEX([1]!카테고리매핑,,2), INDEX([1]!카테고리매핑,,1), "미등록 카테고리")</f>
        <v>간편식</v>
      </c>
      <c r="C318" t="s">
        <v>46</v>
      </c>
      <c r="D318" t="str">
        <f>VLOOKUP(C318, '[1]VLOOKUP 함수용 카테고리'!$A$1:$B$59, 2, 0)</f>
        <v>RTC_MEAL</v>
      </c>
      <c r="E318" t="s">
        <v>46</v>
      </c>
      <c r="F318" t="s">
        <v>765</v>
      </c>
    </row>
    <row r="319" spans="1:6" x14ac:dyDescent="0.3">
      <c r="A319" t="s">
        <v>766</v>
      </c>
      <c r="B319" t="str" cm="1">
        <f t="array" ref="B319">_xlfn.XLOOKUP(C319, INDEX([1]!카테고리매핑,,2), INDEX([1]!카테고리매핑,,1), "미등록 카테고리")</f>
        <v>간편식</v>
      </c>
      <c r="C319" t="s">
        <v>167</v>
      </c>
      <c r="D319" t="str">
        <f>VLOOKUP(C319, '[1]VLOOKUP 함수용 카테고리'!$A$1:$B$59, 2, 0)</f>
        <v>INSTANT</v>
      </c>
      <c r="E319" t="s">
        <v>767</v>
      </c>
      <c r="F319" t="s">
        <v>257</v>
      </c>
    </row>
    <row r="320" spans="1:6" x14ac:dyDescent="0.3">
      <c r="A320" t="s">
        <v>768</v>
      </c>
      <c r="B320" t="str" cm="1">
        <f t="array" ref="B320">_xlfn.XLOOKUP(C320, INDEX([1]!카테고리매핑,,2), INDEX([1]!카테고리매핑,,1), "미등록 카테고리")</f>
        <v>상온식품</v>
      </c>
      <c r="C320" t="s">
        <v>769</v>
      </c>
      <c r="D320" t="str">
        <f>VLOOKUP(C320, '[1]VLOOKUP 함수용 카테고리'!$A$1:$B$59, 2, 0)</f>
        <v>GRAIN</v>
      </c>
      <c r="E320" t="s">
        <v>770</v>
      </c>
      <c r="F320" t="s">
        <v>771</v>
      </c>
    </row>
    <row r="321" spans="1:6" x14ac:dyDescent="0.3">
      <c r="A321" t="s">
        <v>772</v>
      </c>
      <c r="B321" t="str" cm="1">
        <f t="array" ref="B321">_xlfn.XLOOKUP(C321, INDEX([1]!카테고리매핑,,2), INDEX([1]!카테고리매핑,,1), "미등록 카테고리")</f>
        <v>조미료</v>
      </c>
      <c r="C321" t="s">
        <v>127</v>
      </c>
      <c r="D321" t="str">
        <f>VLOOKUP(C321, '[1]VLOOKUP 함수용 카테고리'!$A$1:$B$59, 2, 0)</f>
        <v>SAUCE_SEASONING</v>
      </c>
      <c r="E321" t="s">
        <v>773</v>
      </c>
      <c r="F321" t="s">
        <v>774</v>
      </c>
    </row>
    <row r="322" spans="1:6" x14ac:dyDescent="0.3">
      <c r="A322" t="s">
        <v>775</v>
      </c>
      <c r="B322" t="str" cm="1">
        <f t="array" ref="B322">_xlfn.XLOOKUP(C322, INDEX([1]!카테고리매핑,,2), INDEX([1]!카테고리매핑,,1), "미등록 카테고리")</f>
        <v>육류/계란</v>
      </c>
      <c r="C322" t="s">
        <v>428</v>
      </c>
      <c r="D322" t="str">
        <f>VLOOKUP(C322, '[1]VLOOKUP 함수용 카테고리'!$A$1:$B$59, 2, 0)</f>
        <v>PROCESSED_MEAT</v>
      </c>
      <c r="E322" t="s">
        <v>776</v>
      </c>
      <c r="F322" t="s">
        <v>7696</v>
      </c>
    </row>
    <row r="323" spans="1:6" x14ac:dyDescent="0.3">
      <c r="A323" t="s">
        <v>777</v>
      </c>
      <c r="B323" t="str" cm="1">
        <f t="array" ref="B323">_xlfn.XLOOKUP(C323, INDEX([1]!카테고리매핑,,2), INDEX([1]!카테고리매핑,,1), "미등록 카테고리")</f>
        <v>음료</v>
      </c>
      <c r="C323" t="s">
        <v>23</v>
      </c>
      <c r="D323" t="str">
        <f>VLOOKUP(C323, '[1]VLOOKUP 함수용 카테고리'!$A$1:$B$59, 2, 0)</f>
        <v>BEVERAGE</v>
      </c>
      <c r="E323" t="s">
        <v>778</v>
      </c>
      <c r="F323" t="s">
        <v>779</v>
      </c>
    </row>
    <row r="324" spans="1:6" x14ac:dyDescent="0.3">
      <c r="A324" t="s">
        <v>780</v>
      </c>
      <c r="B324" t="str" cm="1">
        <f t="array" ref="B324">_xlfn.XLOOKUP(C324, INDEX([1]!카테고리매핑,,2), INDEX([1]!카테고리매핑,,1), "미등록 카테고리")</f>
        <v>조미료</v>
      </c>
      <c r="C324" t="s">
        <v>127</v>
      </c>
      <c r="D324" t="str">
        <f>VLOOKUP(C324, '[1]VLOOKUP 함수용 카테고리'!$A$1:$B$59, 2, 0)</f>
        <v>SAUCE_SEASONING</v>
      </c>
      <c r="E324" t="s">
        <v>781</v>
      </c>
      <c r="F324" t="s">
        <v>129</v>
      </c>
    </row>
    <row r="325" spans="1:6" x14ac:dyDescent="0.3">
      <c r="A325" t="s">
        <v>782</v>
      </c>
      <c r="B325" t="str" cm="1">
        <f t="array" ref="B325">_xlfn.XLOOKUP(C325, INDEX([1]!카테고리매핑,,2), INDEX([1]!카테고리매핑,,1), "미등록 카테고리")</f>
        <v>간편식</v>
      </c>
      <c r="C325" t="s">
        <v>131</v>
      </c>
      <c r="D325" t="str">
        <f>VLOOKUP(C325, '[1]VLOOKUP 함수용 카테고리'!$A$1:$B$59, 2, 0)</f>
        <v>SIMPLE_PROCESSED</v>
      </c>
      <c r="E325" t="s">
        <v>783</v>
      </c>
      <c r="F325" t="s">
        <v>156</v>
      </c>
    </row>
    <row r="326" spans="1:6" x14ac:dyDescent="0.3">
      <c r="A326" t="s">
        <v>784</v>
      </c>
      <c r="B326" t="str" cm="1">
        <f t="array" ref="B326">_xlfn.XLOOKUP(C326, INDEX([1]!카테고리매핑,,2), INDEX([1]!카테고리매핑,,1), "미등록 카테고리")</f>
        <v>간편식</v>
      </c>
      <c r="C326" t="s">
        <v>46</v>
      </c>
      <c r="D326" t="str">
        <f>VLOOKUP(C326, '[1]VLOOKUP 함수용 카테고리'!$A$1:$B$59, 2, 0)</f>
        <v>RTC_MEAL</v>
      </c>
      <c r="E326" t="s">
        <v>46</v>
      </c>
      <c r="F326" t="s">
        <v>785</v>
      </c>
    </row>
    <row r="327" spans="1:6" x14ac:dyDescent="0.3">
      <c r="A327" t="s">
        <v>786</v>
      </c>
      <c r="B327" t="str" cm="1">
        <f t="array" ref="B327">_xlfn.XLOOKUP(C327, INDEX([1]!카테고리매핑,,2), INDEX([1]!카테고리매핑,,1), "미등록 카테고리")</f>
        <v>조미료</v>
      </c>
      <c r="C327" t="s">
        <v>84</v>
      </c>
      <c r="D327" t="str">
        <f>VLOOKUP(C327, '[1]VLOOKUP 함수용 카테고리'!$A$1:$B$59, 2, 0)</f>
        <v>SAUCE_SEASONING</v>
      </c>
      <c r="E327" t="s">
        <v>85</v>
      </c>
      <c r="F327" t="s">
        <v>787</v>
      </c>
    </row>
    <row r="328" spans="1:6" x14ac:dyDescent="0.3">
      <c r="A328" t="s">
        <v>788</v>
      </c>
      <c r="B328" t="str" cm="1">
        <f t="array" ref="B328">_xlfn.XLOOKUP(C328, INDEX([1]!카테고리매핑,,2), INDEX([1]!카테고리매핑,,1), "미등록 카테고리")</f>
        <v>채소/곡물류</v>
      </c>
      <c r="C328" t="s">
        <v>7</v>
      </c>
      <c r="D328" t="str">
        <f>VLOOKUP(C328, '[1]VLOOKUP 함수용 카테고리'!$A$1:$B$59, 2, 0)</f>
        <v>RAW_PRODUCE</v>
      </c>
      <c r="E328" t="s">
        <v>331</v>
      </c>
    </row>
    <row r="329" spans="1:6" x14ac:dyDescent="0.3">
      <c r="A329" t="s">
        <v>789</v>
      </c>
      <c r="B329" t="str" cm="1">
        <f t="array" ref="B329">_xlfn.XLOOKUP(C329, INDEX([1]!카테고리매핑,,2), INDEX([1]!카테고리매핑,,1), "미등록 카테고리")</f>
        <v>육류/계란</v>
      </c>
      <c r="C329" t="s">
        <v>428</v>
      </c>
      <c r="D329" t="str">
        <f>VLOOKUP(C329, '[1]VLOOKUP 함수용 카테고리'!$A$1:$B$59, 2, 0)</f>
        <v>PROCESSED_MEAT</v>
      </c>
      <c r="E329" t="s">
        <v>790</v>
      </c>
      <c r="F329" t="s">
        <v>791</v>
      </c>
    </row>
    <row r="330" spans="1:6" x14ac:dyDescent="0.3">
      <c r="A330" t="s">
        <v>792</v>
      </c>
      <c r="B330" t="str" cm="1">
        <f t="array" ref="B330">_xlfn.XLOOKUP(C330, INDEX([1]!카테고리매핑,,2), INDEX([1]!카테고리매핑,,1), "미등록 카테고리")</f>
        <v>간식류</v>
      </c>
      <c r="C330" t="s">
        <v>15</v>
      </c>
      <c r="D330" t="str">
        <f>VLOOKUP(C330, '[1]VLOOKUP 함수용 카테고리'!$A$1:$B$59, 2, 0)</f>
        <v>BAKERY</v>
      </c>
      <c r="E330" t="s">
        <v>793</v>
      </c>
      <c r="F330" t="s">
        <v>65</v>
      </c>
    </row>
    <row r="331" spans="1:6" x14ac:dyDescent="0.3">
      <c r="A331" t="s">
        <v>794</v>
      </c>
      <c r="B331" t="str" cm="1">
        <f t="array" ref="B331">_xlfn.XLOOKUP(C331, INDEX([1]!카테고리매핑,,2), INDEX([1]!카테고리매핑,,1), "미등록 카테고리")</f>
        <v>술</v>
      </c>
      <c r="C331" t="s">
        <v>56</v>
      </c>
      <c r="D331" t="str">
        <f>VLOOKUP(C331, '[1]VLOOKUP 함수용 카테고리'!$A$1:$B$59, 2, 0)</f>
        <v>ALCOHOL</v>
      </c>
      <c r="E331" t="s">
        <v>57</v>
      </c>
      <c r="F331" t="s">
        <v>795</v>
      </c>
    </row>
    <row r="332" spans="1:6" x14ac:dyDescent="0.3">
      <c r="A332" t="s">
        <v>796</v>
      </c>
      <c r="B332" t="str" cm="1">
        <f t="array" ref="B332">_xlfn.XLOOKUP(C332, INDEX([1]!카테고리매핑,,2), INDEX([1]!카테고리매핑,,1), "미등록 카테고리")</f>
        <v>간식류</v>
      </c>
      <c r="C332" t="s">
        <v>11</v>
      </c>
      <c r="D332" t="str">
        <f>VLOOKUP(C332, '[1]VLOOKUP 함수용 카테고리'!$A$1:$B$59, 2, 0)</f>
        <v>SNACK</v>
      </c>
      <c r="E332" t="s">
        <v>797</v>
      </c>
      <c r="F332" t="s">
        <v>798</v>
      </c>
    </row>
    <row r="333" spans="1:6" x14ac:dyDescent="0.3">
      <c r="A333" t="s">
        <v>799</v>
      </c>
      <c r="B333" t="str" cm="1">
        <f t="array" ref="B333">_xlfn.XLOOKUP(C333, INDEX([1]!카테고리매핑,,2), INDEX([1]!카테고리매핑,,1), "미등록 카테고리")</f>
        <v>간편식</v>
      </c>
      <c r="C333" t="s">
        <v>46</v>
      </c>
      <c r="D333" t="str">
        <f>VLOOKUP(C333, '[1]VLOOKUP 함수용 카테고리'!$A$1:$B$59, 2, 0)</f>
        <v>RTC_MEAL</v>
      </c>
      <c r="E333" t="s">
        <v>46</v>
      </c>
      <c r="F333" t="s">
        <v>800</v>
      </c>
    </row>
    <row r="334" spans="1:6" x14ac:dyDescent="0.3">
      <c r="A334" t="s">
        <v>801</v>
      </c>
      <c r="B334" t="str" cm="1">
        <f t="array" ref="B334">_xlfn.XLOOKUP(C334, INDEX([1]!카테고리매핑,,2), INDEX([1]!카테고리매핑,,1), "미등록 카테고리")</f>
        <v>간편식</v>
      </c>
      <c r="C334" t="s">
        <v>46</v>
      </c>
      <c r="D334" t="str">
        <f>VLOOKUP(C334, '[1]VLOOKUP 함수용 카테고리'!$A$1:$B$59, 2, 0)</f>
        <v>RTC_MEAL</v>
      </c>
      <c r="E334" t="s">
        <v>46</v>
      </c>
      <c r="F334" t="s">
        <v>802</v>
      </c>
    </row>
    <row r="335" spans="1:6" x14ac:dyDescent="0.3">
      <c r="A335" t="s">
        <v>803</v>
      </c>
      <c r="B335" t="str" cm="1">
        <f t="array" ref="B335">_xlfn.XLOOKUP(C335, INDEX([1]!카테고리매핑,,2), INDEX([1]!카테고리매핑,,1), "미등록 카테고리")</f>
        <v>육류/계란</v>
      </c>
      <c r="C335" t="s">
        <v>428</v>
      </c>
      <c r="D335" t="str">
        <f>VLOOKUP(C335, '[1]VLOOKUP 함수용 카테고리'!$A$1:$B$59, 2, 0)</f>
        <v>PROCESSED_MEAT</v>
      </c>
      <c r="E335" t="s">
        <v>804</v>
      </c>
      <c r="F335" t="s">
        <v>805</v>
      </c>
    </row>
    <row r="336" spans="1:6" x14ac:dyDescent="0.3">
      <c r="A336" t="s">
        <v>806</v>
      </c>
      <c r="B336" t="str" cm="1">
        <f t="array" ref="B336">_xlfn.XLOOKUP(C336, INDEX([1]!카테고리매핑,,2), INDEX([1]!카테고리매핑,,1), "미등록 카테고리")</f>
        <v>음료</v>
      </c>
      <c r="C336" t="s">
        <v>23</v>
      </c>
      <c r="D336" t="str">
        <f>VLOOKUP(C336, '[1]VLOOKUP 함수용 카테고리'!$A$1:$B$59, 2, 0)</f>
        <v>BEVERAGE</v>
      </c>
      <c r="E336" t="s">
        <v>807</v>
      </c>
      <c r="F336" t="s">
        <v>7697</v>
      </c>
    </row>
    <row r="337" spans="1:6" x14ac:dyDescent="0.3">
      <c r="A337" t="s">
        <v>808</v>
      </c>
      <c r="B337" t="str" cm="1">
        <f t="array" ref="B337">_xlfn.XLOOKUP(C337, INDEX([1]!카테고리매핑,,2), INDEX([1]!카테고리매핑,,1), "미등록 카테고리")</f>
        <v>미등록 카테고리</v>
      </c>
      <c r="C337" t="s">
        <v>334</v>
      </c>
      <c r="D337" t="str">
        <f>VLOOKUP(C337, '[1]VLOOKUP 함수용 카테고리'!$A$1:$B$59, 2, 0)</f>
        <v>UNKNOWN</v>
      </c>
      <c r="E337" t="s">
        <v>334</v>
      </c>
      <c r="F337" t="s">
        <v>809</v>
      </c>
    </row>
    <row r="338" spans="1:6" x14ac:dyDescent="0.3">
      <c r="A338" t="s">
        <v>810</v>
      </c>
      <c r="B338" t="str" cm="1">
        <f t="array" ref="B338">_xlfn.XLOOKUP(C338, INDEX([1]!카테고리매핑,,2), INDEX([1]!카테고리매핑,,1), "미등록 카테고리")</f>
        <v>간식류</v>
      </c>
      <c r="C338" t="s">
        <v>38</v>
      </c>
      <c r="D338" t="str">
        <f>VLOOKUP(C338, '[1]VLOOKUP 함수용 카테고리'!$A$1:$B$59, 2, 0)</f>
        <v>SNACK</v>
      </c>
      <c r="E338" t="s">
        <v>811</v>
      </c>
      <c r="F338" t="s">
        <v>812</v>
      </c>
    </row>
    <row r="339" spans="1:6" x14ac:dyDescent="0.3">
      <c r="A339" t="s">
        <v>813</v>
      </c>
      <c r="B339" t="str" cm="1">
        <f t="array" ref="B339">_xlfn.XLOOKUP(C339, INDEX([1]!카테고리매핑,,2), INDEX([1]!카테고리매핑,,1), "미등록 카테고리")</f>
        <v>미등록 카테고리</v>
      </c>
      <c r="C339" t="s">
        <v>334</v>
      </c>
      <c r="D339" t="str">
        <f>VLOOKUP(C339, '[1]VLOOKUP 함수용 카테고리'!$A$1:$B$59, 2, 0)</f>
        <v>UNKNOWN</v>
      </c>
      <c r="E339" t="s">
        <v>334</v>
      </c>
      <c r="F339" t="s">
        <v>814</v>
      </c>
    </row>
    <row r="340" spans="1:6" x14ac:dyDescent="0.3">
      <c r="A340" t="s">
        <v>815</v>
      </c>
      <c r="B340" t="str" cm="1">
        <f t="array" ref="B340">_xlfn.XLOOKUP(C340, INDEX([1]!카테고리매핑,,2), INDEX([1]!카테고리매핑,,1), "미등록 카테고리")</f>
        <v>간식류</v>
      </c>
      <c r="C340" t="s">
        <v>11</v>
      </c>
      <c r="D340" t="str">
        <f>VLOOKUP(C340, '[1]VLOOKUP 함수용 카테고리'!$A$1:$B$59, 2, 0)</f>
        <v>SNACK</v>
      </c>
      <c r="E340" t="s">
        <v>371</v>
      </c>
      <c r="F340" t="s">
        <v>816</v>
      </c>
    </row>
    <row r="341" spans="1:6" x14ac:dyDescent="0.3">
      <c r="A341" t="s">
        <v>817</v>
      </c>
      <c r="B341" t="str" cm="1">
        <f t="array" ref="B341">_xlfn.XLOOKUP(C341, INDEX([1]!카테고리매핑,,2), INDEX([1]!카테고리매핑,,1), "미등록 카테고리")</f>
        <v>유제품</v>
      </c>
      <c r="C341" t="s">
        <v>123</v>
      </c>
      <c r="D341" t="str">
        <f>VLOOKUP(C341, '[1]VLOOKUP 함수용 카테고리'!$A$1:$B$59, 2, 0)</f>
        <v>DAIRY</v>
      </c>
      <c r="E341" t="s">
        <v>239</v>
      </c>
      <c r="F341" t="s">
        <v>240</v>
      </c>
    </row>
    <row r="342" spans="1:6" x14ac:dyDescent="0.3">
      <c r="A342" t="s">
        <v>818</v>
      </c>
      <c r="B342" t="str" cm="1">
        <f t="array" ref="B342">_xlfn.XLOOKUP(C342, INDEX([1]!카테고리매핑,,2), INDEX([1]!카테고리매핑,,1), "미등록 카테고리")</f>
        <v>조미료</v>
      </c>
      <c r="C342" t="s">
        <v>127</v>
      </c>
      <c r="D342" t="str">
        <f>VLOOKUP(C342, '[1]VLOOKUP 함수용 카테고리'!$A$1:$B$59, 2, 0)</f>
        <v>SAUCE_SEASONING</v>
      </c>
      <c r="E342" t="s">
        <v>340</v>
      </c>
      <c r="F342" t="s">
        <v>341</v>
      </c>
    </row>
    <row r="343" spans="1:6" x14ac:dyDescent="0.3">
      <c r="A343" t="s">
        <v>819</v>
      </c>
      <c r="B343" t="str" cm="1">
        <f t="array" ref="B343">_xlfn.XLOOKUP(C343, INDEX([1]!카테고리매핑,,2), INDEX([1]!카테고리매핑,,1), "미등록 카테고리")</f>
        <v>과일/견과류</v>
      </c>
      <c r="C343" t="s">
        <v>654</v>
      </c>
      <c r="D343" t="str">
        <f>VLOOKUP(C343, '[1]VLOOKUP 함수용 카테고리'!$A$1:$B$59, 2, 0)</f>
        <v>RAW_FRUIT</v>
      </c>
      <c r="E343" t="s">
        <v>728</v>
      </c>
      <c r="F343" t="s">
        <v>670</v>
      </c>
    </row>
    <row r="344" spans="1:6" x14ac:dyDescent="0.3">
      <c r="A344" t="s">
        <v>820</v>
      </c>
      <c r="B344" t="str" cm="1">
        <f t="array" ref="B344">_xlfn.XLOOKUP(C344, INDEX([1]!카테고리매핑,,2), INDEX([1]!카테고리매핑,,1), "미등록 카테고리")</f>
        <v>간편식</v>
      </c>
      <c r="C344" t="s">
        <v>46</v>
      </c>
      <c r="D344" t="str">
        <f>VLOOKUP(C344, '[1]VLOOKUP 함수용 카테고리'!$A$1:$B$59, 2, 0)</f>
        <v>RTC_MEAL</v>
      </c>
      <c r="E344" t="s">
        <v>46</v>
      </c>
      <c r="F344" t="s">
        <v>821</v>
      </c>
    </row>
    <row r="345" spans="1:6" x14ac:dyDescent="0.3">
      <c r="A345" t="s">
        <v>822</v>
      </c>
      <c r="B345" t="str" cm="1">
        <f t="array" ref="B345">_xlfn.XLOOKUP(C345, INDEX([1]!카테고리매핑,,2), INDEX([1]!카테고리매핑,,1), "미등록 카테고리")</f>
        <v>과일/견과류</v>
      </c>
      <c r="C345" t="s">
        <v>654</v>
      </c>
      <c r="D345" t="str">
        <f>VLOOKUP(C345, '[1]VLOOKUP 함수용 카테고리'!$A$1:$B$59, 2, 0)</f>
        <v>RAW_FRUIT</v>
      </c>
      <c r="E345" t="s">
        <v>728</v>
      </c>
      <c r="F345" t="s">
        <v>670</v>
      </c>
    </row>
    <row r="346" spans="1:6" x14ac:dyDescent="0.3">
      <c r="A346" t="s">
        <v>823</v>
      </c>
      <c r="B346" t="str" cm="1">
        <f t="array" ref="B346">_xlfn.XLOOKUP(C346, INDEX([1]!카테고리매핑,,2), INDEX([1]!카테고리매핑,,1), "미등록 카테고리")</f>
        <v>과일/견과류</v>
      </c>
      <c r="C346" t="s">
        <v>654</v>
      </c>
      <c r="D346" t="str">
        <f>VLOOKUP(C346, '[1]VLOOKUP 함수용 카테고리'!$A$1:$B$59, 2, 0)</f>
        <v>RAW_FRUIT</v>
      </c>
      <c r="E346" t="s">
        <v>681</v>
      </c>
      <c r="F346" t="s">
        <v>670</v>
      </c>
    </row>
    <row r="347" spans="1:6" x14ac:dyDescent="0.3">
      <c r="A347" t="s">
        <v>824</v>
      </c>
      <c r="B347" t="str" cm="1">
        <f t="array" ref="B347">_xlfn.XLOOKUP(C347, INDEX([1]!카테고리매핑,,2), INDEX([1]!카테고리매핑,,1), "미등록 카테고리")</f>
        <v>간편식</v>
      </c>
      <c r="C347" t="s">
        <v>19</v>
      </c>
      <c r="D347" t="str">
        <f>VLOOKUP(C347, '[1]VLOOKUP 함수용 카테고리'!$A$1:$B$59, 2, 0)</f>
        <v>FROZEN_MEAL</v>
      </c>
      <c r="E347" t="s">
        <v>245</v>
      </c>
      <c r="F347" t="s">
        <v>825</v>
      </c>
    </row>
    <row r="348" spans="1:6" x14ac:dyDescent="0.3">
      <c r="A348" t="s">
        <v>826</v>
      </c>
      <c r="B348" t="str" cm="1">
        <f t="array" ref="B348">_xlfn.XLOOKUP(C348, INDEX([1]!카테고리매핑,,2), INDEX([1]!카테고리매핑,,1), "미등록 카테고리")</f>
        <v>유제품</v>
      </c>
      <c r="C348" t="s">
        <v>211</v>
      </c>
      <c r="D348" t="str">
        <f>VLOOKUP(C348, '[1]VLOOKUP 함수용 카테고리'!$A$1:$B$59, 2, 0)</f>
        <v>DAIRY</v>
      </c>
      <c r="E348" t="s">
        <v>212</v>
      </c>
      <c r="F348" t="s">
        <v>350</v>
      </c>
    </row>
    <row r="349" spans="1:6" x14ac:dyDescent="0.3">
      <c r="A349" t="s">
        <v>827</v>
      </c>
      <c r="B349" t="str" cm="1">
        <f t="array" ref="B349">_xlfn.XLOOKUP(C349, INDEX([1]!카테고리매핑,,2), INDEX([1]!카테고리매핑,,1), "미등록 카테고리")</f>
        <v>간편식</v>
      </c>
      <c r="C349" t="s">
        <v>46</v>
      </c>
      <c r="D349" t="str">
        <f>VLOOKUP(C349, '[1]VLOOKUP 함수용 카테고리'!$A$1:$B$59, 2, 0)</f>
        <v>RTC_MEAL</v>
      </c>
      <c r="E349" t="s">
        <v>46</v>
      </c>
      <c r="F349" t="s">
        <v>828</v>
      </c>
    </row>
    <row r="350" spans="1:6" x14ac:dyDescent="0.3">
      <c r="A350" t="s">
        <v>829</v>
      </c>
      <c r="B350" t="str" cm="1">
        <f t="array" ref="B350">_xlfn.XLOOKUP(C350, INDEX([1]!카테고리매핑,,2), INDEX([1]!카테고리매핑,,1), "미등록 카테고리")</f>
        <v>유제품</v>
      </c>
      <c r="C350" t="s">
        <v>211</v>
      </c>
      <c r="D350" t="str">
        <f>VLOOKUP(C350, '[1]VLOOKUP 함수용 카테고리'!$A$1:$B$59, 2, 0)</f>
        <v>DAIRY</v>
      </c>
      <c r="E350" t="s">
        <v>211</v>
      </c>
      <c r="F350" t="s">
        <v>830</v>
      </c>
    </row>
    <row r="351" spans="1:6" x14ac:dyDescent="0.3">
      <c r="A351" t="s">
        <v>831</v>
      </c>
      <c r="B351" t="str" cm="1">
        <f t="array" ref="B351">_xlfn.XLOOKUP(C351, INDEX([1]!카테고리매핑,,2), INDEX([1]!카테고리매핑,,1), "미등록 카테고리")</f>
        <v>간편식</v>
      </c>
      <c r="C351" t="s">
        <v>19</v>
      </c>
      <c r="D351" t="str">
        <f>VLOOKUP(C351, '[1]VLOOKUP 함수용 카테고리'!$A$1:$B$59, 2, 0)</f>
        <v>FROZEN_MEAL</v>
      </c>
      <c r="E351" t="s">
        <v>832</v>
      </c>
      <c r="F351" t="s">
        <v>833</v>
      </c>
    </row>
    <row r="352" spans="1:6" x14ac:dyDescent="0.3">
      <c r="A352" t="s">
        <v>834</v>
      </c>
      <c r="B352" t="str" cm="1">
        <f t="array" ref="B352">_xlfn.XLOOKUP(C352, INDEX([1]!카테고리매핑,,2), INDEX([1]!카테고리매핑,,1), "미등록 카테고리")</f>
        <v>상온식품</v>
      </c>
      <c r="C352" t="s">
        <v>835</v>
      </c>
      <c r="D352" t="str">
        <f>VLOOKUP(C352, '[1]VLOOKUP 함수용 카테고리'!$A$1:$B$59, 2, 0)</f>
        <v>SAUCE_SEASONING</v>
      </c>
      <c r="E352" t="s">
        <v>836</v>
      </c>
      <c r="F352" t="s">
        <v>837</v>
      </c>
    </row>
    <row r="353" spans="1:6" x14ac:dyDescent="0.3">
      <c r="A353" t="s">
        <v>838</v>
      </c>
      <c r="B353" t="str" cm="1">
        <f t="array" ref="B353">_xlfn.XLOOKUP(C353, INDEX([1]!카테고리매핑,,2), INDEX([1]!카테고리매핑,,1), "미등록 카테고리")</f>
        <v>미등록 카테고리</v>
      </c>
      <c r="C353" t="s">
        <v>334</v>
      </c>
      <c r="D353" t="str">
        <f>VLOOKUP(C353, '[1]VLOOKUP 함수용 카테고리'!$A$1:$B$59, 2, 0)</f>
        <v>UNKNOWN</v>
      </c>
      <c r="E353" t="s">
        <v>334</v>
      </c>
    </row>
    <row r="354" spans="1:6" x14ac:dyDescent="0.3">
      <c r="A354" t="s">
        <v>839</v>
      </c>
      <c r="B354" t="str" cm="1">
        <f t="array" ref="B354">_xlfn.XLOOKUP(C354, INDEX([1]!카테고리매핑,,2), INDEX([1]!카테고리매핑,,1), "미등록 카테고리")</f>
        <v>미등록 카테고리</v>
      </c>
      <c r="C354" t="s">
        <v>334</v>
      </c>
      <c r="D354" t="str">
        <f>VLOOKUP(C354, '[1]VLOOKUP 함수용 카테고리'!$A$1:$B$59, 2, 0)</f>
        <v>UNKNOWN</v>
      </c>
      <c r="E354" t="s">
        <v>334</v>
      </c>
      <c r="F354" t="s">
        <v>840</v>
      </c>
    </row>
    <row r="355" spans="1:6" x14ac:dyDescent="0.3">
      <c r="A355" t="s">
        <v>841</v>
      </c>
      <c r="B355" t="str" cm="1">
        <f t="array" ref="B355">_xlfn.XLOOKUP(C355, INDEX([1]!카테고리매핑,,2), INDEX([1]!카테고리매핑,,1), "미등록 카테고리")</f>
        <v>유제품</v>
      </c>
      <c r="C355" t="s">
        <v>123</v>
      </c>
      <c r="D355" t="str">
        <f>VLOOKUP(C355, '[1]VLOOKUP 함수용 카테고리'!$A$1:$B$59, 2, 0)</f>
        <v>DAIRY</v>
      </c>
      <c r="E355" t="s">
        <v>190</v>
      </c>
      <c r="F355" t="s">
        <v>191</v>
      </c>
    </row>
    <row r="356" spans="1:6" x14ac:dyDescent="0.3">
      <c r="A356" t="s">
        <v>842</v>
      </c>
      <c r="B356" t="str" cm="1">
        <f t="array" ref="B356">_xlfn.XLOOKUP(C356, INDEX([1]!카테고리매핑,,2), INDEX([1]!카테고리매핑,,1), "미등록 카테고리")</f>
        <v>간식류</v>
      </c>
      <c r="C356" t="s">
        <v>11</v>
      </c>
      <c r="D356" t="str">
        <f>VLOOKUP(C356, '[1]VLOOKUP 함수용 카테고리'!$A$1:$B$59, 2, 0)</f>
        <v>SNACK</v>
      </c>
      <c r="E356" t="s">
        <v>361</v>
      </c>
      <c r="F356" t="s">
        <v>362</v>
      </c>
    </row>
    <row r="357" spans="1:6" x14ac:dyDescent="0.3">
      <c r="A357" t="s">
        <v>843</v>
      </c>
      <c r="B357" t="str" cm="1">
        <f t="array" ref="B357">_xlfn.XLOOKUP(C357, INDEX([1]!카테고리매핑,,2), INDEX([1]!카테고리매핑,,1), "미등록 카테고리")</f>
        <v>유제품</v>
      </c>
      <c r="C357" t="s">
        <v>98</v>
      </c>
      <c r="D357" t="str">
        <f>VLOOKUP(C357, '[1]VLOOKUP 함수용 카테고리'!$A$1:$B$59, 2, 0)</f>
        <v>DAIRY</v>
      </c>
      <c r="E357" t="s">
        <v>98</v>
      </c>
      <c r="F357" t="s">
        <v>844</v>
      </c>
    </row>
    <row r="358" spans="1:6" x14ac:dyDescent="0.3">
      <c r="A358" t="s">
        <v>845</v>
      </c>
      <c r="B358" t="str" cm="1">
        <f t="array" ref="B358">_xlfn.XLOOKUP(C358, INDEX([1]!카테고리매핑,,2), INDEX([1]!카테고리매핑,,1), "미등록 카테고리")</f>
        <v>간식류</v>
      </c>
      <c r="C358" t="s">
        <v>38</v>
      </c>
      <c r="D358" t="str">
        <f>VLOOKUP(C358, '[1]VLOOKUP 함수용 카테고리'!$A$1:$B$59, 2, 0)</f>
        <v>SNACK</v>
      </c>
      <c r="E358" t="s">
        <v>179</v>
      </c>
      <c r="F358" t="s">
        <v>846</v>
      </c>
    </row>
    <row r="359" spans="1:6" x14ac:dyDescent="0.3">
      <c r="A359" t="s">
        <v>847</v>
      </c>
      <c r="B359" t="str" cm="1">
        <f t="array" ref="B359">_xlfn.XLOOKUP(C359, INDEX([1]!카테고리매핑,,2), INDEX([1]!카테고리매핑,,1), "미등록 카테고리")</f>
        <v>간편식</v>
      </c>
      <c r="C359" t="s">
        <v>256</v>
      </c>
      <c r="D359" t="str">
        <f>VLOOKUP(C359, '[1]VLOOKUP 함수용 카테고리'!$A$1:$B$59, 2, 0)</f>
        <v>RTC_MEAL</v>
      </c>
      <c r="E359" t="s">
        <v>256</v>
      </c>
      <c r="F359" t="s">
        <v>848</v>
      </c>
    </row>
    <row r="360" spans="1:6" x14ac:dyDescent="0.3">
      <c r="A360" t="s">
        <v>849</v>
      </c>
      <c r="B360" t="str" cm="1">
        <f t="array" ref="B360">_xlfn.XLOOKUP(C360, INDEX([1]!카테고리매핑,,2), INDEX([1]!카테고리매핑,,1), "미등록 카테고리")</f>
        <v>간편식</v>
      </c>
      <c r="C360" t="s">
        <v>256</v>
      </c>
      <c r="D360" t="str">
        <f>VLOOKUP(C360, '[1]VLOOKUP 함수용 카테고리'!$A$1:$B$59, 2, 0)</f>
        <v>RTC_MEAL</v>
      </c>
      <c r="E360" t="s">
        <v>626</v>
      </c>
      <c r="F360" t="s">
        <v>850</v>
      </c>
    </row>
    <row r="361" spans="1:6" x14ac:dyDescent="0.3">
      <c r="A361" t="s">
        <v>851</v>
      </c>
      <c r="B361" t="str" cm="1">
        <f t="array" ref="B361">_xlfn.XLOOKUP(C361, INDEX([1]!카테고리매핑,,2), INDEX([1]!카테고리매핑,,1), "미등록 카테고리")</f>
        <v>육류/계란</v>
      </c>
      <c r="C361" t="s">
        <v>149</v>
      </c>
      <c r="D361" t="str">
        <f>VLOOKUP(C361, '[1]VLOOKUP 함수용 카테고리'!$A$1:$B$59, 2, 0)</f>
        <v>RAW_MEAT</v>
      </c>
      <c r="E361" t="s">
        <v>852</v>
      </c>
      <c r="F361" t="s">
        <v>853</v>
      </c>
    </row>
    <row r="362" spans="1:6" x14ac:dyDescent="0.3">
      <c r="A362" t="s">
        <v>854</v>
      </c>
      <c r="B362" t="str" cm="1">
        <f t="array" ref="B362">_xlfn.XLOOKUP(C362, INDEX([1]!카테고리매핑,,2), INDEX([1]!카테고리매핑,,1), "미등록 카테고리")</f>
        <v>조미료</v>
      </c>
      <c r="C362" t="s">
        <v>83</v>
      </c>
      <c r="D362" t="str">
        <f>VLOOKUP(C362, '[1]VLOOKUP 함수용 카테고리'!$A$1:$B$59, 2, 0)</f>
        <v>SAUCE_SEASONING</v>
      </c>
      <c r="E362" t="s">
        <v>855</v>
      </c>
      <c r="F362" t="s">
        <v>856</v>
      </c>
    </row>
    <row r="363" spans="1:6" x14ac:dyDescent="0.3">
      <c r="A363" t="s">
        <v>857</v>
      </c>
      <c r="B363" t="str" cm="1">
        <f t="array" ref="B363">_xlfn.XLOOKUP(C363, INDEX([1]!카테고리매핑,,2), INDEX([1]!카테고리매핑,,1), "미등록 카테고리")</f>
        <v>조미료</v>
      </c>
      <c r="C363" t="s">
        <v>84</v>
      </c>
      <c r="D363" t="str">
        <f>VLOOKUP(C363, '[1]VLOOKUP 함수용 카테고리'!$A$1:$B$59, 2, 0)</f>
        <v>SAUCE_SEASONING</v>
      </c>
      <c r="E363" t="s">
        <v>85</v>
      </c>
      <c r="F363" t="s">
        <v>381</v>
      </c>
    </row>
    <row r="364" spans="1:6" x14ac:dyDescent="0.3">
      <c r="A364" t="s">
        <v>858</v>
      </c>
      <c r="B364" t="str" cm="1">
        <f t="array" ref="B364">_xlfn.XLOOKUP(C364, INDEX([1]!카테고리매핑,,2), INDEX([1]!카테고리매핑,,1), "미등록 카테고리")</f>
        <v>채소/곡물류</v>
      </c>
      <c r="C364" t="s">
        <v>301</v>
      </c>
      <c r="D364" t="str">
        <f>VLOOKUP(C364, '[1]VLOOKUP 함수용 카테고리'!$A$1:$B$59, 2, 0)</f>
        <v>GRAIN</v>
      </c>
      <c r="E364" t="s">
        <v>611</v>
      </c>
      <c r="F364" t="s">
        <v>612</v>
      </c>
    </row>
    <row r="365" spans="1:6" x14ac:dyDescent="0.3">
      <c r="A365" t="s">
        <v>859</v>
      </c>
      <c r="B365" t="str" cm="1">
        <f t="array" ref="B365">_xlfn.XLOOKUP(C365, INDEX([1]!카테고리매핑,,2), INDEX([1]!카테고리매핑,,1), "미등록 카테고리")</f>
        <v>조미료</v>
      </c>
      <c r="C365" t="s">
        <v>127</v>
      </c>
      <c r="D365" t="str">
        <f>VLOOKUP(C365, '[1]VLOOKUP 함수용 카테고리'!$A$1:$B$59, 2, 0)</f>
        <v>SAUCE_SEASONING</v>
      </c>
      <c r="E365" t="s">
        <v>860</v>
      </c>
      <c r="F365" t="s">
        <v>861</v>
      </c>
    </row>
    <row r="366" spans="1:6" x14ac:dyDescent="0.3">
      <c r="A366" t="s">
        <v>862</v>
      </c>
      <c r="B366" t="str" cm="1">
        <f t="array" ref="B366">_xlfn.XLOOKUP(C366, INDEX([1]!카테고리매핑,,2), INDEX([1]!카테고리매핑,,1), "미등록 카테고리")</f>
        <v>간편식</v>
      </c>
      <c r="C366" t="s">
        <v>46</v>
      </c>
      <c r="D366" t="str">
        <f>VLOOKUP(C366, '[1]VLOOKUP 함수용 카테고리'!$A$1:$B$59, 2, 0)</f>
        <v>RTC_MEAL</v>
      </c>
      <c r="E366" t="s">
        <v>46</v>
      </c>
      <c r="F366" t="s">
        <v>863</v>
      </c>
    </row>
    <row r="367" spans="1:6" x14ac:dyDescent="0.3">
      <c r="A367" t="s">
        <v>864</v>
      </c>
      <c r="B367" t="str" cm="1">
        <f t="array" ref="B367">_xlfn.XLOOKUP(C367, INDEX([1]!카테고리매핑,,2), INDEX([1]!카테고리매핑,,1), "미등록 카테고리")</f>
        <v>간편식</v>
      </c>
      <c r="C367" t="s">
        <v>158</v>
      </c>
      <c r="D367" t="str">
        <f>VLOOKUP(C367, '[1]VLOOKUP 함수용 카테고리'!$A$1:$B$59, 2, 0)</f>
        <v>INSTANT</v>
      </c>
      <c r="E367" t="s">
        <v>865</v>
      </c>
      <c r="F367" t="s">
        <v>36</v>
      </c>
    </row>
    <row r="368" spans="1:6" x14ac:dyDescent="0.3">
      <c r="A368" t="s">
        <v>866</v>
      </c>
      <c r="B368" t="str" cm="1">
        <f t="array" ref="B368">_xlfn.XLOOKUP(C368, INDEX([1]!카테고리매핑,,2), INDEX([1]!카테고리매핑,,1), "미등록 카테고리")</f>
        <v>간식류</v>
      </c>
      <c r="C368" t="s">
        <v>38</v>
      </c>
      <c r="D368" t="str">
        <f>VLOOKUP(C368, '[1]VLOOKUP 함수용 카테고리'!$A$1:$B$59, 2, 0)</f>
        <v>SNACK</v>
      </c>
      <c r="E368" t="s">
        <v>179</v>
      </c>
      <c r="F368" t="s">
        <v>846</v>
      </c>
    </row>
    <row r="369" spans="1:6" x14ac:dyDescent="0.3">
      <c r="A369" t="s">
        <v>867</v>
      </c>
      <c r="B369" t="str" cm="1">
        <f t="array" ref="B369">_xlfn.XLOOKUP(C369, INDEX([1]!카테고리매핑,,2), INDEX([1]!카테고리매핑,,1), "미등록 카테고리")</f>
        <v>유제품</v>
      </c>
      <c r="C369" t="s">
        <v>432</v>
      </c>
      <c r="D369" t="str">
        <f>VLOOKUP(C369, '[1]VLOOKUP 함수용 카테고리'!$A$1:$B$59, 2, 0)</f>
        <v>DAIRY</v>
      </c>
      <c r="E369" t="s">
        <v>549</v>
      </c>
      <c r="F369" t="s">
        <v>868</v>
      </c>
    </row>
    <row r="370" spans="1:6" x14ac:dyDescent="0.3">
      <c r="A370" t="s">
        <v>869</v>
      </c>
      <c r="B370" t="str" cm="1">
        <f t="array" ref="B370">_xlfn.XLOOKUP(C370, INDEX([1]!카테고리매핑,,2), INDEX([1]!카테고리매핑,,1), "미등록 카테고리")</f>
        <v>육류/계란</v>
      </c>
      <c r="C370" t="s">
        <v>870</v>
      </c>
      <c r="D370" t="str">
        <f>VLOOKUP(C370, '[1]VLOOKUP 함수용 카테고리'!$A$1:$B$59, 2, 0)</f>
        <v>RAW_MEAT</v>
      </c>
      <c r="E370" t="s">
        <v>871</v>
      </c>
      <c r="F370" t="s">
        <v>872</v>
      </c>
    </row>
    <row r="371" spans="1:6" x14ac:dyDescent="0.3">
      <c r="A371" t="s">
        <v>873</v>
      </c>
      <c r="B371" t="str" cm="1">
        <f t="array" ref="B371">_xlfn.XLOOKUP(C371, INDEX([1]!카테고리매핑,,2), INDEX([1]!카테고리매핑,,1), "미등록 카테고리")</f>
        <v>간편식</v>
      </c>
      <c r="C371" t="s">
        <v>167</v>
      </c>
      <c r="D371" t="str">
        <f>VLOOKUP(C371, '[1]VLOOKUP 함수용 카테고리'!$A$1:$B$59, 2, 0)</f>
        <v>INSTANT</v>
      </c>
      <c r="E371" t="s">
        <v>874</v>
      </c>
      <c r="F371" t="s">
        <v>169</v>
      </c>
    </row>
    <row r="372" spans="1:6" x14ac:dyDescent="0.3">
      <c r="A372" t="s">
        <v>875</v>
      </c>
      <c r="B372" t="str" cm="1">
        <f t="array" ref="B372">_xlfn.XLOOKUP(C372, INDEX([1]!카테고리매핑,,2), INDEX([1]!카테고리매핑,,1), "미등록 카테고리")</f>
        <v>간편식</v>
      </c>
      <c r="C372" t="s">
        <v>46</v>
      </c>
      <c r="D372" t="str">
        <f>VLOOKUP(C372, '[1]VLOOKUP 함수용 카테고리'!$A$1:$B$59, 2, 0)</f>
        <v>RTC_MEAL</v>
      </c>
      <c r="E372" t="s">
        <v>46</v>
      </c>
      <c r="F372" t="s">
        <v>36</v>
      </c>
    </row>
    <row r="373" spans="1:6" x14ac:dyDescent="0.3">
      <c r="A373" t="s">
        <v>876</v>
      </c>
      <c r="B373" t="str" cm="1">
        <f t="array" ref="B373">_xlfn.XLOOKUP(C373, INDEX([1]!카테고리매핑,,2), INDEX([1]!카테고리매핑,,1), "미등록 카테고리")</f>
        <v>미등록 카테고리</v>
      </c>
      <c r="C373" t="s">
        <v>334</v>
      </c>
      <c r="D373" t="str">
        <f>VLOOKUP(C373, '[1]VLOOKUP 함수용 카테고리'!$A$1:$B$59, 2, 0)</f>
        <v>UNKNOWN</v>
      </c>
      <c r="E373" t="s">
        <v>334</v>
      </c>
      <c r="F373" t="s">
        <v>877</v>
      </c>
    </row>
    <row r="374" spans="1:6" x14ac:dyDescent="0.3">
      <c r="A374" t="s">
        <v>878</v>
      </c>
      <c r="B374" t="str" cm="1">
        <f t="array" ref="B374">_xlfn.XLOOKUP(C374, INDEX([1]!카테고리매핑,,2), INDEX([1]!카테고리매핑,,1), "미등록 카테고리")</f>
        <v>과일/견과류</v>
      </c>
      <c r="C374" t="s">
        <v>654</v>
      </c>
      <c r="D374" t="str">
        <f>VLOOKUP(C374, '[1]VLOOKUP 함수용 카테고리'!$A$1:$B$59, 2, 0)</f>
        <v>RAW_FRUIT</v>
      </c>
      <c r="E374" t="s">
        <v>879</v>
      </c>
      <c r="F374" t="s">
        <v>670</v>
      </c>
    </row>
    <row r="375" spans="1:6" x14ac:dyDescent="0.3">
      <c r="A375" t="s">
        <v>880</v>
      </c>
      <c r="B375" t="str" cm="1">
        <f t="array" ref="B375">_xlfn.XLOOKUP(C375, INDEX([1]!카테고리매핑,,2), INDEX([1]!카테고리매핑,,1), "미등록 카테고리")</f>
        <v>간식류</v>
      </c>
      <c r="C375" t="s">
        <v>11</v>
      </c>
      <c r="D375" t="str">
        <f>VLOOKUP(C375, '[1]VLOOKUP 함수용 카테고리'!$A$1:$B$59, 2, 0)</f>
        <v>SNACK</v>
      </c>
      <c r="E375" t="s">
        <v>881</v>
      </c>
      <c r="F375" t="s">
        <v>7692</v>
      </c>
    </row>
    <row r="376" spans="1:6" x14ac:dyDescent="0.3">
      <c r="A376" t="s">
        <v>882</v>
      </c>
      <c r="B376" t="str" cm="1">
        <f t="array" ref="B376">_xlfn.XLOOKUP(C376, INDEX([1]!카테고리매핑,,2), INDEX([1]!카테고리매핑,,1), "미등록 카테고리")</f>
        <v>간편식</v>
      </c>
      <c r="C376" t="s">
        <v>46</v>
      </c>
      <c r="D376" t="str">
        <f>VLOOKUP(C376, '[1]VLOOKUP 함수용 카테고리'!$A$1:$B$59, 2, 0)</f>
        <v>RTC_MEAL</v>
      </c>
      <c r="E376" t="s">
        <v>46</v>
      </c>
      <c r="F376" t="s">
        <v>883</v>
      </c>
    </row>
    <row r="377" spans="1:6" x14ac:dyDescent="0.3">
      <c r="A377" t="s">
        <v>884</v>
      </c>
      <c r="B377" t="str" cm="1">
        <f t="array" ref="B377">_xlfn.XLOOKUP(C377, INDEX([1]!카테고리매핑,,2), INDEX([1]!카테고리매핑,,1), "미등록 카테고리")</f>
        <v>음료</v>
      </c>
      <c r="C377" t="s">
        <v>242</v>
      </c>
      <c r="D377" t="str">
        <f>VLOOKUP(C377, '[1]VLOOKUP 함수용 카테고리'!$A$1:$B$59, 2, 0)</f>
        <v>BEVERAGE</v>
      </c>
      <c r="E377" t="s">
        <v>493</v>
      </c>
      <c r="F377" t="s">
        <v>246</v>
      </c>
    </row>
    <row r="378" spans="1:6" x14ac:dyDescent="0.3">
      <c r="A378" t="s">
        <v>885</v>
      </c>
      <c r="B378" t="str" cm="1">
        <f t="array" ref="B378">_xlfn.XLOOKUP(C378, INDEX([1]!카테고리매핑,,2), INDEX([1]!카테고리매핑,,1), "미등록 카테고리")</f>
        <v>조미료</v>
      </c>
      <c r="C378" t="s">
        <v>83</v>
      </c>
      <c r="D378" t="str">
        <f>VLOOKUP(C378, '[1]VLOOKUP 함수용 카테고리'!$A$1:$B$59, 2, 0)</f>
        <v>SAUCE_SEASONING</v>
      </c>
      <c r="E378" t="s">
        <v>886</v>
      </c>
      <c r="F378" t="s">
        <v>887</v>
      </c>
    </row>
    <row r="379" spans="1:6" x14ac:dyDescent="0.3">
      <c r="A379" t="s">
        <v>888</v>
      </c>
      <c r="B379" t="str" cm="1">
        <f t="array" ref="B379">_xlfn.XLOOKUP(C379, INDEX([1]!카테고리매핑,,2), INDEX([1]!카테고리매핑,,1), "미등록 카테고리")</f>
        <v>간편식</v>
      </c>
      <c r="C379" t="s">
        <v>19</v>
      </c>
      <c r="D379" t="str">
        <f>VLOOKUP(C379, '[1]VLOOKUP 함수용 카테고리'!$A$1:$B$59, 2, 0)</f>
        <v>FROZEN_MEAL</v>
      </c>
      <c r="E379" t="s">
        <v>763</v>
      </c>
      <c r="F379" t="s">
        <v>889</v>
      </c>
    </row>
    <row r="380" spans="1:6" x14ac:dyDescent="0.3">
      <c r="A380" t="s">
        <v>890</v>
      </c>
      <c r="B380" t="str" cm="1">
        <f t="array" ref="B380">_xlfn.XLOOKUP(C380, INDEX([1]!카테고리매핑,,2), INDEX([1]!카테고리매핑,,1), "미등록 카테고리")</f>
        <v>채소/곡물류</v>
      </c>
      <c r="C380" t="s">
        <v>7</v>
      </c>
      <c r="D380" t="str">
        <f>VLOOKUP(C380, '[1]VLOOKUP 함수용 카테고리'!$A$1:$B$59, 2, 0)</f>
        <v>RAW_PRODUCE</v>
      </c>
      <c r="E380" t="s">
        <v>50</v>
      </c>
      <c r="F380" t="s">
        <v>51</v>
      </c>
    </row>
    <row r="381" spans="1:6" x14ac:dyDescent="0.3">
      <c r="A381" t="s">
        <v>891</v>
      </c>
      <c r="B381" t="str" cm="1">
        <f t="array" ref="B381">_xlfn.XLOOKUP(C381, INDEX([1]!카테고리매핑,,2), INDEX([1]!카테고리매핑,,1), "미등록 카테고리")</f>
        <v>유제품</v>
      </c>
      <c r="C381" t="s">
        <v>432</v>
      </c>
      <c r="D381" t="str">
        <f>VLOOKUP(C381, '[1]VLOOKUP 함수용 카테고리'!$A$1:$B$59, 2, 0)</f>
        <v>DAIRY</v>
      </c>
      <c r="E381" t="s">
        <v>549</v>
      </c>
      <c r="F381" t="s">
        <v>892</v>
      </c>
    </row>
    <row r="382" spans="1:6" x14ac:dyDescent="0.3">
      <c r="A382" t="s">
        <v>893</v>
      </c>
      <c r="B382" t="str" cm="1">
        <f t="array" ref="B382">_xlfn.XLOOKUP(C382, INDEX([1]!카테고리매핑,,2), INDEX([1]!카테고리매핑,,1), "미등록 카테고리")</f>
        <v>채소/곡물류</v>
      </c>
      <c r="C382" t="s">
        <v>7</v>
      </c>
      <c r="D382" t="str">
        <f>VLOOKUP(C382, '[1]VLOOKUP 함수용 카테고리'!$A$1:$B$59, 2, 0)</f>
        <v>RAW_PRODUCE</v>
      </c>
      <c r="E382" t="s">
        <v>331</v>
      </c>
    </row>
    <row r="383" spans="1:6" x14ac:dyDescent="0.3">
      <c r="A383" t="s">
        <v>894</v>
      </c>
      <c r="B383" t="str" cm="1">
        <f t="array" ref="B383">_xlfn.XLOOKUP(C383, INDEX([1]!카테고리매핑,,2), INDEX([1]!카테고리매핑,,1), "미등록 카테고리")</f>
        <v>조미료</v>
      </c>
      <c r="C383" t="s">
        <v>117</v>
      </c>
      <c r="D383" t="str">
        <f>VLOOKUP(C383, '[1]VLOOKUP 함수용 카테고리'!$A$1:$B$59, 2, 0)</f>
        <v>SAUCE_SEASONING</v>
      </c>
      <c r="E383" t="s">
        <v>895</v>
      </c>
      <c r="F383" t="s">
        <v>896</v>
      </c>
    </row>
    <row r="384" spans="1:6" x14ac:dyDescent="0.3">
      <c r="A384" t="s">
        <v>897</v>
      </c>
      <c r="B384" t="str" cm="1">
        <f t="array" ref="B384">_xlfn.XLOOKUP(C384, INDEX([1]!카테고리매핑,,2), INDEX([1]!카테고리매핑,,1), "미등록 카테고리")</f>
        <v>간식류</v>
      </c>
      <c r="C384" t="s">
        <v>15</v>
      </c>
      <c r="D384" t="str">
        <f>VLOOKUP(C384, '[1]VLOOKUP 함수용 카테고리'!$A$1:$B$59, 2, 0)</f>
        <v>BAKERY</v>
      </c>
      <c r="E384" t="s">
        <v>898</v>
      </c>
      <c r="F384" t="s">
        <v>899</v>
      </c>
    </row>
    <row r="385" spans="1:6" x14ac:dyDescent="0.3">
      <c r="A385" t="s">
        <v>900</v>
      </c>
      <c r="B385" t="str" cm="1">
        <f t="array" ref="B385">_xlfn.XLOOKUP(C385, INDEX([1]!카테고리매핑,,2), INDEX([1]!카테고리매핑,,1), "미등록 카테고리")</f>
        <v>과일/견과류</v>
      </c>
      <c r="C385" t="s">
        <v>654</v>
      </c>
      <c r="D385" t="str">
        <f>VLOOKUP(C385, '[1]VLOOKUP 함수용 카테고리'!$A$1:$B$59, 2, 0)</f>
        <v>RAW_FRUIT</v>
      </c>
      <c r="E385" t="s">
        <v>879</v>
      </c>
      <c r="F385" t="s">
        <v>670</v>
      </c>
    </row>
    <row r="386" spans="1:6" x14ac:dyDescent="0.3">
      <c r="A386" t="s">
        <v>901</v>
      </c>
      <c r="B386" t="str" cm="1">
        <f t="array" ref="B386">_xlfn.XLOOKUP(C386, INDEX([1]!카테고리매핑,,2), INDEX([1]!카테고리매핑,,1), "미등록 카테고리")</f>
        <v>간편식</v>
      </c>
      <c r="C386" t="s">
        <v>256</v>
      </c>
      <c r="D386" t="str">
        <f>VLOOKUP(C386, '[1]VLOOKUP 함수용 카테고리'!$A$1:$B$59, 2, 0)</f>
        <v>RTC_MEAL</v>
      </c>
      <c r="E386" t="s">
        <v>256</v>
      </c>
      <c r="F386" t="s">
        <v>237</v>
      </c>
    </row>
    <row r="387" spans="1:6" x14ac:dyDescent="0.3">
      <c r="A387" t="s">
        <v>902</v>
      </c>
      <c r="B387" t="str" cm="1">
        <f t="array" ref="B387">_xlfn.XLOOKUP(C387, INDEX([1]!카테고리매핑,,2), INDEX([1]!카테고리매핑,,1), "미등록 카테고리")</f>
        <v>조미료</v>
      </c>
      <c r="C387" t="s">
        <v>127</v>
      </c>
      <c r="D387" t="str">
        <f>VLOOKUP(C387, '[1]VLOOKUP 함수용 카테고리'!$A$1:$B$59, 2, 0)</f>
        <v>SAUCE_SEASONING</v>
      </c>
      <c r="E387" t="s">
        <v>903</v>
      </c>
      <c r="F387" t="s">
        <v>136</v>
      </c>
    </row>
    <row r="388" spans="1:6" x14ac:dyDescent="0.3">
      <c r="A388" t="s">
        <v>904</v>
      </c>
      <c r="B388" t="str" cm="1">
        <f t="array" ref="B388">_xlfn.XLOOKUP(C388, INDEX([1]!카테고리매핑,,2), INDEX([1]!카테고리매핑,,1), "미등록 카테고리")</f>
        <v>미등록 카테고리</v>
      </c>
      <c r="C388" t="s">
        <v>334</v>
      </c>
      <c r="D388" t="str">
        <f>VLOOKUP(C388, '[1]VLOOKUP 함수용 카테고리'!$A$1:$B$59, 2, 0)</f>
        <v>UNKNOWN</v>
      </c>
      <c r="E388" t="s">
        <v>334</v>
      </c>
      <c r="F388" t="s">
        <v>905</v>
      </c>
    </row>
    <row r="389" spans="1:6" x14ac:dyDescent="0.3">
      <c r="A389" t="s">
        <v>906</v>
      </c>
      <c r="B389" t="str" cm="1">
        <f t="array" ref="B389">_xlfn.XLOOKUP(C389, INDEX([1]!카테고리매핑,,2), INDEX([1]!카테고리매핑,,1), "미등록 카테고리")</f>
        <v>육류/계란</v>
      </c>
      <c r="C389" t="s">
        <v>298</v>
      </c>
      <c r="D389" t="str">
        <f>VLOOKUP(C389, '[1]VLOOKUP 함수용 카테고리'!$A$1:$B$59, 2, 0)</f>
        <v>RAW_MEAT</v>
      </c>
      <c r="E389" t="s">
        <v>298</v>
      </c>
      <c r="F389" t="s">
        <v>350</v>
      </c>
    </row>
    <row r="390" spans="1:6" x14ac:dyDescent="0.3">
      <c r="A390" t="s">
        <v>907</v>
      </c>
      <c r="B390" t="str" cm="1">
        <f t="array" ref="B390">_xlfn.XLOOKUP(C390, INDEX([1]!카테고리매핑,,2), INDEX([1]!카테고리매핑,,1), "미등록 카테고리")</f>
        <v>육류/계란</v>
      </c>
      <c r="C390" t="s">
        <v>34</v>
      </c>
      <c r="D390" t="str">
        <f>VLOOKUP(C390, '[1]VLOOKUP 함수용 카테고리'!$A$1:$B$59, 2, 0)</f>
        <v>RAW_MEAT</v>
      </c>
      <c r="E390" t="s">
        <v>35</v>
      </c>
      <c r="F390" t="s">
        <v>350</v>
      </c>
    </row>
    <row r="391" spans="1:6" x14ac:dyDescent="0.3">
      <c r="A391" t="s">
        <v>908</v>
      </c>
      <c r="B391" t="str" cm="1">
        <f t="array" ref="B391">_xlfn.XLOOKUP(C391, INDEX([1]!카테고리매핑,,2), INDEX([1]!카테고리매핑,,1), "미등록 카테고리")</f>
        <v>수산물</v>
      </c>
      <c r="C391" t="s">
        <v>229</v>
      </c>
      <c r="D391" t="str">
        <f>VLOOKUP(C391, '[1]VLOOKUP 함수용 카테고리'!$A$1:$B$59, 2, 0)</f>
        <v>RAW_SEAFOOD</v>
      </c>
      <c r="E391" t="s">
        <v>230</v>
      </c>
      <c r="F391" t="s">
        <v>909</v>
      </c>
    </row>
    <row r="392" spans="1:6" x14ac:dyDescent="0.3">
      <c r="A392" t="s">
        <v>910</v>
      </c>
      <c r="B392" t="str" cm="1">
        <f t="array" ref="B392">_xlfn.XLOOKUP(C392, INDEX([1]!카테고리매핑,,2), INDEX([1]!카테고리매핑,,1), "미등록 카테고리")</f>
        <v>간편식</v>
      </c>
      <c r="C392" t="s">
        <v>131</v>
      </c>
      <c r="D392" t="str">
        <f>VLOOKUP(C392, '[1]VLOOKUP 함수용 카테고리'!$A$1:$B$59, 2, 0)</f>
        <v>SIMPLE_PROCESSED</v>
      </c>
      <c r="E392" t="s">
        <v>911</v>
      </c>
      <c r="F392" t="s">
        <v>416</v>
      </c>
    </row>
    <row r="393" spans="1:6" x14ac:dyDescent="0.3">
      <c r="A393" t="s">
        <v>912</v>
      </c>
      <c r="B393" t="str" cm="1">
        <f t="array" ref="B393">_xlfn.XLOOKUP(C393, INDEX([1]!카테고리매핑,,2), INDEX([1]!카테고리매핑,,1), "미등록 카테고리")</f>
        <v>미등록 카테고리</v>
      </c>
      <c r="C393" t="s">
        <v>334</v>
      </c>
      <c r="D393" t="str">
        <f>VLOOKUP(C393, '[1]VLOOKUP 함수용 카테고리'!$A$1:$B$59, 2, 0)</f>
        <v>UNKNOWN</v>
      </c>
      <c r="E393" t="s">
        <v>334</v>
      </c>
    </row>
    <row r="394" spans="1:6" x14ac:dyDescent="0.3">
      <c r="A394" t="s">
        <v>913</v>
      </c>
      <c r="B394" t="str" cm="1">
        <f t="array" ref="B394">_xlfn.XLOOKUP(C394, INDEX([1]!카테고리매핑,,2), INDEX([1]!카테고리매핑,,1), "미등록 카테고리")</f>
        <v>육류/계란</v>
      </c>
      <c r="C394" t="s">
        <v>914</v>
      </c>
      <c r="D394" t="str">
        <f>VLOOKUP(C394, '[1]VLOOKUP 함수용 카테고리'!$A$1:$B$59, 2, 0)</f>
        <v>RAW_MEAT</v>
      </c>
      <c r="E394" t="s">
        <v>915</v>
      </c>
      <c r="F394" t="s">
        <v>916</v>
      </c>
    </row>
    <row r="395" spans="1:6" x14ac:dyDescent="0.3">
      <c r="A395" t="s">
        <v>917</v>
      </c>
      <c r="B395" t="str" cm="1">
        <f t="array" ref="B395">_xlfn.XLOOKUP(C395, INDEX([1]!카테고리매핑,,2), INDEX([1]!카테고리매핑,,1), "미등록 카테고리")</f>
        <v>간편식</v>
      </c>
      <c r="C395" t="s">
        <v>46</v>
      </c>
      <c r="D395" t="str">
        <f>VLOOKUP(C395, '[1]VLOOKUP 함수용 카테고리'!$A$1:$B$59, 2, 0)</f>
        <v>RTC_MEAL</v>
      </c>
      <c r="E395" t="s">
        <v>46</v>
      </c>
      <c r="F395" t="s">
        <v>918</v>
      </c>
    </row>
    <row r="396" spans="1:6" x14ac:dyDescent="0.3">
      <c r="A396" t="s">
        <v>919</v>
      </c>
      <c r="B396" t="str" cm="1">
        <f t="array" ref="B396">_xlfn.XLOOKUP(C396, INDEX([1]!카테고리매핑,,2), INDEX([1]!카테고리매핑,,1), "미등록 카테고리")</f>
        <v>간편식</v>
      </c>
      <c r="C396" t="s">
        <v>46</v>
      </c>
      <c r="D396" t="str">
        <f>VLOOKUP(C396, '[1]VLOOKUP 함수용 카테고리'!$A$1:$B$59, 2, 0)</f>
        <v>RTC_MEAL</v>
      </c>
      <c r="E396" t="s">
        <v>46</v>
      </c>
      <c r="F396" t="s">
        <v>391</v>
      </c>
    </row>
    <row r="397" spans="1:6" x14ac:dyDescent="0.3">
      <c r="A397" t="s">
        <v>920</v>
      </c>
      <c r="B397" t="str" cm="1">
        <f t="array" ref="B397">_xlfn.XLOOKUP(C397, INDEX([1]!카테고리매핑,,2), INDEX([1]!카테고리매핑,,1), "미등록 카테고리")</f>
        <v>과일/견과류</v>
      </c>
      <c r="C397" t="s">
        <v>654</v>
      </c>
      <c r="D397" t="str">
        <f>VLOOKUP(C397, '[1]VLOOKUP 함수용 카테고리'!$A$1:$B$59, 2, 0)</f>
        <v>RAW_FRUIT</v>
      </c>
      <c r="E397" t="s">
        <v>681</v>
      </c>
      <c r="F397" t="s">
        <v>670</v>
      </c>
    </row>
    <row r="398" spans="1:6" x14ac:dyDescent="0.3">
      <c r="A398" t="s">
        <v>921</v>
      </c>
      <c r="B398" t="str" cm="1">
        <f t="array" ref="B398">_xlfn.XLOOKUP(C398, INDEX([1]!카테고리매핑,,2), INDEX([1]!카테고리매핑,,1), "미등록 카테고리")</f>
        <v>상온식품</v>
      </c>
      <c r="C398" t="s">
        <v>276</v>
      </c>
      <c r="D398" t="str">
        <f>VLOOKUP(C398, '[1]VLOOKUP 함수용 카테고리'!$A$1:$B$59, 2, 0)</f>
        <v>DRIED_SEAFOOD</v>
      </c>
      <c r="E398" t="s">
        <v>277</v>
      </c>
      <c r="F398" t="s">
        <v>350</v>
      </c>
    </row>
    <row r="399" spans="1:6" x14ac:dyDescent="0.3">
      <c r="A399" t="s">
        <v>922</v>
      </c>
      <c r="B399" t="str" cm="1">
        <f t="array" ref="B399">_xlfn.XLOOKUP(C399, INDEX([1]!카테고리매핑,,2), INDEX([1]!카테고리매핑,,1), "미등록 카테고리")</f>
        <v>미등록 카테고리</v>
      </c>
      <c r="C399" t="s">
        <v>334</v>
      </c>
      <c r="D399" t="str">
        <f>VLOOKUP(C399, '[1]VLOOKUP 함수용 카테고리'!$A$1:$B$59, 2, 0)</f>
        <v>UNKNOWN</v>
      </c>
      <c r="E399" t="s">
        <v>334</v>
      </c>
      <c r="F399" t="s">
        <v>923</v>
      </c>
    </row>
    <row r="400" spans="1:6" x14ac:dyDescent="0.3">
      <c r="A400" t="s">
        <v>924</v>
      </c>
      <c r="B400" t="str" cm="1">
        <f t="array" ref="B400">_xlfn.XLOOKUP(C400, INDEX([1]!카테고리매핑,,2), INDEX([1]!카테고리매핑,,1), "미등록 카테고리")</f>
        <v>간식류</v>
      </c>
      <c r="C400" t="s">
        <v>38</v>
      </c>
      <c r="D400" t="str">
        <f>VLOOKUP(C400, '[1]VLOOKUP 함수용 카테고리'!$A$1:$B$59, 2, 0)</f>
        <v>SNACK</v>
      </c>
      <c r="E400" t="s">
        <v>925</v>
      </c>
      <c r="F400" t="s">
        <v>734</v>
      </c>
    </row>
    <row r="401" spans="1:6" x14ac:dyDescent="0.3">
      <c r="A401" t="s">
        <v>926</v>
      </c>
      <c r="B401" t="str" cm="1">
        <f t="array" ref="B401">_xlfn.XLOOKUP(C401, INDEX([1]!카테고리매핑,,2), INDEX([1]!카테고리매핑,,1), "미등록 카테고리")</f>
        <v>간편식</v>
      </c>
      <c r="C401" t="s">
        <v>131</v>
      </c>
      <c r="D401" t="str">
        <f>VLOOKUP(C401, '[1]VLOOKUP 함수용 카테고리'!$A$1:$B$59, 2, 0)</f>
        <v>SIMPLE_PROCESSED</v>
      </c>
      <c r="E401" t="s">
        <v>927</v>
      </c>
      <c r="F401" t="s">
        <v>928</v>
      </c>
    </row>
    <row r="402" spans="1:6" x14ac:dyDescent="0.3">
      <c r="A402" t="s">
        <v>929</v>
      </c>
      <c r="B402" t="str" cm="1">
        <f t="array" ref="B402">_xlfn.XLOOKUP(C402, INDEX([1]!카테고리매핑,,2), INDEX([1]!카테고리매핑,,1), "미등록 카테고리")</f>
        <v>미등록 카테고리</v>
      </c>
      <c r="C402" t="s">
        <v>334</v>
      </c>
      <c r="D402" t="str">
        <f>VLOOKUP(C402, '[1]VLOOKUP 함수용 카테고리'!$A$1:$B$59, 2, 0)</f>
        <v>UNKNOWN</v>
      </c>
      <c r="E402" t="s">
        <v>334</v>
      </c>
      <c r="F402" t="s">
        <v>930</v>
      </c>
    </row>
    <row r="403" spans="1:6" x14ac:dyDescent="0.3">
      <c r="A403" t="s">
        <v>931</v>
      </c>
      <c r="B403" t="str" cm="1">
        <f t="array" ref="B403">_xlfn.XLOOKUP(C403, INDEX([1]!카테고리매핑,,2), INDEX([1]!카테고리매핑,,1), "미등록 카테고리")</f>
        <v>음료</v>
      </c>
      <c r="C403" t="s">
        <v>23</v>
      </c>
      <c r="D403" t="str">
        <f>VLOOKUP(C403, '[1]VLOOKUP 함수용 카테고리'!$A$1:$B$59, 2, 0)</f>
        <v>BEVERAGE</v>
      </c>
      <c r="E403" t="s">
        <v>288</v>
      </c>
      <c r="F403" t="s">
        <v>324</v>
      </c>
    </row>
    <row r="404" spans="1:6" x14ac:dyDescent="0.3">
      <c r="A404" t="s">
        <v>932</v>
      </c>
      <c r="B404" t="str" cm="1">
        <f t="array" ref="B404">_xlfn.XLOOKUP(C404, INDEX([1]!카테고리매핑,,2), INDEX([1]!카테고리매핑,,1), "미등록 카테고리")</f>
        <v>간식류</v>
      </c>
      <c r="C404" t="s">
        <v>109</v>
      </c>
      <c r="D404" t="str">
        <f>VLOOKUP(C404, '[1]VLOOKUP 함수용 카테고리'!$A$1:$B$59, 2, 0)</f>
        <v>SNACK</v>
      </c>
      <c r="E404" t="s">
        <v>933</v>
      </c>
      <c r="F404" t="s">
        <v>934</v>
      </c>
    </row>
    <row r="405" spans="1:6" x14ac:dyDescent="0.3">
      <c r="A405" t="s">
        <v>935</v>
      </c>
      <c r="B405" t="str" cm="1">
        <f t="array" ref="B405">_xlfn.XLOOKUP(C405, INDEX([1]!카테고리매핑,,2), INDEX([1]!카테고리매핑,,1), "미등록 카테고리")</f>
        <v>상온식품</v>
      </c>
      <c r="C405" t="s">
        <v>276</v>
      </c>
      <c r="D405" t="str">
        <f>VLOOKUP(C405, '[1]VLOOKUP 함수용 카테고리'!$A$1:$B$59, 2, 0)</f>
        <v>DRIED_SEAFOOD</v>
      </c>
      <c r="E405" t="s">
        <v>277</v>
      </c>
      <c r="F405" t="s">
        <v>541</v>
      </c>
    </row>
    <row r="406" spans="1:6" x14ac:dyDescent="0.3">
      <c r="A406" t="s">
        <v>936</v>
      </c>
      <c r="B406" t="str" cm="1">
        <f t="array" ref="B406">_xlfn.XLOOKUP(C406, INDEX([1]!카테고리매핑,,2), INDEX([1]!카테고리매핑,,1), "미등록 카테고리")</f>
        <v>간식류</v>
      </c>
      <c r="C406" t="s">
        <v>109</v>
      </c>
      <c r="D406" t="str">
        <f>VLOOKUP(C406, '[1]VLOOKUP 함수용 카테고리'!$A$1:$B$59, 2, 0)</f>
        <v>SNACK</v>
      </c>
      <c r="E406" t="s">
        <v>933</v>
      </c>
      <c r="F406" t="s">
        <v>937</v>
      </c>
    </row>
    <row r="407" spans="1:6" x14ac:dyDescent="0.3">
      <c r="A407" t="s">
        <v>938</v>
      </c>
      <c r="B407" t="str" cm="1">
        <f t="array" ref="B407">_xlfn.XLOOKUP(C407, INDEX([1]!카테고리매핑,,2), INDEX([1]!카테고리매핑,,1), "미등록 카테고리")</f>
        <v>육류/계란</v>
      </c>
      <c r="C407" t="s">
        <v>149</v>
      </c>
      <c r="D407" t="str">
        <f>VLOOKUP(C407, '[1]VLOOKUP 함수용 카테고리'!$A$1:$B$59, 2, 0)</f>
        <v>RAW_MEAT</v>
      </c>
      <c r="E407" t="s">
        <v>573</v>
      </c>
      <c r="F407" t="s">
        <v>151</v>
      </c>
    </row>
    <row r="408" spans="1:6" x14ac:dyDescent="0.3">
      <c r="A408" t="s">
        <v>939</v>
      </c>
      <c r="B408" t="str" cm="1">
        <f t="array" ref="B408">_xlfn.XLOOKUP(C408, INDEX([1]!카테고리매핑,,2), INDEX([1]!카테고리매핑,,1), "미등록 카테고리")</f>
        <v>채소/곡물류</v>
      </c>
      <c r="C408" t="s">
        <v>7</v>
      </c>
      <c r="D408" t="str">
        <f>VLOOKUP(C408, '[1]VLOOKUP 함수용 카테고리'!$A$1:$B$59, 2, 0)</f>
        <v>RAW_PRODUCE</v>
      </c>
      <c r="E408" t="s">
        <v>940</v>
      </c>
    </row>
    <row r="409" spans="1:6" x14ac:dyDescent="0.3">
      <c r="A409" t="s">
        <v>942</v>
      </c>
      <c r="B409" t="str" cm="1">
        <f t="array" ref="B409">_xlfn.XLOOKUP(C409, INDEX([1]!카테고리매핑,,2), INDEX([1]!카테고리매핑,,1), "미등록 카테고리")</f>
        <v>육류/계란</v>
      </c>
      <c r="C409" t="s">
        <v>428</v>
      </c>
      <c r="D409" t="str">
        <f>VLOOKUP(C409, '[1]VLOOKUP 함수용 카테고리'!$A$1:$B$59, 2, 0)</f>
        <v>PROCESSED_MEAT</v>
      </c>
      <c r="E409" t="s">
        <v>943</v>
      </c>
      <c r="F409" t="s">
        <v>944</v>
      </c>
    </row>
    <row r="410" spans="1:6" x14ac:dyDescent="0.3">
      <c r="A410" t="s">
        <v>945</v>
      </c>
      <c r="B410" t="str" cm="1">
        <f t="array" ref="B410">_xlfn.XLOOKUP(C410, INDEX([1]!카테고리매핑,,2), INDEX([1]!카테고리매핑,,1), "미등록 카테고리")</f>
        <v>음료</v>
      </c>
      <c r="C410" t="s">
        <v>23</v>
      </c>
      <c r="D410" t="str">
        <f>VLOOKUP(C410, '[1]VLOOKUP 함수용 카테고리'!$A$1:$B$59, 2, 0)</f>
        <v>BEVERAGE</v>
      </c>
      <c r="E410" t="s">
        <v>24</v>
      </c>
      <c r="F410" t="s">
        <v>946</v>
      </c>
    </row>
    <row r="411" spans="1:6" x14ac:dyDescent="0.3">
      <c r="A411" t="s">
        <v>947</v>
      </c>
      <c r="B411" t="str" cm="1">
        <f t="array" ref="B411">_xlfn.XLOOKUP(C411, INDEX([1]!카테고리매핑,,2), INDEX([1]!카테고리매핑,,1), "미등록 카테고리")</f>
        <v>간식류</v>
      </c>
      <c r="C411" t="s">
        <v>11</v>
      </c>
      <c r="D411" t="str">
        <f>VLOOKUP(C411, '[1]VLOOKUP 함수용 카테고리'!$A$1:$B$59, 2, 0)</f>
        <v>SNACK</v>
      </c>
      <c r="E411" t="s">
        <v>197</v>
      </c>
      <c r="F411" t="s">
        <v>798</v>
      </c>
    </row>
    <row r="412" spans="1:6" x14ac:dyDescent="0.3">
      <c r="A412" t="s">
        <v>948</v>
      </c>
      <c r="B412" t="str" cm="1">
        <f t="array" ref="B412">_xlfn.XLOOKUP(C412, INDEX([1]!카테고리매핑,,2), INDEX([1]!카테고리매핑,,1), "미등록 카테고리")</f>
        <v>유제품</v>
      </c>
      <c r="C412" t="s">
        <v>123</v>
      </c>
      <c r="D412" t="str">
        <f>VLOOKUP(C412, '[1]VLOOKUP 함수용 카테고리'!$A$1:$B$59, 2, 0)</f>
        <v>DAIRY</v>
      </c>
      <c r="E412" t="s">
        <v>949</v>
      </c>
      <c r="F412" t="s">
        <v>193</v>
      </c>
    </row>
    <row r="413" spans="1:6" x14ac:dyDescent="0.3">
      <c r="A413" t="s">
        <v>950</v>
      </c>
      <c r="B413" t="str" cm="1">
        <f t="array" ref="B413">_xlfn.XLOOKUP(C413, INDEX([1]!카테고리매핑,,2), INDEX([1]!카테고리매핑,,1), "미등록 카테고리")</f>
        <v>간식류</v>
      </c>
      <c r="C413" t="s">
        <v>109</v>
      </c>
      <c r="D413" t="str">
        <f>VLOOKUP(C413, '[1]VLOOKUP 함수용 카테고리'!$A$1:$B$59, 2, 0)</f>
        <v>SNACK</v>
      </c>
      <c r="E413" t="s">
        <v>933</v>
      </c>
      <c r="F413" t="s">
        <v>951</v>
      </c>
    </row>
    <row r="414" spans="1:6" x14ac:dyDescent="0.3">
      <c r="A414" t="s">
        <v>952</v>
      </c>
      <c r="B414" t="str" cm="1">
        <f t="array" ref="B414">_xlfn.XLOOKUP(C414, INDEX([1]!카테고리매핑,,2), INDEX([1]!카테고리매핑,,1), "미등록 카테고리")</f>
        <v>유제품</v>
      </c>
      <c r="C414" t="s">
        <v>123</v>
      </c>
      <c r="D414" t="str">
        <f>VLOOKUP(C414, '[1]VLOOKUP 함수용 카테고리'!$A$1:$B$59, 2, 0)</f>
        <v>DAIRY</v>
      </c>
      <c r="E414" t="s">
        <v>239</v>
      </c>
      <c r="F414" t="s">
        <v>7698</v>
      </c>
    </row>
    <row r="415" spans="1:6" x14ac:dyDescent="0.3">
      <c r="A415" t="s">
        <v>954</v>
      </c>
      <c r="B415" t="str" cm="1">
        <f t="array" ref="B415">_xlfn.XLOOKUP(C415, INDEX([1]!카테고리매핑,,2), INDEX([1]!카테고리매핑,,1), "미등록 카테고리")</f>
        <v>채소/곡물류</v>
      </c>
      <c r="C415" t="s">
        <v>164</v>
      </c>
      <c r="D415" t="str">
        <f>VLOOKUP(C415, '[1]VLOOKUP 함수용 카테고리'!$A$1:$B$59, 2, 0)</f>
        <v>RAW_PRODUCE</v>
      </c>
      <c r="E415" t="s">
        <v>165</v>
      </c>
    </row>
    <row r="416" spans="1:6" x14ac:dyDescent="0.3">
      <c r="A416" t="s">
        <v>955</v>
      </c>
      <c r="B416" t="str" cm="1">
        <f t="array" ref="B416">_xlfn.XLOOKUP(C416, INDEX([1]!카테고리매핑,,2), INDEX([1]!카테고리매핑,,1), "미등록 카테고리")</f>
        <v>조미료</v>
      </c>
      <c r="C416" t="s">
        <v>558</v>
      </c>
      <c r="D416" t="str">
        <f>VLOOKUP(C416, '[1]VLOOKUP 함수용 카테고리'!$A$1:$B$59, 2, 0)</f>
        <v>SAUCE_SEASONING</v>
      </c>
      <c r="E416" t="s">
        <v>956</v>
      </c>
    </row>
    <row r="417" spans="1:6" x14ac:dyDescent="0.3">
      <c r="A417" t="s">
        <v>957</v>
      </c>
      <c r="B417" t="str" cm="1">
        <f t="array" ref="B417">_xlfn.XLOOKUP(C417, INDEX([1]!카테고리매핑,,2), INDEX([1]!카테고리매핑,,1), "미등록 카테고리")</f>
        <v>간식류</v>
      </c>
      <c r="C417" t="s">
        <v>11</v>
      </c>
      <c r="D417" t="str">
        <f>VLOOKUP(C417, '[1]VLOOKUP 함수용 카테고리'!$A$1:$B$59, 2, 0)</f>
        <v>SNACK</v>
      </c>
      <c r="E417" t="s">
        <v>958</v>
      </c>
      <c r="F417" t="s">
        <v>13</v>
      </c>
    </row>
    <row r="418" spans="1:6" x14ac:dyDescent="0.3">
      <c r="A418" t="s">
        <v>959</v>
      </c>
      <c r="B418" t="str" cm="1">
        <f t="array" ref="B418">_xlfn.XLOOKUP(C418, INDEX([1]!카테고리매핑,,2), INDEX([1]!카테고리매핑,,1), "미등록 카테고리")</f>
        <v>채소/곡물류</v>
      </c>
      <c r="C418" t="s">
        <v>7</v>
      </c>
      <c r="D418" t="str">
        <f>VLOOKUP(C418, '[1]VLOOKUP 함수용 카테고리'!$A$1:$B$59, 2, 0)</f>
        <v>RAW_PRODUCE</v>
      </c>
      <c r="E418" t="s">
        <v>960</v>
      </c>
      <c r="F418" t="s">
        <v>151</v>
      </c>
    </row>
    <row r="419" spans="1:6" x14ac:dyDescent="0.3">
      <c r="A419" t="s">
        <v>961</v>
      </c>
      <c r="B419" t="str" cm="1">
        <f t="array" ref="B419">_xlfn.XLOOKUP(C419, INDEX([1]!카테고리매핑,,2), INDEX([1]!카테고리매핑,,1), "미등록 카테고리")</f>
        <v>간편식</v>
      </c>
      <c r="C419" t="s">
        <v>46</v>
      </c>
      <c r="D419" t="str">
        <f>VLOOKUP(C419, '[1]VLOOKUP 함수용 카테고리'!$A$1:$B$59, 2, 0)</f>
        <v>RTC_MEAL</v>
      </c>
      <c r="E419" t="s">
        <v>46</v>
      </c>
      <c r="F419" t="s">
        <v>369</v>
      </c>
    </row>
    <row r="420" spans="1:6" x14ac:dyDescent="0.3">
      <c r="A420" t="s">
        <v>962</v>
      </c>
      <c r="B420" t="str" cm="1">
        <f t="array" ref="B420">_xlfn.XLOOKUP(C420, INDEX([1]!카테고리매핑,,2), INDEX([1]!카테고리매핑,,1), "미등록 카테고리")</f>
        <v>간편식</v>
      </c>
      <c r="C420" t="s">
        <v>158</v>
      </c>
      <c r="D420" t="str">
        <f>VLOOKUP(C420, '[1]VLOOKUP 함수용 카테고리'!$A$1:$B$59, 2, 0)</f>
        <v>INSTANT</v>
      </c>
      <c r="E420" t="s">
        <v>963</v>
      </c>
      <c r="F420" t="s">
        <v>154</v>
      </c>
    </row>
    <row r="421" spans="1:6" x14ac:dyDescent="0.3">
      <c r="A421" t="s">
        <v>964</v>
      </c>
      <c r="B421" t="str" cm="1">
        <f t="array" ref="B421">_xlfn.XLOOKUP(C421, INDEX([1]!카테고리매핑,,2), INDEX([1]!카테고리매핑,,1), "미등록 카테고리")</f>
        <v>음료</v>
      </c>
      <c r="C421" t="s">
        <v>23</v>
      </c>
      <c r="D421" t="str">
        <f>VLOOKUP(C421, '[1]VLOOKUP 함수용 카테고리'!$A$1:$B$59, 2, 0)</f>
        <v>BEVERAGE</v>
      </c>
      <c r="E421" t="s">
        <v>965</v>
      </c>
      <c r="F421" t="s">
        <v>966</v>
      </c>
    </row>
    <row r="422" spans="1:6" x14ac:dyDescent="0.3">
      <c r="A422" t="s">
        <v>967</v>
      </c>
      <c r="B422" t="str" cm="1">
        <f t="array" ref="B422">_xlfn.XLOOKUP(C422, INDEX([1]!카테고리매핑,,2), INDEX([1]!카테고리매핑,,1), "미등록 카테고리")</f>
        <v>음료</v>
      </c>
      <c r="C422" t="s">
        <v>23</v>
      </c>
      <c r="D422" t="str">
        <f>VLOOKUP(C422, '[1]VLOOKUP 함수용 카테고리'!$A$1:$B$59, 2, 0)</f>
        <v>BEVERAGE</v>
      </c>
      <c r="E422" t="s">
        <v>74</v>
      </c>
      <c r="F422" t="s">
        <v>7699</v>
      </c>
    </row>
    <row r="423" spans="1:6" x14ac:dyDescent="0.3">
      <c r="A423" t="s">
        <v>968</v>
      </c>
      <c r="B423" t="str" cm="1">
        <f t="array" ref="B423">_xlfn.XLOOKUP(C423, INDEX([1]!카테고리매핑,,2), INDEX([1]!카테고리매핑,,1), "미등록 카테고리")</f>
        <v>간식류</v>
      </c>
      <c r="C423" t="s">
        <v>63</v>
      </c>
      <c r="D423" t="str">
        <f>VLOOKUP(C423, '[1]VLOOKUP 함수용 카테고리'!$A$1:$B$59, 2, 0)</f>
        <v>BAKERY</v>
      </c>
      <c r="E423" t="s">
        <v>969</v>
      </c>
      <c r="F423" t="s">
        <v>970</v>
      </c>
    </row>
    <row r="424" spans="1:6" x14ac:dyDescent="0.3">
      <c r="A424" t="s">
        <v>971</v>
      </c>
      <c r="B424" t="str" cm="1">
        <f t="array" ref="B424">_xlfn.XLOOKUP(C424, INDEX([1]!카테고리매핑,,2), INDEX([1]!카테고리매핑,,1), "미등록 카테고리")</f>
        <v>육류/계란</v>
      </c>
      <c r="C424" t="s">
        <v>149</v>
      </c>
      <c r="D424" t="str">
        <f>VLOOKUP(C424, '[1]VLOOKUP 함수용 카테고리'!$A$1:$B$59, 2, 0)</f>
        <v>RAW_MEAT</v>
      </c>
      <c r="E424" t="s">
        <v>266</v>
      </c>
      <c r="F424" t="s">
        <v>972</v>
      </c>
    </row>
    <row r="425" spans="1:6" x14ac:dyDescent="0.3">
      <c r="A425" t="s">
        <v>973</v>
      </c>
      <c r="B425" t="str" cm="1">
        <f t="array" ref="B425">_xlfn.XLOOKUP(C425, INDEX([1]!카테고리매핑,,2), INDEX([1]!카테고리매핑,,1), "미등록 카테고리")</f>
        <v>술</v>
      </c>
      <c r="C425" t="s">
        <v>974</v>
      </c>
      <c r="D425" t="str">
        <f>VLOOKUP(C425, '[1]VLOOKUP 함수용 카테고리'!$A$1:$B$59, 2, 0)</f>
        <v>ALCOHOL</v>
      </c>
      <c r="E425" t="s">
        <v>974</v>
      </c>
      <c r="F425" t="s">
        <v>975</v>
      </c>
    </row>
    <row r="426" spans="1:6" x14ac:dyDescent="0.3">
      <c r="A426" t="s">
        <v>976</v>
      </c>
      <c r="B426" t="str" cm="1">
        <f t="array" ref="B426">_xlfn.XLOOKUP(C426, INDEX([1]!카테고리매핑,,2), INDEX([1]!카테고리매핑,,1), "미등록 카테고리")</f>
        <v>수산물</v>
      </c>
      <c r="C426" t="s">
        <v>183</v>
      </c>
      <c r="D426" t="str">
        <f>VLOOKUP(C426, '[1]VLOOKUP 함수용 카테고리'!$A$1:$B$59, 2, 0)</f>
        <v>DRIED_SEAFOOD</v>
      </c>
      <c r="E426" t="s">
        <v>466</v>
      </c>
      <c r="F426" t="s">
        <v>977</v>
      </c>
    </row>
    <row r="427" spans="1:6" x14ac:dyDescent="0.3">
      <c r="A427" t="s">
        <v>978</v>
      </c>
      <c r="B427" t="str" cm="1">
        <f t="array" ref="B427">_xlfn.XLOOKUP(C427, INDEX([1]!카테고리매핑,,2), INDEX([1]!카테고리매핑,,1), "미등록 카테고리")</f>
        <v>상온식품</v>
      </c>
      <c r="C427" t="s">
        <v>835</v>
      </c>
      <c r="D427" t="str">
        <f>VLOOKUP(C427, '[1]VLOOKUP 함수용 카테고리'!$A$1:$B$59, 2, 0)</f>
        <v>SAUCE_SEASONING</v>
      </c>
      <c r="E427" t="s">
        <v>979</v>
      </c>
      <c r="F427" t="s">
        <v>381</v>
      </c>
    </row>
    <row r="428" spans="1:6" x14ac:dyDescent="0.3">
      <c r="A428" t="s">
        <v>980</v>
      </c>
      <c r="B428" t="str" cm="1">
        <f t="array" ref="B428">_xlfn.XLOOKUP(C428, INDEX([1]!카테고리매핑,,2), INDEX([1]!카테고리매핑,,1), "미등록 카테고리")</f>
        <v>유제품</v>
      </c>
      <c r="C428" t="s">
        <v>123</v>
      </c>
      <c r="D428" t="str">
        <f>VLOOKUP(C428, '[1]VLOOKUP 함수용 카테고리'!$A$1:$B$59, 2, 0)</f>
        <v>DAIRY</v>
      </c>
      <c r="E428" t="s">
        <v>239</v>
      </c>
      <c r="F428" t="s">
        <v>981</v>
      </c>
    </row>
    <row r="429" spans="1:6" x14ac:dyDescent="0.3">
      <c r="A429" t="s">
        <v>982</v>
      </c>
      <c r="B429" t="str" cm="1">
        <f t="array" ref="B429">_xlfn.XLOOKUP(C429, INDEX([1]!카테고리매핑,,2), INDEX([1]!카테고리매핑,,1), "미등록 카테고리")</f>
        <v>유제품</v>
      </c>
      <c r="C429" t="s">
        <v>123</v>
      </c>
      <c r="D429" t="str">
        <f>VLOOKUP(C429, '[1]VLOOKUP 함수용 카테고리'!$A$1:$B$59, 2, 0)</f>
        <v>DAIRY</v>
      </c>
      <c r="E429" t="s">
        <v>190</v>
      </c>
      <c r="F429" t="s">
        <v>7700</v>
      </c>
    </row>
    <row r="430" spans="1:6" x14ac:dyDescent="0.3">
      <c r="A430" t="s">
        <v>983</v>
      </c>
      <c r="B430" t="str" cm="1">
        <f t="array" ref="B430">_xlfn.XLOOKUP(C430, INDEX([1]!카테고리매핑,,2), INDEX([1]!카테고리매핑,,1), "미등록 카테고리")</f>
        <v>과일/견과류</v>
      </c>
      <c r="C430" t="s">
        <v>654</v>
      </c>
      <c r="D430" t="str">
        <f>VLOOKUP(C430, '[1]VLOOKUP 함수용 카테고리'!$A$1:$B$59, 2, 0)</f>
        <v>RAW_FRUIT</v>
      </c>
      <c r="E430" t="s">
        <v>669</v>
      </c>
      <c r="F430" t="s">
        <v>670</v>
      </c>
    </row>
    <row r="431" spans="1:6" x14ac:dyDescent="0.3">
      <c r="A431" t="s">
        <v>984</v>
      </c>
      <c r="B431" t="str" cm="1">
        <f t="array" ref="B431">_xlfn.XLOOKUP(C431, INDEX([1]!카테고리매핑,,2), INDEX([1]!카테고리매핑,,1), "미등록 카테고리")</f>
        <v>간식류</v>
      </c>
      <c r="C431" t="s">
        <v>63</v>
      </c>
      <c r="D431" t="str">
        <f>VLOOKUP(C431, '[1]VLOOKUP 함수용 카테고리'!$A$1:$B$59, 2, 0)</f>
        <v>BAKERY</v>
      </c>
      <c r="E431" t="s">
        <v>513</v>
      </c>
      <c r="F431" t="s">
        <v>985</v>
      </c>
    </row>
    <row r="432" spans="1:6" x14ac:dyDescent="0.3">
      <c r="A432" t="s">
        <v>986</v>
      </c>
      <c r="B432" t="str" cm="1">
        <f t="array" ref="B432">_xlfn.XLOOKUP(C432, INDEX([1]!카테고리매핑,,2), INDEX([1]!카테고리매핑,,1), "미등록 카테고리")</f>
        <v>조미료</v>
      </c>
      <c r="C432" t="s">
        <v>84</v>
      </c>
      <c r="D432" t="str">
        <f>VLOOKUP(C432, '[1]VLOOKUP 함수용 카테고리'!$A$1:$B$59, 2, 0)</f>
        <v>SAUCE_SEASONING</v>
      </c>
      <c r="E432" t="s">
        <v>85</v>
      </c>
      <c r="F432" t="s">
        <v>987</v>
      </c>
    </row>
    <row r="433" spans="1:6" x14ac:dyDescent="0.3">
      <c r="A433" t="s">
        <v>988</v>
      </c>
      <c r="B433" t="str" cm="1">
        <f t="array" ref="B433">_xlfn.XLOOKUP(C433, INDEX([1]!카테고리매핑,,2), INDEX([1]!카테고리매핑,,1), "미등록 카테고리")</f>
        <v>조미료</v>
      </c>
      <c r="C433" t="s">
        <v>127</v>
      </c>
      <c r="D433" t="str">
        <f>VLOOKUP(C433, '[1]VLOOKUP 함수용 카테고리'!$A$1:$B$59, 2, 0)</f>
        <v>SAUCE_SEASONING</v>
      </c>
      <c r="E433" t="s">
        <v>989</v>
      </c>
      <c r="F433" t="s">
        <v>156</v>
      </c>
    </row>
    <row r="434" spans="1:6" x14ac:dyDescent="0.3">
      <c r="A434" t="s">
        <v>990</v>
      </c>
      <c r="B434" t="str" cm="1">
        <f t="array" ref="B434">_xlfn.XLOOKUP(C434, INDEX([1]!카테고리매핑,,2), INDEX([1]!카테고리매핑,,1), "미등록 카테고리")</f>
        <v>음료</v>
      </c>
      <c r="C434" t="s">
        <v>708</v>
      </c>
      <c r="D434" t="str">
        <f>VLOOKUP(C434, '[1]VLOOKUP 함수용 카테고리'!$A$1:$B$59, 2, 0)</f>
        <v>BEVERAGE</v>
      </c>
      <c r="E434" t="s">
        <v>708</v>
      </c>
      <c r="F434" t="s">
        <v>991</v>
      </c>
    </row>
    <row r="435" spans="1:6" x14ac:dyDescent="0.3">
      <c r="A435" t="s">
        <v>992</v>
      </c>
      <c r="B435" t="str" cm="1">
        <f t="array" ref="B435">_xlfn.XLOOKUP(C435, INDEX([1]!카테고리매핑,,2), INDEX([1]!카테고리매핑,,1), "미등록 카테고리")</f>
        <v>간편식</v>
      </c>
      <c r="C435" t="s">
        <v>19</v>
      </c>
      <c r="D435" t="str">
        <f>VLOOKUP(C435, '[1]VLOOKUP 함수용 카테고리'!$A$1:$B$59, 2, 0)</f>
        <v>FROZEN_MEAL</v>
      </c>
      <c r="E435" t="s">
        <v>993</v>
      </c>
      <c r="F435" t="s">
        <v>994</v>
      </c>
    </row>
    <row r="436" spans="1:6" x14ac:dyDescent="0.3">
      <c r="A436" t="s">
        <v>995</v>
      </c>
      <c r="B436" t="str" cm="1">
        <f t="array" ref="B436">_xlfn.XLOOKUP(C436, INDEX([1]!카테고리매핑,,2), INDEX([1]!카테고리매핑,,1), "미등록 카테고리")</f>
        <v>과일/견과류</v>
      </c>
      <c r="C436" t="s">
        <v>654</v>
      </c>
      <c r="D436" t="str">
        <f>VLOOKUP(C436, '[1]VLOOKUP 함수용 카테고리'!$A$1:$B$59, 2, 0)</f>
        <v>RAW_FRUIT</v>
      </c>
      <c r="E436" t="s">
        <v>728</v>
      </c>
      <c r="F436" t="s">
        <v>670</v>
      </c>
    </row>
    <row r="437" spans="1:6" x14ac:dyDescent="0.3">
      <c r="A437" t="s">
        <v>996</v>
      </c>
      <c r="B437" t="str" cm="1">
        <f t="array" ref="B437">_xlfn.XLOOKUP(C437, INDEX([1]!카테고리매핑,,2), INDEX([1]!카테고리매핑,,1), "미등록 카테고리")</f>
        <v>음료</v>
      </c>
      <c r="C437" t="s">
        <v>242</v>
      </c>
      <c r="D437" t="str">
        <f>VLOOKUP(C437, '[1]VLOOKUP 함수용 카테고리'!$A$1:$B$59, 2, 0)</f>
        <v>BEVERAGE</v>
      </c>
      <c r="E437" t="s">
        <v>997</v>
      </c>
      <c r="F437" t="s">
        <v>623</v>
      </c>
    </row>
    <row r="438" spans="1:6" x14ac:dyDescent="0.3">
      <c r="A438" t="s">
        <v>998</v>
      </c>
      <c r="B438" t="str" cm="1">
        <f t="array" ref="B438">_xlfn.XLOOKUP(C438, INDEX([1]!카테고리매핑,,2), INDEX([1]!카테고리매핑,,1), "미등록 카테고리")</f>
        <v>채소/곡물류</v>
      </c>
      <c r="C438" t="s">
        <v>301</v>
      </c>
      <c r="D438" t="str">
        <f>VLOOKUP(C438, '[1]VLOOKUP 함수용 카테고리'!$A$1:$B$59, 2, 0)</f>
        <v>GRAIN</v>
      </c>
      <c r="E438" t="s">
        <v>999</v>
      </c>
      <c r="F438" t="s">
        <v>1000</v>
      </c>
    </row>
    <row r="439" spans="1:6" x14ac:dyDescent="0.3">
      <c r="A439" t="s">
        <v>1001</v>
      </c>
      <c r="B439" t="str" cm="1">
        <f t="array" ref="B439">_xlfn.XLOOKUP(C439, INDEX([1]!카테고리매핑,,2), INDEX([1]!카테고리매핑,,1), "미등록 카테고리")</f>
        <v>간편식</v>
      </c>
      <c r="C439" t="s">
        <v>46</v>
      </c>
      <c r="D439" t="str">
        <f>VLOOKUP(C439, '[1]VLOOKUP 함수용 카테고리'!$A$1:$B$59, 2, 0)</f>
        <v>RTC_MEAL</v>
      </c>
      <c r="E439" t="s">
        <v>46</v>
      </c>
      <c r="F439" t="s">
        <v>151</v>
      </c>
    </row>
    <row r="440" spans="1:6" x14ac:dyDescent="0.3">
      <c r="A440" t="s">
        <v>1002</v>
      </c>
      <c r="B440" t="str" cm="1">
        <f t="array" ref="B440">_xlfn.XLOOKUP(C440, INDEX([1]!카테고리매핑,,2), INDEX([1]!카테고리매핑,,1), "미등록 카테고리")</f>
        <v>간편식</v>
      </c>
      <c r="C440" t="s">
        <v>256</v>
      </c>
      <c r="D440" t="str">
        <f>VLOOKUP(C440, '[1]VLOOKUP 함수용 카테고리'!$A$1:$B$59, 2, 0)</f>
        <v>RTC_MEAL</v>
      </c>
      <c r="E440" t="s">
        <v>256</v>
      </c>
      <c r="F440" t="s">
        <v>1003</v>
      </c>
    </row>
    <row r="441" spans="1:6" x14ac:dyDescent="0.3">
      <c r="A441" t="s">
        <v>1004</v>
      </c>
      <c r="B441" t="str" cm="1">
        <f t="array" ref="B441">_xlfn.XLOOKUP(C441, INDEX([1]!카테고리매핑,,2), INDEX([1]!카테고리매핑,,1), "미등록 카테고리")</f>
        <v>조미료</v>
      </c>
      <c r="C441" t="s">
        <v>127</v>
      </c>
      <c r="D441" t="str">
        <f>VLOOKUP(C441, '[1]VLOOKUP 함수용 카테고리'!$A$1:$B$59, 2, 0)</f>
        <v>SAUCE_SEASONING</v>
      </c>
      <c r="E441" t="s">
        <v>860</v>
      </c>
      <c r="F441" t="s">
        <v>136</v>
      </c>
    </row>
    <row r="442" spans="1:6" x14ac:dyDescent="0.3">
      <c r="A442" t="s">
        <v>1005</v>
      </c>
      <c r="B442" t="str" cm="1">
        <f t="array" ref="B442">_xlfn.XLOOKUP(C442, INDEX([1]!카테고리매핑,,2), INDEX([1]!카테고리매핑,,1), "미등록 카테고리")</f>
        <v>육류/계란</v>
      </c>
      <c r="C442" t="s">
        <v>149</v>
      </c>
      <c r="D442" t="str">
        <f>VLOOKUP(C442, '[1]VLOOKUP 함수용 카테고리'!$A$1:$B$59, 2, 0)</f>
        <v>RAW_MEAT</v>
      </c>
      <c r="E442" t="s">
        <v>573</v>
      </c>
      <c r="F442" t="s">
        <v>1006</v>
      </c>
    </row>
    <row r="443" spans="1:6" x14ac:dyDescent="0.3">
      <c r="A443" t="s">
        <v>1007</v>
      </c>
      <c r="B443" t="str" cm="1">
        <f t="array" ref="B443">_xlfn.XLOOKUP(C443, INDEX([1]!카테고리매핑,,2), INDEX([1]!카테고리매핑,,1), "미등록 카테고리")</f>
        <v>과일/견과류</v>
      </c>
      <c r="C443" t="s">
        <v>654</v>
      </c>
      <c r="D443" t="str">
        <f>VLOOKUP(C443, '[1]VLOOKUP 함수용 카테고리'!$A$1:$B$59, 2, 0)</f>
        <v>RAW_FRUIT</v>
      </c>
      <c r="E443" t="s">
        <v>1008</v>
      </c>
      <c r="F443" t="s">
        <v>670</v>
      </c>
    </row>
    <row r="444" spans="1:6" x14ac:dyDescent="0.3">
      <c r="A444" t="s">
        <v>1009</v>
      </c>
      <c r="B444" t="str" cm="1">
        <f t="array" ref="B444">_xlfn.XLOOKUP(C444, INDEX([1]!카테고리매핑,,2), INDEX([1]!카테고리매핑,,1), "미등록 카테고리")</f>
        <v>유제품</v>
      </c>
      <c r="C444" t="s">
        <v>211</v>
      </c>
      <c r="D444" t="str">
        <f>VLOOKUP(C444, '[1]VLOOKUP 함수용 카테고리'!$A$1:$B$59, 2, 0)</f>
        <v>DAIRY</v>
      </c>
      <c r="E444" t="s">
        <v>212</v>
      </c>
      <c r="F444" t="s">
        <v>7701</v>
      </c>
    </row>
    <row r="445" spans="1:6" x14ac:dyDescent="0.3">
      <c r="A445" t="s">
        <v>1010</v>
      </c>
      <c r="B445" t="str" cm="1">
        <f t="array" ref="B445">_xlfn.XLOOKUP(C445, INDEX([1]!카테고리매핑,,2), INDEX([1]!카테고리매핑,,1), "미등록 카테고리")</f>
        <v>간식류</v>
      </c>
      <c r="C445" t="s">
        <v>15</v>
      </c>
      <c r="D445" t="str">
        <f>VLOOKUP(C445, '[1]VLOOKUP 함수용 카테고리'!$A$1:$B$59, 2, 0)</f>
        <v>BAKERY</v>
      </c>
      <c r="E445" t="s">
        <v>1011</v>
      </c>
      <c r="F445" t="s">
        <v>1012</v>
      </c>
    </row>
    <row r="446" spans="1:6" x14ac:dyDescent="0.3">
      <c r="A446" t="s">
        <v>1013</v>
      </c>
      <c r="B446" t="str" cm="1">
        <f t="array" ref="B446">_xlfn.XLOOKUP(C446, INDEX([1]!카테고리매핑,,2), INDEX([1]!카테고리매핑,,1), "미등록 카테고리")</f>
        <v>유제품</v>
      </c>
      <c r="C446" t="s">
        <v>98</v>
      </c>
      <c r="D446" t="str">
        <f>VLOOKUP(C446, '[1]VLOOKUP 함수용 카테고리'!$A$1:$B$59, 2, 0)</f>
        <v>DAIRY</v>
      </c>
      <c r="E446" t="s">
        <v>98</v>
      </c>
      <c r="F446" t="s">
        <v>1014</v>
      </c>
    </row>
    <row r="447" spans="1:6" x14ac:dyDescent="0.3">
      <c r="A447" t="s">
        <v>1015</v>
      </c>
      <c r="B447" t="str" cm="1">
        <f t="array" ref="B447">_xlfn.XLOOKUP(C447, INDEX([1]!카테고리매핑,,2), INDEX([1]!카테고리매핑,,1), "미등록 카테고리")</f>
        <v>간편식</v>
      </c>
      <c r="C447" t="s">
        <v>256</v>
      </c>
      <c r="D447" t="str">
        <f>VLOOKUP(C447, '[1]VLOOKUP 함수용 카테고리'!$A$1:$B$59, 2, 0)</f>
        <v>RTC_MEAL</v>
      </c>
      <c r="E447" t="s">
        <v>256</v>
      </c>
      <c r="F447" t="s">
        <v>129</v>
      </c>
    </row>
    <row r="448" spans="1:6" x14ac:dyDescent="0.3">
      <c r="A448" t="s">
        <v>1016</v>
      </c>
      <c r="B448" t="str" cm="1">
        <f t="array" ref="B448">_xlfn.XLOOKUP(C448, INDEX([1]!카테고리매핑,,2), INDEX([1]!카테고리매핑,,1), "미등록 카테고리")</f>
        <v>음료</v>
      </c>
      <c r="C448" t="s">
        <v>23</v>
      </c>
      <c r="D448" t="str">
        <f>VLOOKUP(C448, '[1]VLOOKUP 함수용 카테고리'!$A$1:$B$59, 2, 0)</f>
        <v>BEVERAGE</v>
      </c>
      <c r="E448" t="s">
        <v>355</v>
      </c>
      <c r="F448" t="s">
        <v>1017</v>
      </c>
    </row>
    <row r="449" spans="1:6" x14ac:dyDescent="0.3">
      <c r="A449" t="s">
        <v>1018</v>
      </c>
      <c r="B449" t="str" cm="1">
        <f t="array" ref="B449">_xlfn.XLOOKUP(C449, INDEX([1]!카테고리매핑,,2), INDEX([1]!카테고리매핑,,1), "미등록 카테고리")</f>
        <v>간식류</v>
      </c>
      <c r="C449" t="s">
        <v>63</v>
      </c>
      <c r="D449" t="str">
        <f>VLOOKUP(C449, '[1]VLOOKUP 함수용 카테고리'!$A$1:$B$59, 2, 0)</f>
        <v>BAKERY</v>
      </c>
      <c r="E449" t="s">
        <v>226</v>
      </c>
      <c r="F449" t="s">
        <v>1019</v>
      </c>
    </row>
    <row r="450" spans="1:6" x14ac:dyDescent="0.3">
      <c r="A450" t="s">
        <v>1020</v>
      </c>
      <c r="B450" t="str" cm="1">
        <f t="array" ref="B450">_xlfn.XLOOKUP(C450, INDEX([1]!카테고리매핑,,2), INDEX([1]!카테고리매핑,,1), "미등록 카테고리")</f>
        <v>유제품</v>
      </c>
      <c r="C450" t="s">
        <v>211</v>
      </c>
      <c r="D450" t="str">
        <f>VLOOKUP(C450, '[1]VLOOKUP 함수용 카테고리'!$A$1:$B$59, 2, 0)</f>
        <v>DAIRY</v>
      </c>
      <c r="E450" t="s">
        <v>211</v>
      </c>
      <c r="F450" t="s">
        <v>1021</v>
      </c>
    </row>
    <row r="451" spans="1:6" x14ac:dyDescent="0.3">
      <c r="A451" t="s">
        <v>1022</v>
      </c>
      <c r="B451" t="str" cm="1">
        <f t="array" ref="B451">_xlfn.XLOOKUP(C451, INDEX([1]!카테고리매핑,,2), INDEX([1]!카테고리매핑,,1), "미등록 카테고리")</f>
        <v>간식류</v>
      </c>
      <c r="C451" t="s">
        <v>63</v>
      </c>
      <c r="D451" t="str">
        <f>VLOOKUP(C451, '[1]VLOOKUP 함수용 카테고리'!$A$1:$B$59, 2, 0)</f>
        <v>BAKERY</v>
      </c>
      <c r="E451" t="s">
        <v>1023</v>
      </c>
      <c r="F451" t="s">
        <v>1024</v>
      </c>
    </row>
    <row r="452" spans="1:6" x14ac:dyDescent="0.3">
      <c r="A452" t="s">
        <v>1025</v>
      </c>
      <c r="B452" t="str" cm="1">
        <f t="array" ref="B452">_xlfn.XLOOKUP(C452, INDEX([1]!카테고리매핑,,2), INDEX([1]!카테고리매핑,,1), "미등록 카테고리")</f>
        <v>미등록 카테고리</v>
      </c>
      <c r="C452" t="s">
        <v>334</v>
      </c>
      <c r="D452" t="str">
        <f>VLOOKUP(C452, '[1]VLOOKUP 함수용 카테고리'!$A$1:$B$59, 2, 0)</f>
        <v>UNKNOWN</v>
      </c>
      <c r="E452" t="s">
        <v>334</v>
      </c>
      <c r="F452" t="s">
        <v>1026</v>
      </c>
    </row>
    <row r="453" spans="1:6" x14ac:dyDescent="0.3">
      <c r="A453" t="s">
        <v>1027</v>
      </c>
      <c r="B453" t="str" cm="1">
        <f t="array" ref="B453">_xlfn.XLOOKUP(C453, INDEX([1]!카테고리매핑,,2), INDEX([1]!카테고리매핑,,1), "미등록 카테고리")</f>
        <v>간식류</v>
      </c>
      <c r="C453" t="s">
        <v>11</v>
      </c>
      <c r="D453" t="str">
        <f>VLOOKUP(C453, '[1]VLOOKUP 함수용 카테고리'!$A$1:$B$59, 2, 0)</f>
        <v>SNACK</v>
      </c>
      <c r="E453" t="s">
        <v>81</v>
      </c>
      <c r="F453" t="s">
        <v>7702</v>
      </c>
    </row>
    <row r="454" spans="1:6" x14ac:dyDescent="0.3">
      <c r="A454" t="s">
        <v>1029</v>
      </c>
      <c r="B454" t="str" cm="1">
        <f t="array" ref="B454">_xlfn.XLOOKUP(C454, INDEX([1]!카테고리매핑,,2), INDEX([1]!카테고리매핑,,1), "미등록 카테고리")</f>
        <v>유제품</v>
      </c>
      <c r="C454" t="s">
        <v>98</v>
      </c>
      <c r="D454" t="str">
        <f>VLOOKUP(C454, '[1]VLOOKUP 함수용 카테고리'!$A$1:$B$59, 2, 0)</f>
        <v>DAIRY</v>
      </c>
      <c r="E454" t="s">
        <v>98</v>
      </c>
      <c r="F454" t="s">
        <v>688</v>
      </c>
    </row>
    <row r="455" spans="1:6" x14ac:dyDescent="0.3">
      <c r="A455" t="s">
        <v>1030</v>
      </c>
      <c r="B455" t="str" cm="1">
        <f t="array" ref="B455">_xlfn.XLOOKUP(C455, INDEX([1]!카테고리매핑,,2), INDEX([1]!카테고리매핑,,1), "미등록 카테고리")</f>
        <v>육류/계란</v>
      </c>
      <c r="C455" t="s">
        <v>105</v>
      </c>
      <c r="D455" t="str">
        <f>VLOOKUP(C455, '[1]VLOOKUP 함수용 카테고리'!$A$1:$B$59, 2, 0)</f>
        <v>RAW_MEAT</v>
      </c>
      <c r="E455" t="s">
        <v>1031</v>
      </c>
      <c r="F455" t="s">
        <v>254</v>
      </c>
    </row>
    <row r="456" spans="1:6" x14ac:dyDescent="0.3">
      <c r="A456" t="s">
        <v>1032</v>
      </c>
      <c r="B456" t="str" cm="1">
        <f t="array" ref="B456">_xlfn.XLOOKUP(C456, INDEX([1]!카테고리매핑,,2), INDEX([1]!카테고리매핑,,1), "미등록 카테고리")</f>
        <v>음료</v>
      </c>
      <c r="C456" t="s">
        <v>23</v>
      </c>
      <c r="D456" t="str">
        <f>VLOOKUP(C456, '[1]VLOOKUP 함수용 카테고리'!$A$1:$B$59, 2, 0)</f>
        <v>BEVERAGE</v>
      </c>
      <c r="E456" t="s">
        <v>24</v>
      </c>
      <c r="F456" t="s">
        <v>191</v>
      </c>
    </row>
    <row r="457" spans="1:6" x14ac:dyDescent="0.3">
      <c r="A457" t="s">
        <v>1033</v>
      </c>
      <c r="B457" t="str" cm="1">
        <f t="array" ref="B457">_xlfn.XLOOKUP(C457, INDEX([1]!카테고리매핑,,2), INDEX([1]!카테고리매핑,,1), "미등록 카테고리")</f>
        <v>과일/견과류</v>
      </c>
      <c r="C457" t="s">
        <v>654</v>
      </c>
      <c r="D457" t="str">
        <f>VLOOKUP(C457, '[1]VLOOKUP 함수용 카테고리'!$A$1:$B$59, 2, 0)</f>
        <v>RAW_FRUIT</v>
      </c>
      <c r="E457" t="s">
        <v>1034</v>
      </c>
      <c r="F457" t="s">
        <v>670</v>
      </c>
    </row>
    <row r="458" spans="1:6" x14ac:dyDescent="0.3">
      <c r="A458" t="s">
        <v>1035</v>
      </c>
      <c r="B458" t="str" cm="1">
        <f t="array" ref="B458">_xlfn.XLOOKUP(C458, INDEX([1]!카테고리매핑,,2), INDEX([1]!카테고리매핑,,1), "미등록 카테고리")</f>
        <v>조미료</v>
      </c>
      <c r="C458" t="s">
        <v>83</v>
      </c>
      <c r="D458" t="str">
        <f>VLOOKUP(C458, '[1]VLOOKUP 함수용 카테고리'!$A$1:$B$59, 2, 0)</f>
        <v>SAUCE_SEASONING</v>
      </c>
      <c r="E458" t="s">
        <v>1036</v>
      </c>
      <c r="F458" t="s">
        <v>269</v>
      </c>
    </row>
    <row r="459" spans="1:6" x14ac:dyDescent="0.3">
      <c r="A459" t="s">
        <v>1037</v>
      </c>
      <c r="B459" t="str" cm="1">
        <f t="array" ref="B459">_xlfn.XLOOKUP(C459, INDEX([1]!카테고리매핑,,2), INDEX([1]!카테고리매핑,,1), "미등록 카테고리")</f>
        <v>간식류</v>
      </c>
      <c r="C459" t="s">
        <v>109</v>
      </c>
      <c r="D459" t="str">
        <f>VLOOKUP(C459, '[1]VLOOKUP 함수용 카테고리'!$A$1:$B$59, 2, 0)</f>
        <v>SNACK</v>
      </c>
      <c r="E459" t="s">
        <v>109</v>
      </c>
      <c r="F459" t="s">
        <v>1038</v>
      </c>
    </row>
    <row r="460" spans="1:6" x14ac:dyDescent="0.3">
      <c r="A460" t="s">
        <v>1039</v>
      </c>
      <c r="B460" t="str" cm="1">
        <f t="array" ref="B460">_xlfn.XLOOKUP(C460, INDEX([1]!카테고리매핑,,2), INDEX([1]!카테고리매핑,,1), "미등록 카테고리")</f>
        <v>육류/계란</v>
      </c>
      <c r="C460" t="s">
        <v>428</v>
      </c>
      <c r="D460" t="str">
        <f>VLOOKUP(C460, '[1]VLOOKUP 함수용 카테고리'!$A$1:$B$59, 2, 0)</f>
        <v>PROCESSED_MEAT</v>
      </c>
      <c r="E460" t="s">
        <v>776</v>
      </c>
      <c r="F460" t="s">
        <v>350</v>
      </c>
    </row>
    <row r="461" spans="1:6" x14ac:dyDescent="0.3">
      <c r="A461" t="s">
        <v>1040</v>
      </c>
      <c r="B461" t="str" cm="1">
        <f t="array" ref="B461">_xlfn.XLOOKUP(C461, INDEX([1]!카테고리매핑,,2), INDEX([1]!카테고리매핑,,1), "미등록 카테고리")</f>
        <v>수산물</v>
      </c>
      <c r="C461" t="s">
        <v>101</v>
      </c>
      <c r="D461" t="str">
        <f>VLOOKUP(C461, '[1]VLOOKUP 함수용 카테고리'!$A$1:$B$59, 2, 0)</f>
        <v>DRIED_SEAFOOD</v>
      </c>
      <c r="E461" t="s">
        <v>601</v>
      </c>
      <c r="F461" t="s">
        <v>856</v>
      </c>
    </row>
    <row r="462" spans="1:6" x14ac:dyDescent="0.3">
      <c r="A462" t="s">
        <v>1041</v>
      </c>
      <c r="B462" t="str" cm="1">
        <f t="array" ref="B462">_xlfn.XLOOKUP(C462, INDEX([1]!카테고리매핑,,2), INDEX([1]!카테고리매핑,,1), "미등록 카테고리")</f>
        <v>간식류</v>
      </c>
      <c r="C462" t="s">
        <v>11</v>
      </c>
      <c r="D462" t="str">
        <f>VLOOKUP(C462, '[1]VLOOKUP 함수용 카테고리'!$A$1:$B$59, 2, 0)</f>
        <v>SNACK</v>
      </c>
      <c r="E462" t="s">
        <v>1042</v>
      </c>
      <c r="F462" t="s">
        <v>7703</v>
      </c>
    </row>
    <row r="463" spans="1:6" x14ac:dyDescent="0.3">
      <c r="A463" t="s">
        <v>1044</v>
      </c>
      <c r="B463" t="str" cm="1">
        <f t="array" ref="B463">_xlfn.XLOOKUP(C463, INDEX([1]!카테고리매핑,,2), INDEX([1]!카테고리매핑,,1), "미등록 카테고리")</f>
        <v>간편식</v>
      </c>
      <c r="C463" t="s">
        <v>19</v>
      </c>
      <c r="D463" t="str">
        <f>VLOOKUP(C463, '[1]VLOOKUP 함수용 카테고리'!$A$1:$B$59, 2, 0)</f>
        <v>FROZEN_MEAL</v>
      </c>
      <c r="E463" t="s">
        <v>763</v>
      </c>
      <c r="F463" t="s">
        <v>889</v>
      </c>
    </row>
    <row r="464" spans="1:6" x14ac:dyDescent="0.3">
      <c r="A464" t="s">
        <v>1045</v>
      </c>
      <c r="B464" t="str" cm="1">
        <f t="array" ref="B464">_xlfn.XLOOKUP(C464, INDEX([1]!카테고리매핑,,2), INDEX([1]!카테고리매핑,,1), "미등록 카테고리")</f>
        <v>간식류</v>
      </c>
      <c r="C464" t="s">
        <v>63</v>
      </c>
      <c r="D464" t="str">
        <f>VLOOKUP(C464, '[1]VLOOKUP 함수용 카테고리'!$A$1:$B$59, 2, 0)</f>
        <v>BAKERY</v>
      </c>
      <c r="E464" t="s">
        <v>1046</v>
      </c>
      <c r="F464" t="s">
        <v>1047</v>
      </c>
    </row>
    <row r="465" spans="1:6" x14ac:dyDescent="0.3">
      <c r="A465" t="s">
        <v>1048</v>
      </c>
      <c r="B465" t="str" cm="1">
        <f t="array" ref="B465">_xlfn.XLOOKUP(C465, INDEX([1]!카테고리매핑,,2), INDEX([1]!카테고리매핑,,1), "미등록 카테고리")</f>
        <v>채소/곡물류</v>
      </c>
      <c r="C465" t="s">
        <v>164</v>
      </c>
      <c r="D465" t="str">
        <f>VLOOKUP(C465, '[1]VLOOKUP 함수용 카테고리'!$A$1:$B$59, 2, 0)</f>
        <v>RAW_PRODUCE</v>
      </c>
      <c r="E465" t="s">
        <v>195</v>
      </c>
    </row>
    <row r="466" spans="1:6" x14ac:dyDescent="0.3">
      <c r="A466" t="s">
        <v>1049</v>
      </c>
      <c r="B466" t="str" cm="1">
        <f t="array" ref="B466">_xlfn.XLOOKUP(C466, INDEX([1]!카테고리매핑,,2), INDEX([1]!카테고리매핑,,1), "미등록 카테고리")</f>
        <v>유제품</v>
      </c>
      <c r="C466" t="s">
        <v>123</v>
      </c>
      <c r="D466" t="str">
        <f>VLOOKUP(C466, '[1]VLOOKUP 함수용 카테고리'!$A$1:$B$59, 2, 0)</f>
        <v>DAIRY</v>
      </c>
      <c r="E466" t="s">
        <v>239</v>
      </c>
      <c r="F466" t="s">
        <v>240</v>
      </c>
    </row>
    <row r="467" spans="1:6" x14ac:dyDescent="0.3">
      <c r="A467" t="s">
        <v>1050</v>
      </c>
      <c r="B467" t="str" cm="1">
        <f t="array" ref="B467">_xlfn.XLOOKUP(C467, INDEX([1]!카테고리매핑,,2), INDEX([1]!카테고리매핑,,1), "미등록 카테고리")</f>
        <v>조미료</v>
      </c>
      <c r="C467" t="s">
        <v>127</v>
      </c>
      <c r="D467" t="str">
        <f>VLOOKUP(C467, '[1]VLOOKUP 함수용 카테고리'!$A$1:$B$59, 2, 0)</f>
        <v>SAUCE_SEASONING</v>
      </c>
      <c r="E467" t="s">
        <v>1050</v>
      </c>
    </row>
    <row r="468" spans="1:6" x14ac:dyDescent="0.3">
      <c r="A468" t="s">
        <v>1051</v>
      </c>
      <c r="B468" t="str" cm="1">
        <f t="array" ref="B468">_xlfn.XLOOKUP(C468, INDEX([1]!카테고리매핑,,2), INDEX([1]!카테고리매핑,,1), "미등록 카테고리")</f>
        <v>육류/계란</v>
      </c>
      <c r="C468" t="s">
        <v>34</v>
      </c>
      <c r="D468" t="str">
        <f>VLOOKUP(C468, '[1]VLOOKUP 함수용 카테고리'!$A$1:$B$59, 2, 0)</f>
        <v>RAW_MEAT</v>
      </c>
      <c r="E468" t="s">
        <v>35</v>
      </c>
    </row>
    <row r="469" spans="1:6" x14ac:dyDescent="0.3">
      <c r="A469" t="s">
        <v>1052</v>
      </c>
      <c r="B469" t="str" cm="1">
        <f t="array" ref="B469">_xlfn.XLOOKUP(C469, INDEX([1]!카테고리매핑,,2), INDEX([1]!카테고리매핑,,1), "미등록 카테고리")</f>
        <v>상온식품</v>
      </c>
      <c r="C469" t="s">
        <v>769</v>
      </c>
      <c r="D469" t="str">
        <f>VLOOKUP(C469, '[1]VLOOKUP 함수용 카테고리'!$A$1:$B$59, 2, 0)</f>
        <v>GRAIN</v>
      </c>
      <c r="E469" t="s">
        <v>769</v>
      </c>
      <c r="F469" t="s">
        <v>1053</v>
      </c>
    </row>
    <row r="470" spans="1:6" x14ac:dyDescent="0.3">
      <c r="A470" t="s">
        <v>1054</v>
      </c>
      <c r="B470" t="str" cm="1">
        <f t="array" ref="B470">_xlfn.XLOOKUP(C470, INDEX([1]!카테고리매핑,,2), INDEX([1]!카테고리매핑,,1), "미등록 카테고리")</f>
        <v>조미료</v>
      </c>
      <c r="C470" t="s">
        <v>117</v>
      </c>
      <c r="D470" t="str">
        <f>VLOOKUP(C470, '[1]VLOOKUP 함수용 카테고리'!$A$1:$B$59, 2, 0)</f>
        <v>SAUCE_SEASONING</v>
      </c>
      <c r="E470" t="s">
        <v>1055</v>
      </c>
      <c r="F470" t="s">
        <v>7704</v>
      </c>
    </row>
    <row r="471" spans="1:6" x14ac:dyDescent="0.3">
      <c r="A471" t="s">
        <v>1056</v>
      </c>
      <c r="B471" t="str" cm="1">
        <f t="array" ref="B471">_xlfn.XLOOKUP(C471, INDEX([1]!카테고리매핑,,2), INDEX([1]!카테고리매핑,,1), "미등록 카테고리")</f>
        <v>조미료</v>
      </c>
      <c r="C471" t="s">
        <v>83</v>
      </c>
      <c r="D471" t="str">
        <f>VLOOKUP(C471, '[1]VLOOKUP 함수용 카테고리'!$A$1:$B$59, 2, 0)</f>
        <v>SAUCE_SEASONING</v>
      </c>
      <c r="E471" t="s">
        <v>1036</v>
      </c>
      <c r="F471" t="s">
        <v>269</v>
      </c>
    </row>
    <row r="472" spans="1:6" x14ac:dyDescent="0.3">
      <c r="A472" t="s">
        <v>1057</v>
      </c>
      <c r="B472" t="str" cm="1">
        <f t="array" ref="B472">_xlfn.XLOOKUP(C472, INDEX([1]!카테고리매핑,,2), INDEX([1]!카테고리매핑,,1), "미등록 카테고리")</f>
        <v>채소/곡물류</v>
      </c>
      <c r="C472" t="s">
        <v>7</v>
      </c>
      <c r="D472" t="str">
        <f>VLOOKUP(C472, '[1]VLOOKUP 함수용 카테고리'!$A$1:$B$59, 2, 0)</f>
        <v>RAW_PRODUCE</v>
      </c>
      <c r="E472" t="s">
        <v>1058</v>
      </c>
      <c r="F472" t="s">
        <v>350</v>
      </c>
    </row>
    <row r="473" spans="1:6" x14ac:dyDescent="0.3">
      <c r="A473" t="s">
        <v>1059</v>
      </c>
      <c r="B473" t="str" cm="1">
        <f t="array" ref="B473">_xlfn.XLOOKUP(C473, INDEX([1]!카테고리매핑,,2), INDEX([1]!카테고리매핑,,1), "미등록 카테고리")</f>
        <v>조미료</v>
      </c>
      <c r="C473" t="s">
        <v>127</v>
      </c>
      <c r="D473" t="str">
        <f>VLOOKUP(C473, '[1]VLOOKUP 함수용 카테고리'!$A$1:$B$59, 2, 0)</f>
        <v>SAUCE_SEASONING</v>
      </c>
      <c r="E473" t="s">
        <v>340</v>
      </c>
      <c r="F473" t="s">
        <v>341</v>
      </c>
    </row>
    <row r="474" spans="1:6" x14ac:dyDescent="0.3">
      <c r="A474" t="s">
        <v>1060</v>
      </c>
      <c r="B474" t="str" cm="1">
        <f t="array" ref="B474">_xlfn.XLOOKUP(C474, INDEX([1]!카테고리매핑,,2), INDEX([1]!카테고리매핑,,1), "미등록 카테고리")</f>
        <v>채소/곡물류</v>
      </c>
      <c r="C474" t="s">
        <v>301</v>
      </c>
      <c r="D474" t="str">
        <f>VLOOKUP(C474, '[1]VLOOKUP 함수용 카테고리'!$A$1:$B$59, 2, 0)</f>
        <v>GRAIN</v>
      </c>
      <c r="E474" t="s">
        <v>490</v>
      </c>
      <c r="F474" t="s">
        <v>1061</v>
      </c>
    </row>
    <row r="475" spans="1:6" x14ac:dyDescent="0.3">
      <c r="A475" t="s">
        <v>1062</v>
      </c>
      <c r="B475" t="str" cm="1">
        <f t="array" ref="B475">_xlfn.XLOOKUP(C475, INDEX([1]!카테고리매핑,,2), INDEX([1]!카테고리매핑,,1), "미등록 카테고리")</f>
        <v>조미료</v>
      </c>
      <c r="C475" t="s">
        <v>84</v>
      </c>
      <c r="D475" t="str">
        <f>VLOOKUP(C475, '[1]VLOOKUP 함수용 카테고리'!$A$1:$B$59, 2, 0)</f>
        <v>SAUCE_SEASONING</v>
      </c>
      <c r="E475" t="s">
        <v>1063</v>
      </c>
      <c r="F475" t="s">
        <v>7705</v>
      </c>
    </row>
    <row r="476" spans="1:6" x14ac:dyDescent="0.3">
      <c r="A476" t="s">
        <v>1064</v>
      </c>
      <c r="B476" t="str" cm="1">
        <f t="array" ref="B476">_xlfn.XLOOKUP(C476, INDEX([1]!카테고리매핑,,2), INDEX([1]!카테고리매핑,,1), "미등록 카테고리")</f>
        <v>수산물</v>
      </c>
      <c r="C476" t="s">
        <v>101</v>
      </c>
      <c r="D476" t="str">
        <f>VLOOKUP(C476, '[1]VLOOKUP 함수용 카테고리'!$A$1:$B$59, 2, 0)</f>
        <v>DRIED_SEAFOOD</v>
      </c>
      <c r="E476" t="s">
        <v>601</v>
      </c>
      <c r="F476" t="s">
        <v>1065</v>
      </c>
    </row>
    <row r="477" spans="1:6" x14ac:dyDescent="0.3">
      <c r="A477" t="s">
        <v>1066</v>
      </c>
      <c r="B477" t="str" cm="1">
        <f t="array" ref="B477">_xlfn.XLOOKUP(C477, INDEX([1]!카테고리매핑,,2), INDEX([1]!카테고리매핑,,1), "미등록 카테고리")</f>
        <v>간편식</v>
      </c>
      <c r="C477" t="s">
        <v>131</v>
      </c>
      <c r="D477" t="str">
        <f>VLOOKUP(C477, '[1]VLOOKUP 함수용 카테고리'!$A$1:$B$59, 2, 0)</f>
        <v>SIMPLE_PROCESSED</v>
      </c>
      <c r="E477" t="s">
        <v>1067</v>
      </c>
      <c r="F477" t="s">
        <v>7706</v>
      </c>
    </row>
    <row r="478" spans="1:6" x14ac:dyDescent="0.3">
      <c r="A478" t="s">
        <v>1068</v>
      </c>
      <c r="B478" t="str" cm="1">
        <f t="array" ref="B478">_xlfn.XLOOKUP(C478, INDEX([1]!카테고리매핑,,2), INDEX([1]!카테고리매핑,,1), "미등록 카테고리")</f>
        <v>과일/견과류</v>
      </c>
      <c r="C478" t="s">
        <v>654</v>
      </c>
      <c r="D478" t="str">
        <f>VLOOKUP(C478, '[1]VLOOKUP 함수용 카테고리'!$A$1:$B$59, 2, 0)</f>
        <v>RAW_FRUIT</v>
      </c>
      <c r="E478" t="s">
        <v>1034</v>
      </c>
      <c r="F478" t="s">
        <v>670</v>
      </c>
    </row>
    <row r="479" spans="1:6" x14ac:dyDescent="0.3">
      <c r="A479" t="s">
        <v>1069</v>
      </c>
      <c r="B479" t="str" cm="1">
        <f t="array" ref="B479">_xlfn.XLOOKUP(C479, INDEX([1]!카테고리매핑,,2), INDEX([1]!카테고리매핑,,1), "미등록 카테고리")</f>
        <v>수산물</v>
      </c>
      <c r="C479" t="s">
        <v>229</v>
      </c>
      <c r="D479" t="str">
        <f>VLOOKUP(C479, '[1]VLOOKUP 함수용 카테고리'!$A$1:$B$59, 2, 0)</f>
        <v>RAW_SEAFOOD</v>
      </c>
      <c r="E479" t="s">
        <v>230</v>
      </c>
      <c r="F479" t="s">
        <v>1070</v>
      </c>
    </row>
    <row r="480" spans="1:6" x14ac:dyDescent="0.3">
      <c r="A480" t="s">
        <v>1071</v>
      </c>
      <c r="B480" t="str" cm="1">
        <f t="array" ref="B480">_xlfn.XLOOKUP(C480, INDEX([1]!카테고리매핑,,2), INDEX([1]!카테고리매핑,,1), "미등록 카테고리")</f>
        <v>육류/계란</v>
      </c>
      <c r="C480" t="s">
        <v>105</v>
      </c>
      <c r="D480" t="str">
        <f>VLOOKUP(C480, '[1]VLOOKUP 함수용 카테고리'!$A$1:$B$59, 2, 0)</f>
        <v>RAW_MEAT</v>
      </c>
      <c r="E480" t="s">
        <v>105</v>
      </c>
      <c r="F480" t="s">
        <v>151</v>
      </c>
    </row>
    <row r="481" spans="1:6" x14ac:dyDescent="0.3">
      <c r="A481" t="s">
        <v>1072</v>
      </c>
      <c r="B481" t="str" cm="1">
        <f t="array" ref="B481">_xlfn.XLOOKUP(C481, INDEX([1]!카테고리매핑,,2), INDEX([1]!카테고리매핑,,1), "미등록 카테고리")</f>
        <v>술</v>
      </c>
      <c r="C481" t="s">
        <v>42</v>
      </c>
      <c r="D481" t="str">
        <f>VLOOKUP(C481, '[1]VLOOKUP 함수용 카테고리'!$A$1:$B$59, 2, 0)</f>
        <v>ALCOHOL</v>
      </c>
      <c r="E481" t="s">
        <v>43</v>
      </c>
    </row>
    <row r="482" spans="1:6" x14ac:dyDescent="0.3">
      <c r="A482" t="s">
        <v>1073</v>
      </c>
      <c r="B482" t="str" cm="1">
        <f t="array" ref="B482">_xlfn.XLOOKUP(C482, INDEX([1]!카테고리매핑,,2), INDEX([1]!카테고리매핑,,1), "미등록 카테고리")</f>
        <v>술</v>
      </c>
      <c r="C482" t="s">
        <v>42</v>
      </c>
      <c r="D482" t="str">
        <f>VLOOKUP(C482, '[1]VLOOKUP 함수용 카테고리'!$A$1:$B$59, 2, 0)</f>
        <v>ALCOHOL</v>
      </c>
      <c r="E482" t="s">
        <v>1074</v>
      </c>
      <c r="F482" t="s">
        <v>7707</v>
      </c>
    </row>
    <row r="483" spans="1:6" x14ac:dyDescent="0.3">
      <c r="A483" t="s">
        <v>1075</v>
      </c>
      <c r="B483" t="str" cm="1">
        <f t="array" ref="B483">_xlfn.XLOOKUP(C483, INDEX([1]!카테고리매핑,,2), INDEX([1]!카테고리매핑,,1), "미등록 카테고리")</f>
        <v>상온식품</v>
      </c>
      <c r="C483" t="s">
        <v>276</v>
      </c>
      <c r="D483" t="str">
        <f>VLOOKUP(C483, '[1]VLOOKUP 함수용 카테고리'!$A$1:$B$59, 2, 0)</f>
        <v>DRIED_SEAFOOD</v>
      </c>
      <c r="E483" t="s">
        <v>277</v>
      </c>
      <c r="F483" t="s">
        <v>1076</v>
      </c>
    </row>
    <row r="484" spans="1:6" x14ac:dyDescent="0.3">
      <c r="A484" t="s">
        <v>1077</v>
      </c>
      <c r="B484" t="str" cm="1">
        <f t="array" ref="B484">_xlfn.XLOOKUP(C484, INDEX([1]!카테고리매핑,,2), INDEX([1]!카테고리매핑,,1), "미등록 카테고리")</f>
        <v>간식류</v>
      </c>
      <c r="C484" t="s">
        <v>38</v>
      </c>
      <c r="D484" t="str">
        <f>VLOOKUP(C484, '[1]VLOOKUP 함수용 카테고리'!$A$1:$B$59, 2, 0)</f>
        <v>SNACK</v>
      </c>
      <c r="E484" t="s">
        <v>179</v>
      </c>
      <c r="F484" t="s">
        <v>198</v>
      </c>
    </row>
    <row r="485" spans="1:6" x14ac:dyDescent="0.3">
      <c r="A485" t="s">
        <v>1078</v>
      </c>
      <c r="B485" t="str" cm="1">
        <f t="array" ref="B485">_xlfn.XLOOKUP(C485, INDEX([1]!카테고리매핑,,2), INDEX([1]!카테고리매핑,,1), "미등록 카테고리")</f>
        <v>유제품</v>
      </c>
      <c r="C485" t="s">
        <v>123</v>
      </c>
      <c r="D485" t="str">
        <f>VLOOKUP(C485, '[1]VLOOKUP 함수용 카테고리'!$A$1:$B$59, 2, 0)</f>
        <v>DAIRY</v>
      </c>
      <c r="E485" t="s">
        <v>190</v>
      </c>
      <c r="F485" t="s">
        <v>1079</v>
      </c>
    </row>
    <row r="486" spans="1:6" x14ac:dyDescent="0.3">
      <c r="A486" t="s">
        <v>1080</v>
      </c>
      <c r="B486" t="str" cm="1">
        <f t="array" ref="B486">_xlfn.XLOOKUP(C486, INDEX([1]!카테고리매핑,,2), INDEX([1]!카테고리매핑,,1), "미등록 카테고리")</f>
        <v>미등록 카테고리</v>
      </c>
      <c r="C486" t="s">
        <v>334</v>
      </c>
      <c r="D486" t="str">
        <f>VLOOKUP(C486, '[1]VLOOKUP 함수용 카테고리'!$A$1:$B$59, 2, 0)</f>
        <v>UNKNOWN</v>
      </c>
      <c r="E486" t="s">
        <v>334</v>
      </c>
      <c r="F486" t="s">
        <v>1081</v>
      </c>
    </row>
    <row r="487" spans="1:6" x14ac:dyDescent="0.3">
      <c r="A487" t="s">
        <v>1082</v>
      </c>
      <c r="B487" t="str" cm="1">
        <f t="array" ref="B487">_xlfn.XLOOKUP(C487, INDEX([1]!카테고리매핑,,2), INDEX([1]!카테고리매핑,,1), "미등록 카테고리")</f>
        <v>육류/계란</v>
      </c>
      <c r="C487" t="s">
        <v>34</v>
      </c>
      <c r="D487" t="str">
        <f>VLOOKUP(C487, '[1]VLOOKUP 함수용 카테고리'!$A$1:$B$59, 2, 0)</f>
        <v>RAW_MEAT</v>
      </c>
      <c r="E487" t="s">
        <v>35</v>
      </c>
      <c r="F487" t="s">
        <v>36</v>
      </c>
    </row>
    <row r="488" spans="1:6" x14ac:dyDescent="0.3">
      <c r="A488" t="s">
        <v>1083</v>
      </c>
      <c r="B488" t="str" cm="1">
        <f t="array" ref="B488">_xlfn.XLOOKUP(C488, INDEX([1]!카테고리매핑,,2), INDEX([1]!카테고리매핑,,1), "미등록 카테고리")</f>
        <v>채소/곡물류</v>
      </c>
      <c r="C488" t="s">
        <v>164</v>
      </c>
      <c r="D488" t="str">
        <f>VLOOKUP(C488, '[1]VLOOKUP 함수용 카테고리'!$A$1:$B$59, 2, 0)</f>
        <v>RAW_PRODUCE</v>
      </c>
      <c r="E488" t="s">
        <v>1084</v>
      </c>
    </row>
    <row r="489" spans="1:6" x14ac:dyDescent="0.3">
      <c r="A489" t="s">
        <v>1085</v>
      </c>
      <c r="B489" t="str" cm="1">
        <f t="array" ref="B489">_xlfn.XLOOKUP(C489, INDEX([1]!카테고리매핑,,2), INDEX([1]!카테고리매핑,,1), "미등록 카테고리")</f>
        <v>육류/계란</v>
      </c>
      <c r="C489" t="s">
        <v>298</v>
      </c>
      <c r="D489" t="str">
        <f>VLOOKUP(C489, '[1]VLOOKUP 함수용 카테고리'!$A$1:$B$59, 2, 0)</f>
        <v>RAW_MEAT</v>
      </c>
      <c r="E489" t="s">
        <v>298</v>
      </c>
      <c r="F489" t="s">
        <v>350</v>
      </c>
    </row>
    <row r="490" spans="1:6" x14ac:dyDescent="0.3">
      <c r="A490" t="s">
        <v>1086</v>
      </c>
      <c r="B490" t="str" cm="1">
        <f t="array" ref="B490">_xlfn.XLOOKUP(C490, INDEX([1]!카테고리매핑,,2), INDEX([1]!카테고리매핑,,1), "미등록 카테고리")</f>
        <v>육류/계란</v>
      </c>
      <c r="C490" t="s">
        <v>428</v>
      </c>
      <c r="D490" t="str">
        <f>VLOOKUP(C490, '[1]VLOOKUP 함수용 카테고리'!$A$1:$B$59, 2, 0)</f>
        <v>PROCESSED_MEAT</v>
      </c>
      <c r="E490" t="s">
        <v>804</v>
      </c>
      <c r="F490" t="s">
        <v>1087</v>
      </c>
    </row>
    <row r="491" spans="1:6" x14ac:dyDescent="0.3">
      <c r="A491" t="s">
        <v>1088</v>
      </c>
      <c r="B491" t="str" cm="1">
        <f t="array" ref="B491">_xlfn.XLOOKUP(C491, INDEX([1]!카테고리매핑,,2), INDEX([1]!카테고리매핑,,1), "미등록 카테고리")</f>
        <v>간편식</v>
      </c>
      <c r="C491" t="s">
        <v>131</v>
      </c>
      <c r="D491" t="str">
        <f>VLOOKUP(C491, '[1]VLOOKUP 함수용 카테고리'!$A$1:$B$59, 2, 0)</f>
        <v>SIMPLE_PROCESSED</v>
      </c>
      <c r="E491" t="s">
        <v>1089</v>
      </c>
      <c r="F491" t="s">
        <v>928</v>
      </c>
    </row>
    <row r="492" spans="1:6" x14ac:dyDescent="0.3">
      <c r="A492" t="s">
        <v>1090</v>
      </c>
      <c r="B492" t="str" cm="1">
        <f t="array" ref="B492">_xlfn.XLOOKUP(C492, INDEX([1]!카테고리매핑,,2), INDEX([1]!카테고리매핑,,1), "미등록 카테고리")</f>
        <v>간식류</v>
      </c>
      <c r="C492" t="s">
        <v>15</v>
      </c>
      <c r="D492" t="str">
        <f>VLOOKUP(C492, '[1]VLOOKUP 함수용 카테고리'!$A$1:$B$59, 2, 0)</f>
        <v>BAKERY</v>
      </c>
      <c r="E492" t="s">
        <v>1091</v>
      </c>
    </row>
    <row r="493" spans="1:6" x14ac:dyDescent="0.3">
      <c r="A493" t="s">
        <v>1092</v>
      </c>
      <c r="B493" t="str" cm="1">
        <f t="array" ref="B493">_xlfn.XLOOKUP(C493, INDEX([1]!카테고리매핑,,2), INDEX([1]!카테고리매핑,,1), "미등록 카테고리")</f>
        <v>간편식</v>
      </c>
      <c r="C493" t="s">
        <v>19</v>
      </c>
      <c r="D493" t="str">
        <f>VLOOKUP(C493, '[1]VLOOKUP 함수용 카테고리'!$A$1:$B$59, 2, 0)</f>
        <v>FROZEN_MEAL</v>
      </c>
      <c r="E493" t="s">
        <v>245</v>
      </c>
      <c r="F493" t="s">
        <v>156</v>
      </c>
    </row>
    <row r="494" spans="1:6" x14ac:dyDescent="0.3">
      <c r="A494" t="s">
        <v>1093</v>
      </c>
      <c r="B494" t="str" cm="1">
        <f t="array" ref="B494">_xlfn.XLOOKUP(C494, INDEX([1]!카테고리매핑,,2), INDEX([1]!카테고리매핑,,1), "미등록 카테고리")</f>
        <v>채소/곡물류</v>
      </c>
      <c r="C494" t="s">
        <v>301</v>
      </c>
      <c r="D494" t="str">
        <f>VLOOKUP(C494, '[1]VLOOKUP 함수용 카테고리'!$A$1:$B$59, 2, 0)</f>
        <v>GRAIN</v>
      </c>
      <c r="E494" t="s">
        <v>611</v>
      </c>
      <c r="F494" t="s">
        <v>151</v>
      </c>
    </row>
    <row r="495" spans="1:6" x14ac:dyDescent="0.3">
      <c r="A495" t="s">
        <v>1094</v>
      </c>
      <c r="B495" t="str" cm="1">
        <f t="array" ref="B495">_xlfn.XLOOKUP(C495, INDEX([1]!카테고리매핑,,2), INDEX([1]!카테고리매핑,,1), "미등록 카테고리")</f>
        <v>간식류</v>
      </c>
      <c r="C495" t="s">
        <v>38</v>
      </c>
      <c r="D495" t="str">
        <f>VLOOKUP(C495, '[1]VLOOKUP 함수용 카테고리'!$A$1:$B$59, 2, 0)</f>
        <v>SNACK</v>
      </c>
      <c r="E495" t="s">
        <v>39</v>
      </c>
      <c r="F495" t="s">
        <v>88</v>
      </c>
    </row>
    <row r="496" spans="1:6" x14ac:dyDescent="0.3">
      <c r="A496" t="s">
        <v>1095</v>
      </c>
      <c r="B496" t="str" cm="1">
        <f t="array" ref="B496">_xlfn.XLOOKUP(C496, INDEX([1]!카테고리매핑,,2), INDEX([1]!카테고리매핑,,1), "미등록 카테고리")</f>
        <v>채소/곡물류</v>
      </c>
      <c r="C496" t="s">
        <v>7</v>
      </c>
      <c r="D496" t="str">
        <f>VLOOKUP(C496, '[1]VLOOKUP 함수용 카테고리'!$A$1:$B$59, 2, 0)</f>
        <v>RAW_PRODUCE</v>
      </c>
      <c r="E496" t="s">
        <v>716</v>
      </c>
      <c r="F496" t="s">
        <v>406</v>
      </c>
    </row>
    <row r="497" spans="1:6" x14ac:dyDescent="0.3">
      <c r="A497" t="s">
        <v>1096</v>
      </c>
      <c r="B497" t="str" cm="1">
        <f t="array" ref="B497">_xlfn.XLOOKUP(C497, INDEX([1]!카테고리매핑,,2), INDEX([1]!카테고리매핑,,1), "미등록 카테고리")</f>
        <v>채소/곡물류</v>
      </c>
      <c r="C497" t="s">
        <v>301</v>
      </c>
      <c r="D497" t="str">
        <f>VLOOKUP(C497, '[1]VLOOKUP 함수용 카테고리'!$A$1:$B$59, 2, 0)</f>
        <v>GRAIN</v>
      </c>
      <c r="E497" t="s">
        <v>1097</v>
      </c>
    </row>
    <row r="498" spans="1:6" x14ac:dyDescent="0.3">
      <c r="A498" t="s">
        <v>1098</v>
      </c>
      <c r="B498" t="str" cm="1">
        <f t="array" ref="B498">_xlfn.XLOOKUP(C498, INDEX([1]!카테고리매핑,,2), INDEX([1]!카테고리매핑,,1), "미등록 카테고리")</f>
        <v>육류/계란</v>
      </c>
      <c r="C498" t="s">
        <v>34</v>
      </c>
      <c r="D498" t="str">
        <f>VLOOKUP(C498, '[1]VLOOKUP 함수용 카테고리'!$A$1:$B$59, 2, 0)</f>
        <v>RAW_MEAT</v>
      </c>
      <c r="E498" t="s">
        <v>35</v>
      </c>
      <c r="F498" t="s">
        <v>1099</v>
      </c>
    </row>
    <row r="499" spans="1:6" x14ac:dyDescent="0.3">
      <c r="A499" t="s">
        <v>1100</v>
      </c>
      <c r="B499" t="str" cm="1">
        <f t="array" ref="B499">_xlfn.XLOOKUP(C499, INDEX([1]!카테고리매핑,,2), INDEX([1]!카테고리매핑,,1), "미등록 카테고리")</f>
        <v>육류/계란</v>
      </c>
      <c r="C499" t="s">
        <v>428</v>
      </c>
      <c r="D499" t="str">
        <f>VLOOKUP(C499, '[1]VLOOKUP 함수용 카테고리'!$A$1:$B$59, 2, 0)</f>
        <v>PROCESSED_MEAT</v>
      </c>
      <c r="E499" t="s">
        <v>804</v>
      </c>
      <c r="F499" t="s">
        <v>1101</v>
      </c>
    </row>
    <row r="500" spans="1:6" x14ac:dyDescent="0.3">
      <c r="A500" t="s">
        <v>1102</v>
      </c>
      <c r="B500" t="str" cm="1">
        <f t="array" ref="B500">_xlfn.XLOOKUP(C500, INDEX([1]!카테고리매핑,,2), INDEX([1]!카테고리매핑,,1), "미등록 카테고리")</f>
        <v>간편식</v>
      </c>
      <c r="C500" t="s">
        <v>161</v>
      </c>
      <c r="D500" t="str">
        <f>VLOOKUP(C500, '[1]VLOOKUP 함수용 카테고리'!$A$1:$B$59, 2, 0)</f>
        <v>RTC_MEAL</v>
      </c>
      <c r="E500" t="s">
        <v>162</v>
      </c>
      <c r="F500" t="s">
        <v>114</v>
      </c>
    </row>
    <row r="501" spans="1:6" x14ac:dyDescent="0.3">
      <c r="A501" t="s">
        <v>1103</v>
      </c>
      <c r="B501" t="str" cm="1">
        <f t="array" ref="B501">_xlfn.XLOOKUP(C501, INDEX([1]!카테고리매핑,,2), INDEX([1]!카테고리매핑,,1), "미등록 카테고리")</f>
        <v>상온식품</v>
      </c>
      <c r="C501" t="s">
        <v>1104</v>
      </c>
      <c r="D501" t="str">
        <f>VLOOKUP(C501, '[1]VLOOKUP 함수용 카테고리'!$A$1:$B$59, 2, 0)</f>
        <v>CANNED</v>
      </c>
      <c r="E501" t="s">
        <v>1105</v>
      </c>
      <c r="F501" t="s">
        <v>1106</v>
      </c>
    </row>
    <row r="502" spans="1:6" x14ac:dyDescent="0.3">
      <c r="A502" t="s">
        <v>1107</v>
      </c>
      <c r="B502" t="str" cm="1">
        <f t="array" ref="B502">_xlfn.XLOOKUP(C502, INDEX([1]!카테고리매핑,,2), INDEX([1]!카테고리매핑,,1), "미등록 카테고리")</f>
        <v>유제품</v>
      </c>
      <c r="C502" t="s">
        <v>211</v>
      </c>
      <c r="D502" t="str">
        <f>VLOOKUP(C502, '[1]VLOOKUP 함수용 카테고리'!$A$1:$B$59, 2, 0)</f>
        <v>DAIRY</v>
      </c>
      <c r="E502" t="s">
        <v>212</v>
      </c>
      <c r="F502" t="s">
        <v>7708</v>
      </c>
    </row>
    <row r="503" spans="1:6" x14ac:dyDescent="0.3">
      <c r="A503" t="s">
        <v>1108</v>
      </c>
      <c r="B503" t="str" cm="1">
        <f t="array" ref="B503">_xlfn.XLOOKUP(C503, INDEX([1]!카테고리매핑,,2), INDEX([1]!카테고리매핑,,1), "미등록 카테고리")</f>
        <v>육류/계란</v>
      </c>
      <c r="C503" t="s">
        <v>105</v>
      </c>
      <c r="D503" t="str">
        <f>VLOOKUP(C503, '[1]VLOOKUP 함수용 카테고리'!$A$1:$B$59, 2, 0)</f>
        <v>RAW_MEAT</v>
      </c>
      <c r="E503" t="s">
        <v>1109</v>
      </c>
      <c r="F503" t="s">
        <v>350</v>
      </c>
    </row>
    <row r="504" spans="1:6" x14ac:dyDescent="0.3">
      <c r="A504" t="s">
        <v>1110</v>
      </c>
      <c r="B504" t="str" cm="1">
        <f t="array" ref="B504">_xlfn.XLOOKUP(C504, INDEX([1]!카테고리매핑,,2), INDEX([1]!카테고리매핑,,1), "미등록 카테고리")</f>
        <v>간식류</v>
      </c>
      <c r="C504" t="s">
        <v>15</v>
      </c>
      <c r="D504" t="str">
        <f>VLOOKUP(C504, '[1]VLOOKUP 함수용 카테고리'!$A$1:$B$59, 2, 0)</f>
        <v>BAKERY</v>
      </c>
      <c r="E504" t="s">
        <v>1011</v>
      </c>
      <c r="F504" t="s">
        <v>1111</v>
      </c>
    </row>
    <row r="505" spans="1:6" x14ac:dyDescent="0.3">
      <c r="A505" t="s">
        <v>1112</v>
      </c>
      <c r="B505" t="str" cm="1">
        <f t="array" ref="B505">_xlfn.XLOOKUP(C505, INDEX([1]!카테고리매핑,,2), INDEX([1]!카테고리매핑,,1), "미등록 카테고리")</f>
        <v>채소/곡물류</v>
      </c>
      <c r="C505" t="s">
        <v>7</v>
      </c>
      <c r="D505" t="str">
        <f>VLOOKUP(C505, '[1]VLOOKUP 함수용 카테고리'!$A$1:$B$59, 2, 0)</f>
        <v>RAW_PRODUCE</v>
      </c>
      <c r="E505" t="s">
        <v>188</v>
      </c>
    </row>
    <row r="506" spans="1:6" x14ac:dyDescent="0.3">
      <c r="A506" t="s">
        <v>1113</v>
      </c>
      <c r="B506" t="str" cm="1">
        <f t="array" ref="B506">_xlfn.XLOOKUP(C506, INDEX([1]!카테고리매핑,,2), INDEX([1]!카테고리매핑,,1), "미등록 카테고리")</f>
        <v>수산물</v>
      </c>
      <c r="C506" t="s">
        <v>229</v>
      </c>
      <c r="D506" t="str">
        <f>VLOOKUP(C506, '[1]VLOOKUP 함수용 카테고리'!$A$1:$B$59, 2, 0)</f>
        <v>RAW_SEAFOOD</v>
      </c>
      <c r="E506" t="s">
        <v>230</v>
      </c>
      <c r="F506" t="s">
        <v>909</v>
      </c>
    </row>
    <row r="507" spans="1:6" x14ac:dyDescent="0.3">
      <c r="A507" t="s">
        <v>1114</v>
      </c>
      <c r="B507" t="str" cm="1">
        <f t="array" ref="B507">_xlfn.XLOOKUP(C507, INDEX([1]!카테고리매핑,,2), INDEX([1]!카테고리매핑,,1), "미등록 카테고리")</f>
        <v>간편식</v>
      </c>
      <c r="C507" t="s">
        <v>19</v>
      </c>
      <c r="D507" t="str">
        <f>VLOOKUP(C507, '[1]VLOOKUP 함수용 카테고리'!$A$1:$B$59, 2, 0)</f>
        <v>FROZEN_MEAL</v>
      </c>
      <c r="E507" t="s">
        <v>1115</v>
      </c>
      <c r="F507" t="s">
        <v>1116</v>
      </c>
    </row>
    <row r="508" spans="1:6" x14ac:dyDescent="0.3">
      <c r="A508" t="s">
        <v>1117</v>
      </c>
      <c r="B508" t="str" cm="1">
        <f t="array" ref="B508">_xlfn.XLOOKUP(C508, INDEX([1]!카테고리매핑,,2), INDEX([1]!카테고리매핑,,1), "미등록 카테고리")</f>
        <v>간식류</v>
      </c>
      <c r="C508" t="s">
        <v>15</v>
      </c>
      <c r="D508" t="str">
        <f>VLOOKUP(C508, '[1]VLOOKUP 함수용 카테고리'!$A$1:$B$59, 2, 0)</f>
        <v>BAKERY</v>
      </c>
      <c r="E508" t="s">
        <v>1118</v>
      </c>
      <c r="F508" t="s">
        <v>7709</v>
      </c>
    </row>
    <row r="509" spans="1:6" x14ac:dyDescent="0.3">
      <c r="A509" t="s">
        <v>1119</v>
      </c>
      <c r="B509" t="str" cm="1">
        <f t="array" ref="B509">_xlfn.XLOOKUP(C509, INDEX([1]!카테고리매핑,,2), INDEX([1]!카테고리매핑,,1), "미등록 카테고리")</f>
        <v>육류/계란</v>
      </c>
      <c r="C509" t="s">
        <v>428</v>
      </c>
      <c r="D509" t="str">
        <f>VLOOKUP(C509, '[1]VLOOKUP 함수용 카테고리'!$A$1:$B$59, 2, 0)</f>
        <v>PROCESSED_MEAT</v>
      </c>
      <c r="E509" t="s">
        <v>776</v>
      </c>
      <c r="F509" t="s">
        <v>182</v>
      </c>
    </row>
    <row r="510" spans="1:6" x14ac:dyDescent="0.3">
      <c r="A510" t="s">
        <v>1120</v>
      </c>
      <c r="B510" t="str" cm="1">
        <f t="array" ref="B510">_xlfn.XLOOKUP(C510, INDEX([1]!카테고리매핑,,2), INDEX([1]!카테고리매핑,,1), "미등록 카테고리")</f>
        <v>간식류</v>
      </c>
      <c r="C510" t="s">
        <v>109</v>
      </c>
      <c r="D510" t="str">
        <f>VLOOKUP(C510, '[1]VLOOKUP 함수용 카테고리'!$A$1:$B$59, 2, 0)</f>
        <v>SNACK</v>
      </c>
      <c r="E510" t="s">
        <v>1121</v>
      </c>
      <c r="F510" t="s">
        <v>1122</v>
      </c>
    </row>
    <row r="511" spans="1:6" x14ac:dyDescent="0.3">
      <c r="A511" t="s">
        <v>1123</v>
      </c>
      <c r="B511" t="str" cm="1">
        <f t="array" ref="B511">_xlfn.XLOOKUP(C511, INDEX([1]!카테고리매핑,,2), INDEX([1]!카테고리매핑,,1), "미등록 카테고리")</f>
        <v>과일/견과류</v>
      </c>
      <c r="C511" t="s">
        <v>654</v>
      </c>
      <c r="D511" t="str">
        <f>VLOOKUP(C511, '[1]VLOOKUP 함수용 카테고리'!$A$1:$B$59, 2, 0)</f>
        <v>RAW_FRUIT</v>
      </c>
      <c r="E511" t="s">
        <v>1034</v>
      </c>
      <c r="F511" t="s">
        <v>670</v>
      </c>
    </row>
    <row r="512" spans="1:6" x14ac:dyDescent="0.3">
      <c r="A512" t="s">
        <v>1124</v>
      </c>
      <c r="B512" t="str" cm="1">
        <f t="array" ref="B512">_xlfn.XLOOKUP(C512, INDEX([1]!카테고리매핑,,2), INDEX([1]!카테고리매핑,,1), "미등록 카테고리")</f>
        <v>미등록 카테고리</v>
      </c>
      <c r="C512" t="s">
        <v>334</v>
      </c>
      <c r="D512" t="str">
        <f>VLOOKUP(C512, '[1]VLOOKUP 함수용 카테고리'!$A$1:$B$59, 2, 0)</f>
        <v>UNKNOWN</v>
      </c>
      <c r="E512" t="s">
        <v>334</v>
      </c>
      <c r="F512" t="s">
        <v>1125</v>
      </c>
    </row>
    <row r="513" spans="1:6" x14ac:dyDescent="0.3">
      <c r="A513" t="s">
        <v>1126</v>
      </c>
      <c r="B513" t="str" cm="1">
        <f t="array" ref="B513">_xlfn.XLOOKUP(C513, INDEX([1]!카테고리매핑,,2), INDEX([1]!카테고리매핑,,1), "미등록 카테고리")</f>
        <v>유제품</v>
      </c>
      <c r="C513" t="s">
        <v>432</v>
      </c>
      <c r="D513" t="str">
        <f>VLOOKUP(C513, '[1]VLOOKUP 함수용 카테고리'!$A$1:$B$59, 2, 0)</f>
        <v>DAIRY</v>
      </c>
      <c r="E513" t="s">
        <v>549</v>
      </c>
      <c r="F513" t="s">
        <v>550</v>
      </c>
    </row>
    <row r="514" spans="1:6" x14ac:dyDescent="0.3">
      <c r="A514" t="s">
        <v>1127</v>
      </c>
      <c r="B514" t="str" cm="1">
        <f t="array" ref="B514">_xlfn.XLOOKUP(C514, INDEX([1]!카테고리매핑,,2), INDEX([1]!카테고리매핑,,1), "미등록 카테고리")</f>
        <v>음료</v>
      </c>
      <c r="C514" t="s">
        <v>23</v>
      </c>
      <c r="D514" t="str">
        <f>VLOOKUP(C514, '[1]VLOOKUP 함수용 카테고리'!$A$1:$B$59, 2, 0)</f>
        <v>BEVERAGE</v>
      </c>
      <c r="E514" t="s">
        <v>807</v>
      </c>
      <c r="F514" t="s">
        <v>1128</v>
      </c>
    </row>
    <row r="515" spans="1:6" x14ac:dyDescent="0.3">
      <c r="A515" t="s">
        <v>1129</v>
      </c>
      <c r="B515" t="str" cm="1">
        <f t="array" ref="B515">_xlfn.XLOOKUP(C515, INDEX([1]!카테고리매핑,,2), INDEX([1]!카테고리매핑,,1), "미등록 카테고리")</f>
        <v>미등록 카테고리</v>
      </c>
      <c r="C515" t="s">
        <v>334</v>
      </c>
      <c r="D515" t="str">
        <f>VLOOKUP(C515, '[1]VLOOKUP 함수용 카테고리'!$A$1:$B$59, 2, 0)</f>
        <v>UNKNOWN</v>
      </c>
      <c r="E515" t="s">
        <v>334</v>
      </c>
      <c r="F515" t="s">
        <v>1130</v>
      </c>
    </row>
    <row r="516" spans="1:6" x14ac:dyDescent="0.3">
      <c r="A516" t="s">
        <v>1131</v>
      </c>
      <c r="B516" t="str" cm="1">
        <f t="array" ref="B516">_xlfn.XLOOKUP(C516, INDEX([1]!카테고리매핑,,2), INDEX([1]!카테고리매핑,,1), "미등록 카테고리")</f>
        <v>음료</v>
      </c>
      <c r="C516" t="s">
        <v>23</v>
      </c>
      <c r="D516" t="str">
        <f>VLOOKUP(C516, '[1]VLOOKUP 함수용 카테고리'!$A$1:$B$59, 2, 0)</f>
        <v>BEVERAGE</v>
      </c>
      <c r="E516" t="s">
        <v>355</v>
      </c>
      <c r="F516" t="s">
        <v>356</v>
      </c>
    </row>
    <row r="517" spans="1:6" x14ac:dyDescent="0.3">
      <c r="A517" t="s">
        <v>1132</v>
      </c>
      <c r="B517" t="str" cm="1">
        <f t="array" ref="B517">_xlfn.XLOOKUP(C517, INDEX([1]!카테고리매핑,,2), INDEX([1]!카테고리매핑,,1), "미등록 카테고리")</f>
        <v>유제품</v>
      </c>
      <c r="C517" t="s">
        <v>123</v>
      </c>
      <c r="D517" t="str">
        <f>VLOOKUP(C517, '[1]VLOOKUP 함수용 카테고리'!$A$1:$B$59, 2, 0)</f>
        <v>DAIRY</v>
      </c>
      <c r="E517" t="s">
        <v>190</v>
      </c>
      <c r="F517" t="s">
        <v>7710</v>
      </c>
    </row>
    <row r="518" spans="1:6" x14ac:dyDescent="0.3">
      <c r="A518" t="s">
        <v>1133</v>
      </c>
      <c r="B518" t="str" cm="1">
        <f t="array" ref="B518">_xlfn.XLOOKUP(C518, INDEX([1]!카테고리매핑,,2), INDEX([1]!카테고리매핑,,1), "미등록 카테고리")</f>
        <v>간편식</v>
      </c>
      <c r="C518" t="s">
        <v>256</v>
      </c>
      <c r="D518" t="str">
        <f>VLOOKUP(C518, '[1]VLOOKUP 함수용 카테고리'!$A$1:$B$59, 2, 0)</f>
        <v>RTC_MEAL</v>
      </c>
      <c r="E518" t="s">
        <v>256</v>
      </c>
      <c r="F518" t="s">
        <v>541</v>
      </c>
    </row>
    <row r="519" spans="1:6" x14ac:dyDescent="0.3">
      <c r="A519" t="s">
        <v>1134</v>
      </c>
      <c r="B519" t="str" cm="1">
        <f t="array" ref="B519">_xlfn.XLOOKUP(C519, INDEX([1]!카테고리매핑,,2), INDEX([1]!카테고리매핑,,1), "미등록 카테고리")</f>
        <v>유제품</v>
      </c>
      <c r="C519" t="s">
        <v>123</v>
      </c>
      <c r="D519" t="str">
        <f>VLOOKUP(C519, '[1]VLOOKUP 함수용 카테고리'!$A$1:$B$59, 2, 0)</f>
        <v>DAIRY</v>
      </c>
      <c r="E519" t="s">
        <v>239</v>
      </c>
      <c r="F519" t="s">
        <v>377</v>
      </c>
    </row>
    <row r="520" spans="1:6" x14ac:dyDescent="0.3">
      <c r="A520" t="s">
        <v>1135</v>
      </c>
      <c r="B520" t="str" cm="1">
        <f t="array" ref="B520">_xlfn.XLOOKUP(C520, INDEX([1]!카테고리매핑,,2), INDEX([1]!카테고리매핑,,1), "미등록 카테고리")</f>
        <v>조미료</v>
      </c>
      <c r="C520" t="s">
        <v>83</v>
      </c>
      <c r="D520" t="str">
        <f>VLOOKUP(C520, '[1]VLOOKUP 함수용 카테고리'!$A$1:$B$59, 2, 0)</f>
        <v>SAUCE_SEASONING</v>
      </c>
      <c r="E520" t="s">
        <v>7667</v>
      </c>
      <c r="F520" t="s">
        <v>1136</v>
      </c>
    </row>
    <row r="521" spans="1:6" x14ac:dyDescent="0.3">
      <c r="A521" t="s">
        <v>1137</v>
      </c>
      <c r="B521" t="str" cm="1">
        <f t="array" ref="B521">_xlfn.XLOOKUP(C521, INDEX([1]!카테고리매핑,,2), INDEX([1]!카테고리매핑,,1), "미등록 카테고리")</f>
        <v>수산물</v>
      </c>
      <c r="C521" t="s">
        <v>140</v>
      </c>
      <c r="D521" t="str">
        <f>VLOOKUP(C521, '[1]VLOOKUP 함수용 카테고리'!$A$1:$B$59, 2, 0)</f>
        <v>SIMPLE_PROCESSED</v>
      </c>
      <c r="E521" t="s">
        <v>1138</v>
      </c>
      <c r="F521" t="s">
        <v>246</v>
      </c>
    </row>
    <row r="522" spans="1:6" x14ac:dyDescent="0.3">
      <c r="A522" t="s">
        <v>1139</v>
      </c>
      <c r="B522" t="str" cm="1">
        <f t="array" ref="B522">_xlfn.XLOOKUP(C522, INDEX([1]!카테고리매핑,,2), INDEX([1]!카테고리매핑,,1), "미등록 카테고리")</f>
        <v>간편식</v>
      </c>
      <c r="C522" t="s">
        <v>19</v>
      </c>
      <c r="D522" t="str">
        <f>VLOOKUP(C522, '[1]VLOOKUP 함수용 카테고리'!$A$1:$B$59, 2, 0)</f>
        <v>FROZEN_MEAL</v>
      </c>
      <c r="E522" t="s">
        <v>245</v>
      </c>
      <c r="F522" t="s">
        <v>246</v>
      </c>
    </row>
    <row r="523" spans="1:6" x14ac:dyDescent="0.3">
      <c r="A523" t="s">
        <v>1140</v>
      </c>
      <c r="B523" t="str" cm="1">
        <f t="array" ref="B523">_xlfn.XLOOKUP(C523, INDEX([1]!카테고리매핑,,2), INDEX([1]!카테고리매핑,,1), "미등록 카테고리")</f>
        <v>육류/계란</v>
      </c>
      <c r="C523" t="s">
        <v>428</v>
      </c>
      <c r="D523" t="str">
        <f>VLOOKUP(C523, '[1]VLOOKUP 함수용 카테고리'!$A$1:$B$59, 2, 0)</f>
        <v>PROCESSED_MEAT</v>
      </c>
      <c r="E523" t="s">
        <v>790</v>
      </c>
      <c r="F523" t="s">
        <v>1141</v>
      </c>
    </row>
    <row r="524" spans="1:6" x14ac:dyDescent="0.3">
      <c r="A524" t="s">
        <v>1142</v>
      </c>
      <c r="B524" t="str" cm="1">
        <f t="array" ref="B524">_xlfn.XLOOKUP(C524, INDEX([1]!카테고리매핑,,2), INDEX([1]!카테고리매핑,,1), "미등록 카테고리")</f>
        <v>유제품</v>
      </c>
      <c r="C524" t="s">
        <v>98</v>
      </c>
      <c r="D524" t="str">
        <f>VLOOKUP(C524, '[1]VLOOKUP 함수용 카테고리'!$A$1:$B$59, 2, 0)</f>
        <v>DAIRY</v>
      </c>
      <c r="E524" t="s">
        <v>1143</v>
      </c>
      <c r="F524" t="s">
        <v>1144</v>
      </c>
    </row>
    <row r="525" spans="1:6" x14ac:dyDescent="0.3">
      <c r="A525" t="s">
        <v>1145</v>
      </c>
      <c r="B525" t="str" cm="1">
        <f t="array" ref="B525">_xlfn.XLOOKUP(C525, INDEX([1]!카테고리매핑,,2), INDEX([1]!카테고리매핑,,1), "미등록 카테고리")</f>
        <v>음료</v>
      </c>
      <c r="C525" t="s">
        <v>23</v>
      </c>
      <c r="D525" t="str">
        <f>VLOOKUP(C525, '[1]VLOOKUP 함수용 카테고리'!$A$1:$B$59, 2, 0)</f>
        <v>BEVERAGE</v>
      </c>
      <c r="E525" t="s">
        <v>74</v>
      </c>
      <c r="F525" t="s">
        <v>136</v>
      </c>
    </row>
    <row r="526" spans="1:6" x14ac:dyDescent="0.3">
      <c r="A526" t="s">
        <v>1146</v>
      </c>
      <c r="B526" t="str" cm="1">
        <f t="array" ref="B526">_xlfn.XLOOKUP(C526, INDEX([1]!카테고리매핑,,2), INDEX([1]!카테고리매핑,,1), "미등록 카테고리")</f>
        <v>간편식</v>
      </c>
      <c r="C526" t="s">
        <v>256</v>
      </c>
      <c r="D526" t="str">
        <f>VLOOKUP(C526, '[1]VLOOKUP 함수용 카테고리'!$A$1:$B$59, 2, 0)</f>
        <v>RTC_MEAL</v>
      </c>
      <c r="E526" t="s">
        <v>256</v>
      </c>
      <c r="F526" t="s">
        <v>541</v>
      </c>
    </row>
    <row r="527" spans="1:6" x14ac:dyDescent="0.3">
      <c r="A527" t="s">
        <v>1147</v>
      </c>
      <c r="B527" t="str" cm="1">
        <f t="array" ref="B527">_xlfn.XLOOKUP(C527, INDEX([1]!카테고리매핑,,2), INDEX([1]!카테고리매핑,,1), "미등록 카테고리")</f>
        <v>유제품</v>
      </c>
      <c r="C527" t="s">
        <v>123</v>
      </c>
      <c r="D527" t="str">
        <f>VLOOKUP(C527, '[1]VLOOKUP 함수용 카테고리'!$A$1:$B$59, 2, 0)</f>
        <v>DAIRY</v>
      </c>
      <c r="E527" t="s">
        <v>190</v>
      </c>
      <c r="F527" t="s">
        <v>350</v>
      </c>
    </row>
    <row r="528" spans="1:6" x14ac:dyDescent="0.3">
      <c r="A528" t="s">
        <v>1148</v>
      </c>
      <c r="B528" t="str" cm="1">
        <f t="array" ref="B528">_xlfn.XLOOKUP(C528, INDEX([1]!카테고리매핑,,2), INDEX([1]!카테고리매핑,,1), "미등록 카테고리")</f>
        <v>간편식</v>
      </c>
      <c r="C528" t="s">
        <v>131</v>
      </c>
      <c r="D528" t="str">
        <f>VLOOKUP(C528, '[1]VLOOKUP 함수용 카테고리'!$A$1:$B$59, 2, 0)</f>
        <v>SIMPLE_PROCESSED</v>
      </c>
      <c r="E528" t="s">
        <v>1149</v>
      </c>
      <c r="F528" t="s">
        <v>419</v>
      </c>
    </row>
    <row r="529" spans="1:6" x14ac:dyDescent="0.3">
      <c r="A529" t="s">
        <v>1150</v>
      </c>
      <c r="B529" t="str" cm="1">
        <f t="array" ref="B529">_xlfn.XLOOKUP(C529, INDEX([1]!카테고리매핑,,2), INDEX([1]!카테고리매핑,,1), "미등록 카테고리")</f>
        <v>육류/계란</v>
      </c>
      <c r="C529" t="s">
        <v>149</v>
      </c>
      <c r="D529" t="str">
        <f>VLOOKUP(C529, '[1]VLOOKUP 함수용 카테고리'!$A$1:$B$59, 2, 0)</f>
        <v>RAW_MEAT</v>
      </c>
      <c r="E529" t="s">
        <v>1151</v>
      </c>
      <c r="F529" t="s">
        <v>1152</v>
      </c>
    </row>
    <row r="530" spans="1:6" x14ac:dyDescent="0.3">
      <c r="A530" t="s">
        <v>1153</v>
      </c>
      <c r="B530" t="str" cm="1">
        <f t="array" ref="B530">_xlfn.XLOOKUP(C530, INDEX([1]!카테고리매핑,,2), INDEX([1]!카테고리매핑,,1), "미등록 카테고리")</f>
        <v>조미료</v>
      </c>
      <c r="C530" t="s">
        <v>127</v>
      </c>
      <c r="D530" t="str">
        <f>VLOOKUP(C530, '[1]VLOOKUP 함수용 카테고리'!$A$1:$B$59, 2, 0)</f>
        <v>SAUCE_SEASONING</v>
      </c>
      <c r="E530" t="s">
        <v>989</v>
      </c>
      <c r="F530" t="s">
        <v>1154</v>
      </c>
    </row>
    <row r="531" spans="1:6" x14ac:dyDescent="0.3">
      <c r="A531" t="s">
        <v>1155</v>
      </c>
      <c r="B531" t="str" cm="1">
        <f t="array" ref="B531">_xlfn.XLOOKUP(C531, INDEX([1]!카테고리매핑,,2), INDEX([1]!카테고리매핑,,1), "미등록 카테고리")</f>
        <v>음료</v>
      </c>
      <c r="C531" t="s">
        <v>23</v>
      </c>
      <c r="D531" t="str">
        <f>VLOOKUP(C531, '[1]VLOOKUP 함수용 카테고리'!$A$1:$B$59, 2, 0)</f>
        <v>BEVERAGE</v>
      </c>
      <c r="E531" t="s">
        <v>1156</v>
      </c>
      <c r="F531" t="s">
        <v>1157</v>
      </c>
    </row>
    <row r="532" spans="1:6" x14ac:dyDescent="0.3">
      <c r="A532" t="s">
        <v>1158</v>
      </c>
      <c r="B532" t="str" cm="1">
        <f t="array" ref="B532">_xlfn.XLOOKUP(C532, INDEX([1]!카테고리매핑,,2), INDEX([1]!카테고리매핑,,1), "미등록 카테고리")</f>
        <v>술</v>
      </c>
      <c r="C532" t="s">
        <v>411</v>
      </c>
      <c r="D532" t="str">
        <f>VLOOKUP(C532, '[1]VLOOKUP 함수용 카테고리'!$A$1:$B$59, 2, 0)</f>
        <v>ALCOHOL</v>
      </c>
      <c r="E532" t="s">
        <v>1159</v>
      </c>
      <c r="F532" t="s">
        <v>7707</v>
      </c>
    </row>
    <row r="533" spans="1:6" x14ac:dyDescent="0.3">
      <c r="A533" t="s">
        <v>1160</v>
      </c>
      <c r="B533" t="str" cm="1">
        <f t="array" ref="B533">_xlfn.XLOOKUP(C533, INDEX([1]!카테고리매핑,,2), INDEX([1]!카테고리매핑,,1), "미등록 카테고리")</f>
        <v>유제품</v>
      </c>
      <c r="C533" t="s">
        <v>98</v>
      </c>
      <c r="D533" t="str">
        <f>VLOOKUP(C533, '[1]VLOOKUP 함수용 카테고리'!$A$1:$B$59, 2, 0)</f>
        <v>DAIRY</v>
      </c>
      <c r="E533" t="s">
        <v>98</v>
      </c>
    </row>
    <row r="534" spans="1:6" x14ac:dyDescent="0.3">
      <c r="A534" t="s">
        <v>1162</v>
      </c>
      <c r="B534" t="str" cm="1">
        <f t="array" ref="B534">_xlfn.XLOOKUP(C534, INDEX([1]!카테고리매핑,,2), INDEX([1]!카테고리매핑,,1), "미등록 카테고리")</f>
        <v>간편식</v>
      </c>
      <c r="C534" t="s">
        <v>19</v>
      </c>
      <c r="D534" t="str">
        <f>VLOOKUP(C534, '[1]VLOOKUP 함수용 카테고리'!$A$1:$B$59, 2, 0)</f>
        <v>FROZEN_MEAL</v>
      </c>
      <c r="E534" t="s">
        <v>1163</v>
      </c>
      <c r="F534" t="s">
        <v>36</v>
      </c>
    </row>
    <row r="535" spans="1:6" x14ac:dyDescent="0.3">
      <c r="A535" t="s">
        <v>1164</v>
      </c>
      <c r="B535" t="str" cm="1">
        <f t="array" ref="B535">_xlfn.XLOOKUP(C535, INDEX([1]!카테고리매핑,,2), INDEX([1]!카테고리매핑,,1), "미등록 카테고리")</f>
        <v>조미료</v>
      </c>
      <c r="C535" t="s">
        <v>83</v>
      </c>
      <c r="D535" t="str">
        <f>VLOOKUP(C535, '[1]VLOOKUP 함수용 카테고리'!$A$1:$B$59, 2, 0)</f>
        <v>SAUCE_SEASONING</v>
      </c>
      <c r="E535" t="s">
        <v>1165</v>
      </c>
      <c r="F535" t="s">
        <v>182</v>
      </c>
    </row>
    <row r="536" spans="1:6" x14ac:dyDescent="0.3">
      <c r="A536" t="s">
        <v>1166</v>
      </c>
      <c r="B536" t="str" cm="1">
        <f t="array" ref="B536">_xlfn.XLOOKUP(C536, INDEX([1]!카테고리매핑,,2), INDEX([1]!카테고리매핑,,1), "미등록 카테고리")</f>
        <v>육류/계란</v>
      </c>
      <c r="C536" t="s">
        <v>298</v>
      </c>
      <c r="D536" t="str">
        <f>VLOOKUP(C536, '[1]VLOOKUP 함수용 카테고리'!$A$1:$B$59, 2, 0)</f>
        <v>RAW_MEAT</v>
      </c>
      <c r="E536" t="s">
        <v>298</v>
      </c>
      <c r="F536" t="s">
        <v>571</v>
      </c>
    </row>
    <row r="537" spans="1:6" x14ac:dyDescent="0.3">
      <c r="A537" t="s">
        <v>1167</v>
      </c>
      <c r="B537" t="str" cm="1">
        <f t="array" ref="B537">_xlfn.XLOOKUP(C537, INDEX([1]!카테고리매핑,,2), INDEX([1]!카테고리매핑,,1), "미등록 카테고리")</f>
        <v>미등록 카테고리</v>
      </c>
      <c r="C537" t="s">
        <v>334</v>
      </c>
      <c r="D537" t="str">
        <f>VLOOKUP(C537, '[1]VLOOKUP 함수용 카테고리'!$A$1:$B$59, 2, 0)</f>
        <v>UNKNOWN</v>
      </c>
      <c r="E537" t="s">
        <v>334</v>
      </c>
      <c r="F537" t="s">
        <v>702</v>
      </c>
    </row>
    <row r="538" spans="1:6" x14ac:dyDescent="0.3">
      <c r="A538" t="s">
        <v>1168</v>
      </c>
      <c r="B538" t="str" cm="1">
        <f t="array" ref="B538">_xlfn.XLOOKUP(C538, INDEX([1]!카테고리매핑,,2), INDEX([1]!카테고리매핑,,1), "미등록 카테고리")</f>
        <v>조미료</v>
      </c>
      <c r="C538" t="s">
        <v>117</v>
      </c>
      <c r="D538" t="str">
        <f>VLOOKUP(C538, '[1]VLOOKUP 함수용 카테고리'!$A$1:$B$59, 2, 0)</f>
        <v>SAUCE_SEASONING</v>
      </c>
      <c r="E538" t="s">
        <v>1169</v>
      </c>
      <c r="F538" t="s">
        <v>1170</v>
      </c>
    </row>
    <row r="539" spans="1:6" x14ac:dyDescent="0.3">
      <c r="A539" t="s">
        <v>1171</v>
      </c>
      <c r="B539" t="str" cm="1">
        <f t="array" ref="B539">_xlfn.XLOOKUP(C539, INDEX([1]!카테고리매핑,,2), INDEX([1]!카테고리매핑,,1), "미등록 카테고리")</f>
        <v>음료</v>
      </c>
      <c r="C539" t="s">
        <v>23</v>
      </c>
      <c r="D539" t="str">
        <f>VLOOKUP(C539, '[1]VLOOKUP 함수용 카테고리'!$A$1:$B$59, 2, 0)</f>
        <v>BEVERAGE</v>
      </c>
      <c r="E539" t="s">
        <v>323</v>
      </c>
      <c r="F539" t="s">
        <v>605</v>
      </c>
    </row>
    <row r="540" spans="1:6" x14ac:dyDescent="0.3">
      <c r="A540" t="s">
        <v>1172</v>
      </c>
      <c r="B540" t="str" cm="1">
        <f t="array" ref="B540">_xlfn.XLOOKUP(C540, INDEX([1]!카테고리매핑,,2), INDEX([1]!카테고리매핑,,1), "미등록 카테고리")</f>
        <v>채소/곡물류</v>
      </c>
      <c r="C540" t="s">
        <v>27</v>
      </c>
      <c r="D540" t="str">
        <f>VLOOKUP(C540, '[1]VLOOKUP 함수용 카테고리'!$A$1:$B$59, 2, 0)</f>
        <v>SIMPLE_PROCESSED</v>
      </c>
      <c r="E540" t="s">
        <v>1173</v>
      </c>
      <c r="F540" t="s">
        <v>29</v>
      </c>
    </row>
    <row r="541" spans="1:6" x14ac:dyDescent="0.3">
      <c r="A541" t="s">
        <v>1174</v>
      </c>
      <c r="B541" t="str" cm="1">
        <f t="array" ref="B541">_xlfn.XLOOKUP(C541, INDEX([1]!카테고리매핑,,2), INDEX([1]!카테고리매핑,,1), "미등록 카테고리")</f>
        <v>간편식</v>
      </c>
      <c r="C541" t="s">
        <v>46</v>
      </c>
      <c r="D541" t="str">
        <f>VLOOKUP(C541, '[1]VLOOKUP 함수용 카테고리'!$A$1:$B$59, 2, 0)</f>
        <v>RTC_MEAL</v>
      </c>
      <c r="E541" t="s">
        <v>46</v>
      </c>
      <c r="F541" t="s">
        <v>615</v>
      </c>
    </row>
    <row r="542" spans="1:6" x14ac:dyDescent="0.3">
      <c r="A542" t="s">
        <v>1175</v>
      </c>
      <c r="B542" t="str" cm="1">
        <f t="array" ref="B542">_xlfn.XLOOKUP(C542, INDEX([1]!카테고리매핑,,2), INDEX([1]!카테고리매핑,,1), "미등록 카테고리")</f>
        <v>상온식품</v>
      </c>
      <c r="C542" t="s">
        <v>276</v>
      </c>
      <c r="D542" t="str">
        <f>VLOOKUP(C542, '[1]VLOOKUP 함수용 카테고리'!$A$1:$B$59, 2, 0)</f>
        <v>DRIED_SEAFOOD</v>
      </c>
      <c r="E542" t="s">
        <v>277</v>
      </c>
      <c r="F542" t="s">
        <v>7711</v>
      </c>
    </row>
    <row r="543" spans="1:6" x14ac:dyDescent="0.3">
      <c r="A543" t="s">
        <v>1176</v>
      </c>
      <c r="B543" t="str" cm="1">
        <f t="array" ref="B543">_xlfn.XLOOKUP(C543, INDEX([1]!카테고리매핑,,2), INDEX([1]!카테고리매핑,,1), "미등록 카테고리")</f>
        <v>채소/곡물류</v>
      </c>
      <c r="C543" t="s">
        <v>7</v>
      </c>
      <c r="D543" t="str">
        <f>VLOOKUP(C543, '[1]VLOOKUP 함수용 카테고리'!$A$1:$B$59, 2, 0)</f>
        <v>RAW_PRODUCE</v>
      </c>
      <c r="E543" t="s">
        <v>1177</v>
      </c>
    </row>
    <row r="544" spans="1:6" x14ac:dyDescent="0.3">
      <c r="A544" t="s">
        <v>1178</v>
      </c>
      <c r="B544" t="str" cm="1">
        <f t="array" ref="B544">_xlfn.XLOOKUP(C544, INDEX([1]!카테고리매핑,,2), INDEX([1]!카테고리매핑,,1), "미등록 카테고리")</f>
        <v>과일/견과류</v>
      </c>
      <c r="C544" t="s">
        <v>1179</v>
      </c>
      <c r="D544" t="str">
        <f>VLOOKUP(C544, '[1]VLOOKUP 함수용 카테고리'!$A$1:$B$59, 2, 0)</f>
        <v>RAW_FRUIT</v>
      </c>
      <c r="E544" t="s">
        <v>1180</v>
      </c>
      <c r="F544" t="s">
        <v>1181</v>
      </c>
    </row>
    <row r="545" spans="1:6" x14ac:dyDescent="0.3">
      <c r="A545" t="s">
        <v>1182</v>
      </c>
      <c r="B545" t="str" cm="1">
        <f t="array" ref="B545">_xlfn.XLOOKUP(C545, INDEX([1]!카테고리매핑,,2), INDEX([1]!카테고리매핑,,1), "미등록 카테고리")</f>
        <v>육류/계란</v>
      </c>
      <c r="C545" t="s">
        <v>149</v>
      </c>
      <c r="D545" t="str">
        <f>VLOOKUP(C545, '[1]VLOOKUP 함수용 카테고리'!$A$1:$B$59, 2, 0)</f>
        <v>RAW_MEAT</v>
      </c>
      <c r="E545" t="s">
        <v>573</v>
      </c>
      <c r="F545" t="s">
        <v>1183</v>
      </c>
    </row>
    <row r="546" spans="1:6" x14ac:dyDescent="0.3">
      <c r="A546" t="s">
        <v>1184</v>
      </c>
      <c r="B546" t="str" cm="1">
        <f t="array" ref="B546">_xlfn.XLOOKUP(C546, INDEX([1]!카테고리매핑,,2), INDEX([1]!카테고리매핑,,1), "미등록 카테고리")</f>
        <v>채소/곡물류</v>
      </c>
      <c r="C546" t="s">
        <v>7</v>
      </c>
      <c r="D546" t="str">
        <f>VLOOKUP(C546, '[1]VLOOKUP 함수용 카테고리'!$A$1:$B$59, 2, 0)</f>
        <v>RAW_PRODUCE</v>
      </c>
      <c r="E546" t="s">
        <v>1177</v>
      </c>
    </row>
    <row r="547" spans="1:6" x14ac:dyDescent="0.3">
      <c r="A547" t="s">
        <v>1185</v>
      </c>
      <c r="B547" t="str" cm="1">
        <f t="array" ref="B547">_xlfn.XLOOKUP(C547, INDEX([1]!카테고리매핑,,2), INDEX([1]!카테고리매핑,,1), "미등록 카테고리")</f>
        <v>음료</v>
      </c>
      <c r="C547" t="s">
        <v>23</v>
      </c>
      <c r="D547" t="str">
        <f>VLOOKUP(C547, '[1]VLOOKUP 함수용 카테고리'!$A$1:$B$59, 2, 0)</f>
        <v>BEVERAGE</v>
      </c>
      <c r="E547" t="s">
        <v>288</v>
      </c>
      <c r="F547" t="s">
        <v>1186</v>
      </c>
    </row>
    <row r="548" spans="1:6" x14ac:dyDescent="0.3">
      <c r="A548" t="s">
        <v>1187</v>
      </c>
      <c r="B548" t="str" cm="1">
        <f t="array" ref="B548">_xlfn.XLOOKUP(C548, INDEX([1]!카테고리매핑,,2), INDEX([1]!카테고리매핑,,1), "미등록 카테고리")</f>
        <v>미등록 카테고리</v>
      </c>
      <c r="C548" t="s">
        <v>334</v>
      </c>
      <c r="D548" t="str">
        <f>VLOOKUP(C548, '[1]VLOOKUP 함수용 카테고리'!$A$1:$B$59, 2, 0)</f>
        <v>UNKNOWN</v>
      </c>
      <c r="E548" t="s">
        <v>334</v>
      </c>
      <c r="F548" t="s">
        <v>1188</v>
      </c>
    </row>
    <row r="549" spans="1:6" x14ac:dyDescent="0.3">
      <c r="A549" t="s">
        <v>1189</v>
      </c>
      <c r="B549" t="str" cm="1">
        <f t="array" ref="B549">_xlfn.XLOOKUP(C549, INDEX([1]!카테고리매핑,,2), INDEX([1]!카테고리매핑,,1), "미등록 카테고리")</f>
        <v>조미료</v>
      </c>
      <c r="C549" t="s">
        <v>117</v>
      </c>
      <c r="D549" t="str">
        <f>VLOOKUP(C549, '[1]VLOOKUP 함수용 카테고리'!$A$1:$B$59, 2, 0)</f>
        <v>SAUCE_SEASONING</v>
      </c>
      <c r="E549" t="s">
        <v>1169</v>
      </c>
      <c r="F549" t="s">
        <v>1190</v>
      </c>
    </row>
    <row r="550" spans="1:6" x14ac:dyDescent="0.3">
      <c r="A550" t="s">
        <v>1191</v>
      </c>
      <c r="B550" t="str" cm="1">
        <f t="array" ref="B550">_xlfn.XLOOKUP(C550, INDEX([1]!카테고리매핑,,2), INDEX([1]!카테고리매핑,,1), "미등록 카테고리")</f>
        <v>채소/곡물류</v>
      </c>
      <c r="C550" t="s">
        <v>164</v>
      </c>
      <c r="D550" t="str">
        <f>VLOOKUP(C550, '[1]VLOOKUP 함수용 카테고리'!$A$1:$B$59, 2, 0)</f>
        <v>RAW_PRODUCE</v>
      </c>
      <c r="E550" t="s">
        <v>1192</v>
      </c>
    </row>
    <row r="551" spans="1:6" x14ac:dyDescent="0.3">
      <c r="A551" t="s">
        <v>1194</v>
      </c>
      <c r="B551" t="str" cm="1">
        <f t="array" ref="B551">_xlfn.XLOOKUP(C551, INDEX([1]!카테고리매핑,,2), INDEX([1]!카테고리매핑,,1), "미등록 카테고리")</f>
        <v>상온식품</v>
      </c>
      <c r="C551" t="s">
        <v>769</v>
      </c>
      <c r="D551" t="str">
        <f>VLOOKUP(C551, '[1]VLOOKUP 함수용 카테고리'!$A$1:$B$59, 2, 0)</f>
        <v>GRAIN</v>
      </c>
      <c r="E551" t="s">
        <v>1195</v>
      </c>
      <c r="F551" t="s">
        <v>1196</v>
      </c>
    </row>
    <row r="552" spans="1:6" x14ac:dyDescent="0.3">
      <c r="A552" t="s">
        <v>1197</v>
      </c>
      <c r="B552" t="str" cm="1">
        <f t="array" ref="B552">_xlfn.XLOOKUP(C552, INDEX([1]!카테고리매핑,,2), INDEX([1]!카테고리매핑,,1), "미등록 카테고리")</f>
        <v>조미료</v>
      </c>
      <c r="C552" t="s">
        <v>127</v>
      </c>
      <c r="D552" t="str">
        <f>VLOOKUP(C552, '[1]VLOOKUP 함수용 카테고리'!$A$1:$B$59, 2, 0)</f>
        <v>SAUCE_SEASONING</v>
      </c>
      <c r="E552" t="s">
        <v>1198</v>
      </c>
      <c r="F552" t="s">
        <v>1199</v>
      </c>
    </row>
    <row r="553" spans="1:6" x14ac:dyDescent="0.3">
      <c r="A553" t="s">
        <v>1200</v>
      </c>
      <c r="B553" t="str" cm="1">
        <f t="array" ref="B553">_xlfn.XLOOKUP(C553, INDEX([1]!카테고리매핑,,2), INDEX([1]!카테고리매핑,,1), "미등록 카테고리")</f>
        <v>과일/견과류</v>
      </c>
      <c r="C553" t="s">
        <v>654</v>
      </c>
      <c r="D553" t="str">
        <f>VLOOKUP(C553, '[1]VLOOKUP 함수용 카테고리'!$A$1:$B$59, 2, 0)</f>
        <v>RAW_FRUIT</v>
      </c>
      <c r="E553" t="s">
        <v>1201</v>
      </c>
      <c r="F553" t="s">
        <v>1202</v>
      </c>
    </row>
    <row r="554" spans="1:6" x14ac:dyDescent="0.3">
      <c r="A554" t="s">
        <v>1203</v>
      </c>
      <c r="B554" t="str" cm="1">
        <f t="array" ref="B554">_xlfn.XLOOKUP(C554, INDEX([1]!카테고리매핑,,2), INDEX([1]!카테고리매핑,,1), "미등록 카테고리")</f>
        <v>상온식품</v>
      </c>
      <c r="C554" t="s">
        <v>276</v>
      </c>
      <c r="D554" t="str">
        <f>VLOOKUP(C554, '[1]VLOOKUP 함수용 카테고리'!$A$1:$B$59, 2, 0)</f>
        <v>DRIED_SEAFOOD</v>
      </c>
      <c r="E554" t="s">
        <v>277</v>
      </c>
      <c r="F554" t="s">
        <v>1204</v>
      </c>
    </row>
    <row r="555" spans="1:6" x14ac:dyDescent="0.3">
      <c r="A555" t="s">
        <v>1205</v>
      </c>
      <c r="B555" t="str" cm="1">
        <f t="array" ref="B555">_xlfn.XLOOKUP(C555, INDEX([1]!카테고리매핑,,2), INDEX([1]!카테고리매핑,,1), "미등록 카테고리")</f>
        <v>조미료</v>
      </c>
      <c r="C555" t="s">
        <v>127</v>
      </c>
      <c r="D555" t="str">
        <f>VLOOKUP(C555, '[1]VLOOKUP 함수용 카테고리'!$A$1:$B$59, 2, 0)</f>
        <v>SAUCE_SEASONING</v>
      </c>
      <c r="E555" t="s">
        <v>860</v>
      </c>
      <c r="F555" t="s">
        <v>1206</v>
      </c>
    </row>
    <row r="556" spans="1:6" x14ac:dyDescent="0.3">
      <c r="A556" t="s">
        <v>1207</v>
      </c>
      <c r="B556" t="str" cm="1">
        <f t="array" ref="B556">_xlfn.XLOOKUP(C556, INDEX([1]!카테고리매핑,,2), INDEX([1]!카테고리매핑,,1), "미등록 카테고리")</f>
        <v>음료</v>
      </c>
      <c r="C556" t="s">
        <v>23</v>
      </c>
      <c r="D556" t="str">
        <f>VLOOKUP(C556, '[1]VLOOKUP 함수용 카테고리'!$A$1:$B$59, 2, 0)</f>
        <v>BEVERAGE</v>
      </c>
      <c r="E556" t="s">
        <v>355</v>
      </c>
      <c r="F556" t="s">
        <v>356</v>
      </c>
    </row>
    <row r="557" spans="1:6" x14ac:dyDescent="0.3">
      <c r="A557" t="s">
        <v>1208</v>
      </c>
      <c r="B557" t="str" cm="1">
        <f t="array" ref="B557">_xlfn.XLOOKUP(C557, INDEX([1]!카테고리매핑,,2), INDEX([1]!카테고리매핑,,1), "미등록 카테고리")</f>
        <v>조미료</v>
      </c>
      <c r="C557" t="s">
        <v>117</v>
      </c>
      <c r="D557" t="str">
        <f>VLOOKUP(C557, '[1]VLOOKUP 함수용 카테고리'!$A$1:$B$59, 2, 0)</f>
        <v>SAUCE_SEASONING</v>
      </c>
      <c r="E557" t="s">
        <v>1169</v>
      </c>
      <c r="F557" t="s">
        <v>1190</v>
      </c>
    </row>
    <row r="558" spans="1:6" x14ac:dyDescent="0.3">
      <c r="A558" t="s">
        <v>1209</v>
      </c>
      <c r="B558" t="str" cm="1">
        <f t="array" ref="B558">_xlfn.XLOOKUP(C558, INDEX([1]!카테고리매핑,,2), INDEX([1]!카테고리매핑,,1), "미등록 카테고리")</f>
        <v>수산물</v>
      </c>
      <c r="C558" t="s">
        <v>183</v>
      </c>
      <c r="D558" t="str">
        <f>VLOOKUP(C558, '[1]VLOOKUP 함수용 카테고리'!$A$1:$B$59, 2, 0)</f>
        <v>DRIED_SEAFOOD</v>
      </c>
      <c r="E558" t="s">
        <v>466</v>
      </c>
    </row>
    <row r="559" spans="1:6" x14ac:dyDescent="0.3">
      <c r="A559" t="s">
        <v>1211</v>
      </c>
      <c r="B559" t="str" cm="1">
        <f t="array" ref="B559">_xlfn.XLOOKUP(C559, INDEX([1]!카테고리매핑,,2), INDEX([1]!카테고리매핑,,1), "미등록 카테고리")</f>
        <v>과일/견과류</v>
      </c>
      <c r="C559" t="s">
        <v>1179</v>
      </c>
      <c r="D559" t="str">
        <f>VLOOKUP(C559, '[1]VLOOKUP 함수용 카테고리'!$A$1:$B$59, 2, 0)</f>
        <v>RAW_FRUIT</v>
      </c>
      <c r="E559" t="s">
        <v>1180</v>
      </c>
      <c r="F559" t="s">
        <v>1212</v>
      </c>
    </row>
    <row r="560" spans="1:6" x14ac:dyDescent="0.3">
      <c r="A560" t="s">
        <v>1213</v>
      </c>
      <c r="B560" t="str" cm="1">
        <f t="array" ref="B560">_xlfn.XLOOKUP(C560, INDEX([1]!카테고리매핑,,2), INDEX([1]!카테고리매핑,,1), "미등록 카테고리")</f>
        <v>육류/계란</v>
      </c>
      <c r="C560" t="s">
        <v>149</v>
      </c>
      <c r="D560" t="str">
        <f>VLOOKUP(C560, '[1]VLOOKUP 함수용 카테고리'!$A$1:$B$59, 2, 0)</f>
        <v>RAW_MEAT</v>
      </c>
      <c r="E560" t="s">
        <v>573</v>
      </c>
      <c r="F560" t="s">
        <v>1183</v>
      </c>
    </row>
    <row r="561" spans="1:6" x14ac:dyDescent="0.3">
      <c r="A561" t="s">
        <v>1214</v>
      </c>
      <c r="B561" t="str" cm="1">
        <f t="array" ref="B561">_xlfn.XLOOKUP(C561, INDEX([1]!카테고리매핑,,2), INDEX([1]!카테고리매핑,,1), "미등록 카테고리")</f>
        <v>미등록 카테고리</v>
      </c>
      <c r="C561" t="s">
        <v>334</v>
      </c>
      <c r="D561" t="str">
        <f>VLOOKUP(C561, '[1]VLOOKUP 함수용 카테고리'!$A$1:$B$59, 2, 0)</f>
        <v>UNKNOWN</v>
      </c>
      <c r="E561" t="s">
        <v>334</v>
      </c>
      <c r="F561" t="s">
        <v>1215</v>
      </c>
    </row>
    <row r="562" spans="1:6" x14ac:dyDescent="0.3">
      <c r="A562" t="s">
        <v>1216</v>
      </c>
      <c r="B562" t="str" cm="1">
        <f t="array" ref="B562">_xlfn.XLOOKUP(C562, INDEX([1]!카테고리매핑,,2), INDEX([1]!카테고리매핑,,1), "미등록 카테고리")</f>
        <v>간편식</v>
      </c>
      <c r="C562" t="s">
        <v>46</v>
      </c>
      <c r="D562" t="str">
        <f>VLOOKUP(C562, '[1]VLOOKUP 함수용 카테고리'!$A$1:$B$59, 2, 0)</f>
        <v>RTC_MEAL</v>
      </c>
      <c r="E562" t="s">
        <v>46</v>
      </c>
      <c r="F562" t="s">
        <v>1217</v>
      </c>
    </row>
    <row r="563" spans="1:6" x14ac:dyDescent="0.3">
      <c r="A563" t="s">
        <v>1218</v>
      </c>
      <c r="B563" t="str" cm="1">
        <f t="array" ref="B563">_xlfn.XLOOKUP(C563, INDEX([1]!카테고리매핑,,2), INDEX([1]!카테고리매핑,,1), "미등록 카테고리")</f>
        <v>육류/계란</v>
      </c>
      <c r="C563" t="s">
        <v>298</v>
      </c>
      <c r="D563" t="str">
        <f>VLOOKUP(C563, '[1]VLOOKUP 함수용 카테고리'!$A$1:$B$59, 2, 0)</f>
        <v>RAW_MEAT</v>
      </c>
      <c r="E563" t="s">
        <v>537</v>
      </c>
      <c r="F563" t="s">
        <v>538</v>
      </c>
    </row>
    <row r="564" spans="1:6" x14ac:dyDescent="0.3">
      <c r="A564" t="s">
        <v>1219</v>
      </c>
      <c r="B564" t="str" cm="1">
        <f t="array" ref="B564">_xlfn.XLOOKUP(C564, INDEX([1]!카테고리매핑,,2), INDEX([1]!카테고리매핑,,1), "미등록 카테고리")</f>
        <v>수산물</v>
      </c>
      <c r="C564" t="s">
        <v>229</v>
      </c>
      <c r="D564" t="str">
        <f>VLOOKUP(C564, '[1]VLOOKUP 함수용 카테고리'!$A$1:$B$59, 2, 0)</f>
        <v>RAW_SEAFOOD</v>
      </c>
      <c r="E564" t="s">
        <v>230</v>
      </c>
      <c r="F564" t="s">
        <v>1220</v>
      </c>
    </row>
    <row r="565" spans="1:6" x14ac:dyDescent="0.3">
      <c r="A565" t="s">
        <v>1221</v>
      </c>
      <c r="B565" t="str" cm="1">
        <f t="array" ref="B565">_xlfn.XLOOKUP(C565, INDEX([1]!카테고리매핑,,2), INDEX([1]!카테고리매핑,,1), "미등록 카테고리")</f>
        <v>채소/곡물류</v>
      </c>
      <c r="C565" t="s">
        <v>7</v>
      </c>
      <c r="D565" t="str">
        <f>VLOOKUP(C565, '[1]VLOOKUP 함수용 카테고리'!$A$1:$B$59, 2, 0)</f>
        <v>RAW_PRODUCE</v>
      </c>
      <c r="E565" t="s">
        <v>1222</v>
      </c>
      <c r="F565" t="s">
        <v>114</v>
      </c>
    </row>
    <row r="566" spans="1:6" x14ac:dyDescent="0.3">
      <c r="A566" t="s">
        <v>1223</v>
      </c>
      <c r="B566" t="str" cm="1">
        <f t="array" ref="B566">_xlfn.XLOOKUP(C566, INDEX([1]!카테고리매핑,,2), INDEX([1]!카테고리매핑,,1), "미등록 카테고리")</f>
        <v>조미료</v>
      </c>
      <c r="C566" t="s">
        <v>84</v>
      </c>
      <c r="D566" t="str">
        <f>VLOOKUP(C566, '[1]VLOOKUP 함수용 카테고리'!$A$1:$B$59, 2, 0)</f>
        <v>SAUCE_SEASONING</v>
      </c>
      <c r="E566" t="s">
        <v>85</v>
      </c>
      <c r="F566" t="s">
        <v>1224</v>
      </c>
    </row>
    <row r="567" spans="1:6" x14ac:dyDescent="0.3">
      <c r="A567" t="s">
        <v>1225</v>
      </c>
      <c r="B567" t="str" cm="1">
        <f t="array" ref="B567">_xlfn.XLOOKUP(C567, INDEX([1]!카테고리매핑,,2), INDEX([1]!카테고리매핑,,1), "미등록 카테고리")</f>
        <v>채소/곡물류</v>
      </c>
      <c r="C567" t="s">
        <v>301</v>
      </c>
      <c r="D567" t="str">
        <f>VLOOKUP(C567, '[1]VLOOKUP 함수용 카테고리'!$A$1:$B$59, 2, 0)</f>
        <v>GRAIN</v>
      </c>
      <c r="E567" t="s">
        <v>611</v>
      </c>
    </row>
    <row r="568" spans="1:6" x14ac:dyDescent="0.3">
      <c r="A568" t="s">
        <v>1226</v>
      </c>
      <c r="B568" t="str" cm="1">
        <f t="array" ref="B568">_xlfn.XLOOKUP(C568, INDEX([1]!카테고리매핑,,2), INDEX([1]!카테고리매핑,,1), "미등록 카테고리")</f>
        <v>술</v>
      </c>
      <c r="C568" t="s">
        <v>56</v>
      </c>
      <c r="D568" t="str">
        <f>VLOOKUP(C568, '[1]VLOOKUP 함수용 카테고리'!$A$1:$B$59, 2, 0)</f>
        <v>ALCOHOL</v>
      </c>
      <c r="E568" t="s">
        <v>505</v>
      </c>
    </row>
    <row r="569" spans="1:6" x14ac:dyDescent="0.3">
      <c r="A569" t="s">
        <v>1227</v>
      </c>
      <c r="B569" t="str" cm="1">
        <f t="array" ref="B569">_xlfn.XLOOKUP(C569, INDEX([1]!카테고리매핑,,2), INDEX([1]!카테고리매핑,,1), "미등록 카테고리")</f>
        <v>수산물</v>
      </c>
      <c r="C569" t="s">
        <v>203</v>
      </c>
      <c r="D569" t="str">
        <f>VLOOKUP(C569, '[1]VLOOKUP 함수용 카테고리'!$A$1:$B$59, 2, 0)</f>
        <v>RAW_SEAFOOD</v>
      </c>
      <c r="E569" t="s">
        <v>1228</v>
      </c>
      <c r="F569" t="s">
        <v>1229</v>
      </c>
    </row>
    <row r="570" spans="1:6" x14ac:dyDescent="0.3">
      <c r="A570" t="s">
        <v>1230</v>
      </c>
      <c r="B570" t="str" cm="1">
        <f t="array" ref="B570">_xlfn.XLOOKUP(C570, INDEX([1]!카테고리매핑,,2), INDEX([1]!카테고리매핑,,1), "미등록 카테고리")</f>
        <v>간식류</v>
      </c>
      <c r="C570" t="s">
        <v>11</v>
      </c>
      <c r="D570" t="str">
        <f>VLOOKUP(C570, '[1]VLOOKUP 함수용 카테고리'!$A$1:$B$59, 2, 0)</f>
        <v>SNACK</v>
      </c>
      <c r="E570" t="s">
        <v>371</v>
      </c>
      <c r="F570" t="s">
        <v>1231</v>
      </c>
    </row>
    <row r="571" spans="1:6" x14ac:dyDescent="0.3">
      <c r="A571" t="s">
        <v>1232</v>
      </c>
      <c r="B571" t="str" cm="1">
        <f t="array" ref="B571">_xlfn.XLOOKUP(C571, INDEX([1]!카테고리매핑,,2), INDEX([1]!카테고리매핑,,1), "미등록 카테고리")</f>
        <v>간편식</v>
      </c>
      <c r="C571" t="s">
        <v>131</v>
      </c>
      <c r="D571" t="str">
        <f>VLOOKUP(C571, '[1]VLOOKUP 함수용 카테고리'!$A$1:$B$59, 2, 0)</f>
        <v>SIMPLE_PROCESSED</v>
      </c>
      <c r="E571" t="s">
        <v>7669</v>
      </c>
      <c r="F571" t="s">
        <v>133</v>
      </c>
    </row>
    <row r="572" spans="1:6" x14ac:dyDescent="0.3">
      <c r="A572" t="s">
        <v>1233</v>
      </c>
      <c r="B572" t="str" cm="1">
        <f t="array" ref="B572">_xlfn.XLOOKUP(C572, INDEX([1]!카테고리매핑,,2), INDEX([1]!카테고리매핑,,1), "미등록 카테고리")</f>
        <v>채소/곡물류</v>
      </c>
      <c r="C572" t="s">
        <v>7</v>
      </c>
      <c r="D572" t="str">
        <f>VLOOKUP(C572, '[1]VLOOKUP 함수용 카테고리'!$A$1:$B$59, 2, 0)</f>
        <v>RAW_PRODUCE</v>
      </c>
      <c r="E572" t="s">
        <v>405</v>
      </c>
      <c r="F572" t="s">
        <v>419</v>
      </c>
    </row>
    <row r="573" spans="1:6" x14ac:dyDescent="0.3">
      <c r="A573" t="s">
        <v>1234</v>
      </c>
      <c r="B573" t="str" cm="1">
        <f t="array" ref="B573">_xlfn.XLOOKUP(C573, INDEX([1]!카테고리매핑,,2), INDEX([1]!카테고리매핑,,1), "미등록 카테고리")</f>
        <v>상온식품</v>
      </c>
      <c r="C573" t="s">
        <v>769</v>
      </c>
      <c r="D573" t="str">
        <f>VLOOKUP(C573, '[1]VLOOKUP 함수용 카테고리'!$A$1:$B$59, 2, 0)</f>
        <v>GRAIN</v>
      </c>
      <c r="E573" t="s">
        <v>1235</v>
      </c>
    </row>
    <row r="574" spans="1:6" x14ac:dyDescent="0.3">
      <c r="A574" t="s">
        <v>1236</v>
      </c>
      <c r="B574" t="str" cm="1">
        <f t="array" ref="B574">_xlfn.XLOOKUP(C574, INDEX([1]!카테고리매핑,,2), INDEX([1]!카테고리매핑,,1), "미등록 카테고리")</f>
        <v>술</v>
      </c>
      <c r="C574" t="s">
        <v>974</v>
      </c>
      <c r="D574" t="str">
        <f>VLOOKUP(C574, '[1]VLOOKUP 함수용 카테고리'!$A$1:$B$59, 2, 0)</f>
        <v>ALCOHOL</v>
      </c>
      <c r="E574" t="s">
        <v>974</v>
      </c>
      <c r="F574" t="s">
        <v>975</v>
      </c>
    </row>
    <row r="575" spans="1:6" x14ac:dyDescent="0.3">
      <c r="A575" t="s">
        <v>1237</v>
      </c>
      <c r="B575" t="str" cm="1">
        <f t="array" ref="B575">_xlfn.XLOOKUP(C575, INDEX([1]!카테고리매핑,,2), INDEX([1]!카테고리매핑,,1), "미등록 카테고리")</f>
        <v>과일/견과류</v>
      </c>
      <c r="C575" t="s">
        <v>1179</v>
      </c>
      <c r="D575" t="str">
        <f>VLOOKUP(C575, '[1]VLOOKUP 함수용 카테고리'!$A$1:$B$59, 2, 0)</f>
        <v>RAW_FRUIT</v>
      </c>
      <c r="E575" t="s">
        <v>1238</v>
      </c>
      <c r="F575" t="s">
        <v>1212</v>
      </c>
    </row>
    <row r="576" spans="1:6" x14ac:dyDescent="0.3">
      <c r="A576" t="s">
        <v>1239</v>
      </c>
      <c r="B576" t="str" cm="1">
        <f t="array" ref="B576">_xlfn.XLOOKUP(C576, INDEX([1]!카테고리매핑,,2), INDEX([1]!카테고리매핑,,1), "미등록 카테고리")</f>
        <v>미등록 카테고리</v>
      </c>
      <c r="C576" t="s">
        <v>334</v>
      </c>
      <c r="D576" t="str">
        <f>VLOOKUP(C576, '[1]VLOOKUP 함수용 카테고리'!$A$1:$B$59, 2, 0)</f>
        <v>UNKNOWN</v>
      </c>
      <c r="E576" t="s">
        <v>334</v>
      </c>
      <c r="F576" t="s">
        <v>1240</v>
      </c>
    </row>
    <row r="577" spans="1:6" x14ac:dyDescent="0.3">
      <c r="A577" t="s">
        <v>1241</v>
      </c>
      <c r="B577" t="str" cm="1">
        <f t="array" ref="B577">_xlfn.XLOOKUP(C577, INDEX([1]!카테고리매핑,,2), INDEX([1]!카테고리매핑,,1), "미등록 카테고리")</f>
        <v>상온식품</v>
      </c>
      <c r="C577" t="s">
        <v>769</v>
      </c>
      <c r="D577" t="str">
        <f>VLOOKUP(C577, '[1]VLOOKUP 함수용 카테고리'!$A$1:$B$59, 2, 0)</f>
        <v>GRAIN</v>
      </c>
      <c r="E577" t="s">
        <v>770</v>
      </c>
    </row>
    <row r="578" spans="1:6" x14ac:dyDescent="0.3">
      <c r="A578" t="s">
        <v>1242</v>
      </c>
      <c r="B578" t="str" cm="1">
        <f t="array" ref="B578">_xlfn.XLOOKUP(C578, INDEX([1]!카테고리매핑,,2), INDEX([1]!카테고리매핑,,1), "미등록 카테고리")</f>
        <v>조미료</v>
      </c>
      <c r="C578" t="s">
        <v>83</v>
      </c>
      <c r="D578" t="str">
        <f>VLOOKUP(C578, '[1]VLOOKUP 함수용 카테고리'!$A$1:$B$59, 2, 0)</f>
        <v>SAUCE_SEASONING</v>
      </c>
      <c r="E578" t="s">
        <v>1165</v>
      </c>
      <c r="F578" t="s">
        <v>646</v>
      </c>
    </row>
    <row r="579" spans="1:6" x14ac:dyDescent="0.3">
      <c r="A579" t="s">
        <v>1243</v>
      </c>
      <c r="B579" t="str" cm="1">
        <f t="array" ref="B579">_xlfn.XLOOKUP(C579, INDEX([1]!카테고리매핑,,2), INDEX([1]!카테고리매핑,,1), "미등록 카테고리")</f>
        <v>수산물</v>
      </c>
      <c r="C579" t="s">
        <v>140</v>
      </c>
      <c r="D579" t="str">
        <f>VLOOKUP(C579, '[1]VLOOKUP 함수용 카테고리'!$A$1:$B$59, 2, 0)</f>
        <v>SIMPLE_PROCESSED</v>
      </c>
      <c r="E579" t="s">
        <v>141</v>
      </c>
      <c r="F579" t="s">
        <v>1244</v>
      </c>
    </row>
    <row r="580" spans="1:6" x14ac:dyDescent="0.3">
      <c r="A580" t="s">
        <v>1245</v>
      </c>
      <c r="B580" t="str" cm="1">
        <f t="array" ref="B580">_xlfn.XLOOKUP(C580, INDEX([1]!카테고리매핑,,2), INDEX([1]!카테고리매핑,,1), "미등록 카테고리")</f>
        <v>상온식품</v>
      </c>
      <c r="C580" t="s">
        <v>276</v>
      </c>
      <c r="D580" t="str">
        <f>VLOOKUP(C580, '[1]VLOOKUP 함수용 카테고리'!$A$1:$B$59, 2, 0)</f>
        <v>DRIED_SEAFOOD</v>
      </c>
      <c r="E580" t="s">
        <v>277</v>
      </c>
      <c r="F580" t="s">
        <v>1246</v>
      </c>
    </row>
    <row r="581" spans="1:6" x14ac:dyDescent="0.3">
      <c r="A581" t="s">
        <v>1247</v>
      </c>
      <c r="B581" t="str" cm="1">
        <f t="array" ref="B581">_xlfn.XLOOKUP(C581, INDEX([1]!카테고리매핑,,2), INDEX([1]!카테고리매핑,,1), "미등록 카테고리")</f>
        <v>육류/계란</v>
      </c>
      <c r="C581" t="s">
        <v>298</v>
      </c>
      <c r="D581" t="str">
        <f>VLOOKUP(C581, '[1]VLOOKUP 함수용 카테고리'!$A$1:$B$59, 2, 0)</f>
        <v>RAW_MEAT</v>
      </c>
      <c r="E581" t="s">
        <v>751</v>
      </c>
      <c r="F581" t="s">
        <v>1248</v>
      </c>
    </row>
    <row r="582" spans="1:6" x14ac:dyDescent="0.3">
      <c r="A582" t="s">
        <v>1249</v>
      </c>
      <c r="B582" t="str" cm="1">
        <f t="array" ref="B582">_xlfn.XLOOKUP(C582, INDEX([1]!카테고리매핑,,2), INDEX([1]!카테고리매핑,,1), "미등록 카테고리")</f>
        <v>간편식</v>
      </c>
      <c r="C582" t="s">
        <v>131</v>
      </c>
      <c r="D582" t="str">
        <f>VLOOKUP(C582, '[1]VLOOKUP 함수용 카테고리'!$A$1:$B$59, 2, 0)</f>
        <v>SIMPLE_PROCESSED</v>
      </c>
      <c r="E582" t="s">
        <v>132</v>
      </c>
      <c r="F582" t="s">
        <v>7712</v>
      </c>
    </row>
    <row r="583" spans="1:6" x14ac:dyDescent="0.3">
      <c r="A583" t="s">
        <v>1250</v>
      </c>
      <c r="B583" t="str" cm="1">
        <f t="array" ref="B583">_xlfn.XLOOKUP(C583, INDEX([1]!카테고리매핑,,2), INDEX([1]!카테고리매핑,,1), "미등록 카테고리")</f>
        <v>조미료</v>
      </c>
      <c r="C583" t="s">
        <v>127</v>
      </c>
      <c r="D583" t="str">
        <f>VLOOKUP(C583, '[1]VLOOKUP 함수용 카테고리'!$A$1:$B$59, 2, 0)</f>
        <v>SAUCE_SEASONING</v>
      </c>
      <c r="E583" t="s">
        <v>1251</v>
      </c>
      <c r="F583" t="s">
        <v>1252</v>
      </c>
    </row>
    <row r="584" spans="1:6" x14ac:dyDescent="0.3">
      <c r="A584" t="s">
        <v>1253</v>
      </c>
      <c r="B584" t="str" cm="1">
        <f t="array" ref="B584">_xlfn.XLOOKUP(C584, INDEX([1]!카테고리매핑,,2), INDEX([1]!카테고리매핑,,1), "미등록 카테고리")</f>
        <v>간편식</v>
      </c>
      <c r="C584" t="s">
        <v>46</v>
      </c>
      <c r="D584" t="str">
        <f>VLOOKUP(C584, '[1]VLOOKUP 함수용 카테고리'!$A$1:$B$59, 2, 0)</f>
        <v>RTC_MEAL</v>
      </c>
      <c r="E584" t="s">
        <v>46</v>
      </c>
      <c r="F584" t="s">
        <v>1152</v>
      </c>
    </row>
    <row r="585" spans="1:6" x14ac:dyDescent="0.3">
      <c r="A585" t="s">
        <v>1254</v>
      </c>
      <c r="B585" t="str" cm="1">
        <f t="array" ref="B585">_xlfn.XLOOKUP(C585, INDEX([1]!카테고리매핑,,2), INDEX([1]!카테고리매핑,,1), "미등록 카테고리")</f>
        <v>상온식품</v>
      </c>
      <c r="C585" t="s">
        <v>769</v>
      </c>
      <c r="D585" t="str">
        <f>VLOOKUP(C585, '[1]VLOOKUP 함수용 카테고리'!$A$1:$B$59, 2, 0)</f>
        <v>GRAIN</v>
      </c>
      <c r="E585" t="s">
        <v>770</v>
      </c>
      <c r="F585" t="s">
        <v>1255</v>
      </c>
    </row>
    <row r="586" spans="1:6" x14ac:dyDescent="0.3">
      <c r="A586" t="s">
        <v>1256</v>
      </c>
      <c r="B586" t="str" cm="1">
        <f t="array" ref="B586">_xlfn.XLOOKUP(C586, INDEX([1]!카테고리매핑,,2), INDEX([1]!카테고리매핑,,1), "미등록 카테고리")</f>
        <v>음료</v>
      </c>
      <c r="C586" t="s">
        <v>584</v>
      </c>
      <c r="D586" t="str">
        <f>VLOOKUP(C586, '[1]VLOOKUP 함수용 카테고리'!$A$1:$B$59, 2, 0)</f>
        <v>BEVERAGE</v>
      </c>
      <c r="E586" t="s">
        <v>1257</v>
      </c>
      <c r="F586" t="s">
        <v>1258</v>
      </c>
    </row>
    <row r="587" spans="1:6" x14ac:dyDescent="0.3">
      <c r="A587" t="s">
        <v>1259</v>
      </c>
      <c r="B587" t="str" cm="1">
        <f t="array" ref="B587">_xlfn.XLOOKUP(C587, INDEX([1]!카테고리매핑,,2), INDEX([1]!카테고리매핑,,1), "미등록 카테고리")</f>
        <v>채소/곡물류</v>
      </c>
      <c r="C587" t="s">
        <v>7</v>
      </c>
      <c r="D587" t="str">
        <f>VLOOKUP(C587, '[1]VLOOKUP 함수용 카테고리'!$A$1:$B$59, 2, 0)</f>
        <v>RAW_PRODUCE</v>
      </c>
      <c r="E587" t="s">
        <v>566</v>
      </c>
      <c r="F587" t="s">
        <v>941</v>
      </c>
    </row>
    <row r="588" spans="1:6" x14ac:dyDescent="0.3">
      <c r="A588" t="s">
        <v>1260</v>
      </c>
      <c r="B588" t="str" cm="1">
        <f t="array" ref="B588">_xlfn.XLOOKUP(C588, INDEX([1]!카테고리매핑,,2), INDEX([1]!카테고리매핑,,1), "미등록 카테고리")</f>
        <v>간식류</v>
      </c>
      <c r="C588" t="s">
        <v>11</v>
      </c>
      <c r="D588" t="str">
        <f>VLOOKUP(C588, '[1]VLOOKUP 함수용 카테고리'!$A$1:$B$59, 2, 0)</f>
        <v>SNACK</v>
      </c>
      <c r="E588" t="s">
        <v>1261</v>
      </c>
      <c r="F588" t="s">
        <v>54</v>
      </c>
    </row>
    <row r="589" spans="1:6" x14ac:dyDescent="0.3">
      <c r="A589" t="s">
        <v>1262</v>
      </c>
      <c r="B589" t="str" cm="1">
        <f t="array" ref="B589">_xlfn.XLOOKUP(C589, INDEX([1]!카테고리매핑,,2), INDEX([1]!카테고리매핑,,1), "미등록 카테고리")</f>
        <v>조미료</v>
      </c>
      <c r="C589" t="s">
        <v>127</v>
      </c>
      <c r="D589" t="str">
        <f>VLOOKUP(C589, '[1]VLOOKUP 함수용 카테고리'!$A$1:$B$59, 2, 0)</f>
        <v>SAUCE_SEASONING</v>
      </c>
      <c r="E589" t="s">
        <v>1263</v>
      </c>
      <c r="F589" t="s">
        <v>1264</v>
      </c>
    </row>
    <row r="590" spans="1:6" x14ac:dyDescent="0.3">
      <c r="A590" t="s">
        <v>1265</v>
      </c>
      <c r="B590" t="str" cm="1">
        <f t="array" ref="B590">_xlfn.XLOOKUP(C590, INDEX([1]!카테고리매핑,,2), INDEX([1]!카테고리매핑,,1), "미등록 카테고리")</f>
        <v>간편식</v>
      </c>
      <c r="C590" t="s">
        <v>131</v>
      </c>
      <c r="D590" t="str">
        <f>VLOOKUP(C590, '[1]VLOOKUP 함수용 카테고리'!$A$1:$B$59, 2, 0)</f>
        <v>SIMPLE_PROCESSED</v>
      </c>
      <c r="E590" t="s">
        <v>1266</v>
      </c>
      <c r="F590" t="s">
        <v>541</v>
      </c>
    </row>
    <row r="591" spans="1:6" x14ac:dyDescent="0.3">
      <c r="A591" t="s">
        <v>1267</v>
      </c>
      <c r="B591" t="str" cm="1">
        <f t="array" ref="B591">_xlfn.XLOOKUP(C591, INDEX([1]!카테고리매핑,,2), INDEX([1]!카테고리매핑,,1), "미등록 카테고리")</f>
        <v>수산물</v>
      </c>
      <c r="C591" t="s">
        <v>101</v>
      </c>
      <c r="D591" t="str">
        <f>VLOOKUP(C591, '[1]VLOOKUP 함수용 카테고리'!$A$1:$B$59, 2, 0)</f>
        <v>DRIED_SEAFOOD</v>
      </c>
      <c r="E591" t="s">
        <v>693</v>
      </c>
      <c r="F591" t="s">
        <v>7713</v>
      </c>
    </row>
    <row r="592" spans="1:6" x14ac:dyDescent="0.3">
      <c r="A592" t="s">
        <v>1268</v>
      </c>
      <c r="B592" t="str" cm="1">
        <f t="array" ref="B592">_xlfn.XLOOKUP(C592, INDEX([1]!카테고리매핑,,2), INDEX([1]!카테고리매핑,,1), "미등록 카테고리")</f>
        <v>육류/계란</v>
      </c>
      <c r="C592" t="s">
        <v>105</v>
      </c>
      <c r="D592" t="str">
        <f>VLOOKUP(C592, '[1]VLOOKUP 함수용 카테고리'!$A$1:$B$59, 2, 0)</f>
        <v>RAW_MEAT</v>
      </c>
      <c r="E592" t="s">
        <v>106</v>
      </c>
      <c r="F592" t="s">
        <v>350</v>
      </c>
    </row>
    <row r="593" spans="1:6" x14ac:dyDescent="0.3">
      <c r="A593" t="s">
        <v>1269</v>
      </c>
      <c r="B593" t="str" cm="1">
        <f t="array" ref="B593">_xlfn.XLOOKUP(C593, INDEX([1]!카테고리매핑,,2), INDEX([1]!카테고리매핑,,1), "미등록 카테고리")</f>
        <v>간식류</v>
      </c>
      <c r="C593" t="s">
        <v>15</v>
      </c>
      <c r="D593" t="str">
        <f>VLOOKUP(C593, '[1]VLOOKUP 함수용 카테고리'!$A$1:$B$59, 2, 0)</f>
        <v>BAKERY</v>
      </c>
      <c r="E593" t="s">
        <v>53</v>
      </c>
      <c r="F593" t="s">
        <v>1270</v>
      </c>
    </row>
    <row r="594" spans="1:6" x14ac:dyDescent="0.3">
      <c r="A594" t="s">
        <v>1271</v>
      </c>
      <c r="B594" t="str" cm="1">
        <f t="array" ref="B594">_xlfn.XLOOKUP(C594, INDEX([1]!카테고리매핑,,2), INDEX([1]!카테고리매핑,,1), "미등록 카테고리")</f>
        <v>채소/곡물류</v>
      </c>
      <c r="C594" t="s">
        <v>7</v>
      </c>
      <c r="D594" t="str">
        <f>VLOOKUP(C594, '[1]VLOOKUP 함수용 카테고리'!$A$1:$B$59, 2, 0)</f>
        <v>RAW_PRODUCE</v>
      </c>
      <c r="E594" t="s">
        <v>566</v>
      </c>
    </row>
    <row r="595" spans="1:6" x14ac:dyDescent="0.3">
      <c r="A595" t="s">
        <v>1272</v>
      </c>
      <c r="B595" t="str" cm="1">
        <f t="array" ref="B595">_xlfn.XLOOKUP(C595, INDEX([1]!카테고리매핑,,2), INDEX([1]!카테고리매핑,,1), "미등록 카테고리")</f>
        <v>육류/계란</v>
      </c>
      <c r="C595" t="s">
        <v>428</v>
      </c>
      <c r="D595" t="str">
        <f>VLOOKUP(C595, '[1]VLOOKUP 함수용 카테고리'!$A$1:$B$59, 2, 0)</f>
        <v>PROCESSED_MEAT</v>
      </c>
      <c r="E595" t="s">
        <v>790</v>
      </c>
      <c r="F595" t="s">
        <v>1273</v>
      </c>
    </row>
    <row r="596" spans="1:6" x14ac:dyDescent="0.3">
      <c r="A596" t="s">
        <v>1274</v>
      </c>
      <c r="B596" t="str" cm="1">
        <f t="array" ref="B596">_xlfn.XLOOKUP(C596, INDEX([1]!카테고리매핑,,2), INDEX([1]!카테고리매핑,,1), "미등록 카테고리")</f>
        <v>간식류</v>
      </c>
      <c r="C596" t="s">
        <v>109</v>
      </c>
      <c r="D596" t="str">
        <f>VLOOKUP(C596, '[1]VLOOKUP 함수용 카테고리'!$A$1:$B$59, 2, 0)</f>
        <v>SNACK</v>
      </c>
      <c r="E596" t="s">
        <v>217</v>
      </c>
      <c r="F596" t="s">
        <v>1275</v>
      </c>
    </row>
    <row r="597" spans="1:6" x14ac:dyDescent="0.3">
      <c r="A597" t="s">
        <v>1276</v>
      </c>
      <c r="B597" t="str" cm="1">
        <f t="array" ref="B597">_xlfn.XLOOKUP(C597, INDEX([1]!카테고리매핑,,2), INDEX([1]!카테고리매핑,,1), "미등록 카테고리")</f>
        <v>과일/견과류</v>
      </c>
      <c r="C597" t="s">
        <v>1179</v>
      </c>
      <c r="D597" t="str">
        <f>VLOOKUP(C597, '[1]VLOOKUP 함수용 카테고리'!$A$1:$B$59, 2, 0)</f>
        <v>RAW_FRUIT</v>
      </c>
      <c r="E597" t="s">
        <v>1180</v>
      </c>
      <c r="F597" t="s">
        <v>1212</v>
      </c>
    </row>
    <row r="598" spans="1:6" x14ac:dyDescent="0.3">
      <c r="A598" t="s">
        <v>1277</v>
      </c>
      <c r="B598" t="str" cm="1">
        <f t="array" ref="B598">_xlfn.XLOOKUP(C598, INDEX([1]!카테고리매핑,,2), INDEX([1]!카테고리매핑,,1), "미등록 카테고리")</f>
        <v>간편식</v>
      </c>
      <c r="C598" t="s">
        <v>19</v>
      </c>
      <c r="D598" t="str">
        <f>VLOOKUP(C598, '[1]VLOOKUP 함수용 카테고리'!$A$1:$B$59, 2, 0)</f>
        <v>FROZEN_MEAL</v>
      </c>
      <c r="E598" t="s">
        <v>1163</v>
      </c>
      <c r="F598" t="s">
        <v>36</v>
      </c>
    </row>
    <row r="599" spans="1:6" x14ac:dyDescent="0.3">
      <c r="A599" t="s">
        <v>1278</v>
      </c>
      <c r="B599" t="str" cm="1">
        <f t="array" ref="B599">_xlfn.XLOOKUP(C599, INDEX([1]!카테고리매핑,,2), INDEX([1]!카테고리매핑,,1), "미등록 카테고리")</f>
        <v>미등록 카테고리</v>
      </c>
      <c r="C599" t="s">
        <v>334</v>
      </c>
      <c r="D599" t="str">
        <f>VLOOKUP(C599, '[1]VLOOKUP 함수용 카테고리'!$A$1:$B$59, 2, 0)</f>
        <v>UNKNOWN</v>
      </c>
      <c r="E599" t="s">
        <v>334</v>
      </c>
      <c r="F599" t="s">
        <v>629</v>
      </c>
    </row>
    <row r="600" spans="1:6" x14ac:dyDescent="0.3">
      <c r="A600" t="s">
        <v>1279</v>
      </c>
      <c r="B600" t="str" cm="1">
        <f t="array" ref="B600">_xlfn.XLOOKUP(C600, INDEX([1]!카테고리매핑,,2), INDEX([1]!카테고리매핑,,1), "미등록 카테고리")</f>
        <v>술</v>
      </c>
      <c r="C600" t="s">
        <v>42</v>
      </c>
      <c r="D600" t="str">
        <f>VLOOKUP(C600, '[1]VLOOKUP 함수용 카테고리'!$A$1:$B$59, 2, 0)</f>
        <v>ALCOHOL</v>
      </c>
      <c r="E600" t="s">
        <v>43</v>
      </c>
    </row>
    <row r="601" spans="1:6" x14ac:dyDescent="0.3">
      <c r="A601" t="s">
        <v>1280</v>
      </c>
      <c r="B601" t="str" cm="1">
        <f t="array" ref="B601">_xlfn.XLOOKUP(C601, INDEX([1]!카테고리매핑,,2), INDEX([1]!카테고리매핑,,1), "미등록 카테고리")</f>
        <v>음료</v>
      </c>
      <c r="C601" t="s">
        <v>23</v>
      </c>
      <c r="D601" t="str">
        <f>VLOOKUP(C601, '[1]VLOOKUP 함수용 카테고리'!$A$1:$B$59, 2, 0)</f>
        <v>BEVERAGE</v>
      </c>
      <c r="E601" t="s">
        <v>288</v>
      </c>
      <c r="F601" t="s">
        <v>1281</v>
      </c>
    </row>
    <row r="602" spans="1:6" x14ac:dyDescent="0.3">
      <c r="A602" t="s">
        <v>1282</v>
      </c>
      <c r="B602" t="str" cm="1">
        <f t="array" ref="B602">_xlfn.XLOOKUP(C602, INDEX([1]!카테고리매핑,,2), INDEX([1]!카테고리매핑,,1), "미등록 카테고리")</f>
        <v>채소/곡물류</v>
      </c>
      <c r="C602" t="s">
        <v>301</v>
      </c>
      <c r="D602" t="str">
        <f>VLOOKUP(C602, '[1]VLOOKUP 함수용 카테고리'!$A$1:$B$59, 2, 0)</f>
        <v>GRAIN</v>
      </c>
      <c r="E602" t="s">
        <v>611</v>
      </c>
      <c r="F602" t="s">
        <v>1283</v>
      </c>
    </row>
    <row r="603" spans="1:6" x14ac:dyDescent="0.3">
      <c r="A603" t="s">
        <v>1284</v>
      </c>
      <c r="B603" t="str" cm="1">
        <f t="array" ref="B603">_xlfn.XLOOKUP(C603, INDEX([1]!카테고리매핑,,2), INDEX([1]!카테고리매핑,,1), "미등록 카테고리")</f>
        <v>육류/계란</v>
      </c>
      <c r="C603" t="s">
        <v>34</v>
      </c>
      <c r="D603" t="str">
        <f>VLOOKUP(C603, '[1]VLOOKUP 함수용 카테고리'!$A$1:$B$59, 2, 0)</f>
        <v>RAW_MEAT</v>
      </c>
      <c r="E603" t="s">
        <v>35</v>
      </c>
      <c r="F603" t="s">
        <v>1285</v>
      </c>
    </row>
    <row r="604" spans="1:6" x14ac:dyDescent="0.3">
      <c r="A604" t="s">
        <v>1286</v>
      </c>
      <c r="B604" t="str" cm="1">
        <f t="array" ref="B604">_xlfn.XLOOKUP(C604, INDEX([1]!카테고리매핑,,2), INDEX([1]!카테고리매핑,,1), "미등록 카테고리")</f>
        <v>간식류</v>
      </c>
      <c r="C604" t="s">
        <v>15</v>
      </c>
      <c r="D604" t="str">
        <f>VLOOKUP(C604, '[1]VLOOKUP 함수용 카테고리'!$A$1:$B$59, 2, 0)</f>
        <v>BAKERY</v>
      </c>
      <c r="E604" t="s">
        <v>200</v>
      </c>
      <c r="F604" t="s">
        <v>1287</v>
      </c>
    </row>
    <row r="605" spans="1:6" x14ac:dyDescent="0.3">
      <c r="A605" t="s">
        <v>1288</v>
      </c>
      <c r="B605" t="str" cm="1">
        <f t="array" ref="B605">_xlfn.XLOOKUP(C605, INDEX([1]!카테고리매핑,,2), INDEX([1]!카테고리매핑,,1), "미등록 카테고리")</f>
        <v>유제품</v>
      </c>
      <c r="C605" t="s">
        <v>123</v>
      </c>
      <c r="D605" t="str">
        <f>VLOOKUP(C605, '[1]VLOOKUP 함수용 카테고리'!$A$1:$B$59, 2, 0)</f>
        <v>DAIRY</v>
      </c>
      <c r="E605" t="s">
        <v>239</v>
      </c>
      <c r="F605" t="s">
        <v>1289</v>
      </c>
    </row>
    <row r="606" spans="1:6" x14ac:dyDescent="0.3">
      <c r="A606" t="s">
        <v>1290</v>
      </c>
      <c r="B606" t="str" cm="1">
        <f t="array" ref="B606">_xlfn.XLOOKUP(C606, INDEX([1]!카테고리매핑,,2), INDEX([1]!카테고리매핑,,1), "미등록 카테고리")</f>
        <v>간식류</v>
      </c>
      <c r="C606" t="s">
        <v>38</v>
      </c>
      <c r="D606" t="str">
        <f>VLOOKUP(C606, '[1]VLOOKUP 함수용 카테고리'!$A$1:$B$59, 2, 0)</f>
        <v>SNACK</v>
      </c>
      <c r="E606" t="s">
        <v>1291</v>
      </c>
      <c r="F606" t="s">
        <v>1292</v>
      </c>
    </row>
    <row r="607" spans="1:6" x14ac:dyDescent="0.3">
      <c r="A607" t="s">
        <v>1293</v>
      </c>
      <c r="B607" t="str" cm="1">
        <f t="array" ref="B607">_xlfn.XLOOKUP(C607, INDEX([1]!카테고리매핑,,2), INDEX([1]!카테고리매핑,,1), "미등록 카테고리")</f>
        <v>간편식</v>
      </c>
      <c r="C607" t="s">
        <v>46</v>
      </c>
      <c r="D607" t="str">
        <f>VLOOKUP(C607, '[1]VLOOKUP 함수용 카테고리'!$A$1:$B$59, 2, 0)</f>
        <v>RTC_MEAL</v>
      </c>
      <c r="E607" t="s">
        <v>46</v>
      </c>
      <c r="F607" t="s">
        <v>1294</v>
      </c>
    </row>
    <row r="608" spans="1:6" x14ac:dyDescent="0.3">
      <c r="A608" t="s">
        <v>1295</v>
      </c>
      <c r="B608" t="str" cm="1">
        <f t="array" ref="B608">_xlfn.XLOOKUP(C608, INDEX([1]!카테고리매핑,,2), INDEX([1]!카테고리매핑,,1), "미등록 카테고리")</f>
        <v>상온식품</v>
      </c>
      <c r="C608" t="s">
        <v>769</v>
      </c>
      <c r="D608" t="str">
        <f>VLOOKUP(C608, '[1]VLOOKUP 함수용 카테고리'!$A$1:$B$59, 2, 0)</f>
        <v>GRAIN</v>
      </c>
      <c r="E608" t="s">
        <v>1296</v>
      </c>
      <c r="F608" t="s">
        <v>32</v>
      </c>
    </row>
    <row r="609" spans="1:6" x14ac:dyDescent="0.3">
      <c r="A609" t="s">
        <v>1297</v>
      </c>
      <c r="B609" t="str" cm="1">
        <f t="array" ref="B609">_xlfn.XLOOKUP(C609, INDEX([1]!카테고리매핑,,2), INDEX([1]!카테고리매핑,,1), "미등록 카테고리")</f>
        <v>조미료</v>
      </c>
      <c r="C609" t="s">
        <v>83</v>
      </c>
      <c r="D609" t="str">
        <f>VLOOKUP(C609, '[1]VLOOKUP 함수용 카테고리'!$A$1:$B$59, 2, 0)</f>
        <v>SAUCE_SEASONING</v>
      </c>
      <c r="E609" t="s">
        <v>1036</v>
      </c>
      <c r="F609" t="s">
        <v>646</v>
      </c>
    </row>
    <row r="610" spans="1:6" x14ac:dyDescent="0.3">
      <c r="A610" t="s">
        <v>1298</v>
      </c>
      <c r="B610" t="str" cm="1">
        <f t="array" ref="B610">_xlfn.XLOOKUP(C610, INDEX([1]!카테고리매핑,,2), INDEX([1]!카테고리매핑,,1), "미등록 카테고리")</f>
        <v>과일/견과류</v>
      </c>
      <c r="C610" t="s">
        <v>1179</v>
      </c>
      <c r="D610" t="str">
        <f>VLOOKUP(C610, '[1]VLOOKUP 함수용 카테고리'!$A$1:$B$59, 2, 0)</f>
        <v>RAW_FRUIT</v>
      </c>
      <c r="E610" t="s">
        <v>1180</v>
      </c>
      <c r="F610" t="s">
        <v>1212</v>
      </c>
    </row>
    <row r="611" spans="1:6" x14ac:dyDescent="0.3">
      <c r="A611" t="s">
        <v>1299</v>
      </c>
      <c r="B611" t="str" cm="1">
        <f t="array" ref="B611">_xlfn.XLOOKUP(C611, INDEX([1]!카테고리매핑,,2), INDEX([1]!카테고리매핑,,1), "미등록 카테고리")</f>
        <v>음료</v>
      </c>
      <c r="C611" t="s">
        <v>23</v>
      </c>
      <c r="D611" t="str">
        <f>VLOOKUP(C611, '[1]VLOOKUP 함수용 카테고리'!$A$1:$B$59, 2, 0)</f>
        <v>BEVERAGE</v>
      </c>
      <c r="E611" t="s">
        <v>355</v>
      </c>
      <c r="F611" t="s">
        <v>1300</v>
      </c>
    </row>
    <row r="612" spans="1:6" x14ac:dyDescent="0.3">
      <c r="A612" t="s">
        <v>1301</v>
      </c>
      <c r="B612" t="str" cm="1">
        <f t="array" ref="B612">_xlfn.XLOOKUP(C612, INDEX([1]!카테고리매핑,,2), INDEX([1]!카테고리매핑,,1), "미등록 카테고리")</f>
        <v>조미료</v>
      </c>
      <c r="C612" t="s">
        <v>127</v>
      </c>
      <c r="D612" t="str">
        <f>VLOOKUP(C612, '[1]VLOOKUP 함수용 카테고리'!$A$1:$B$59, 2, 0)</f>
        <v>SAUCE_SEASONING</v>
      </c>
      <c r="E612" t="s">
        <v>349</v>
      </c>
      <c r="F612" t="s">
        <v>1302</v>
      </c>
    </row>
    <row r="613" spans="1:6" x14ac:dyDescent="0.3">
      <c r="A613" t="s">
        <v>1303</v>
      </c>
      <c r="B613" t="str" cm="1">
        <f t="array" ref="B613">_xlfn.XLOOKUP(C613, INDEX([1]!카테고리매핑,,2), INDEX([1]!카테고리매핑,,1), "미등록 카테고리")</f>
        <v>술</v>
      </c>
      <c r="C613" t="s">
        <v>56</v>
      </c>
      <c r="D613" t="str">
        <f>VLOOKUP(C613, '[1]VLOOKUP 함수용 카테고리'!$A$1:$B$59, 2, 0)</f>
        <v>ALCOHOL</v>
      </c>
      <c r="E613" t="s">
        <v>505</v>
      </c>
      <c r="F613" t="s">
        <v>411</v>
      </c>
    </row>
    <row r="614" spans="1:6" x14ac:dyDescent="0.3">
      <c r="A614" t="s">
        <v>1304</v>
      </c>
      <c r="B614" t="str" cm="1">
        <f t="array" ref="B614">_xlfn.XLOOKUP(C614, INDEX([1]!카테고리매핑,,2), INDEX([1]!카테고리매핑,,1), "미등록 카테고리")</f>
        <v>과일/견과류</v>
      </c>
      <c r="C614" t="s">
        <v>1179</v>
      </c>
      <c r="D614" t="str">
        <f>VLOOKUP(C614, '[1]VLOOKUP 함수용 카테고리'!$A$1:$B$59, 2, 0)</f>
        <v>RAW_FRUIT</v>
      </c>
      <c r="E614" t="s">
        <v>1305</v>
      </c>
      <c r="F614" t="s">
        <v>1212</v>
      </c>
    </row>
    <row r="615" spans="1:6" x14ac:dyDescent="0.3">
      <c r="A615" t="s">
        <v>1306</v>
      </c>
      <c r="B615" t="str" cm="1">
        <f t="array" ref="B615">_xlfn.XLOOKUP(C615, INDEX([1]!카테고리매핑,,2), INDEX([1]!카테고리매핑,,1), "미등록 카테고리")</f>
        <v>채소/곡물류</v>
      </c>
      <c r="C615" t="s">
        <v>301</v>
      </c>
      <c r="D615" t="str">
        <f>VLOOKUP(C615, '[1]VLOOKUP 함수용 카테고리'!$A$1:$B$59, 2, 0)</f>
        <v>GRAIN</v>
      </c>
      <c r="E615" t="s">
        <v>490</v>
      </c>
    </row>
    <row r="616" spans="1:6" x14ac:dyDescent="0.3">
      <c r="A616" t="s">
        <v>1307</v>
      </c>
      <c r="B616" t="str" cm="1">
        <f t="array" ref="B616">_xlfn.XLOOKUP(C616, INDEX([1]!카테고리매핑,,2), INDEX([1]!카테고리매핑,,1), "미등록 카테고리")</f>
        <v>채소/곡물류</v>
      </c>
      <c r="C616" t="s">
        <v>27</v>
      </c>
      <c r="D616" t="str">
        <f>VLOOKUP(C616, '[1]VLOOKUP 함수용 카테고리'!$A$1:$B$59, 2, 0)</f>
        <v>SIMPLE_PROCESSED</v>
      </c>
      <c r="E616" t="s">
        <v>1308</v>
      </c>
      <c r="F616" t="s">
        <v>29</v>
      </c>
    </row>
    <row r="617" spans="1:6" x14ac:dyDescent="0.3">
      <c r="A617" t="s">
        <v>1309</v>
      </c>
      <c r="B617" t="str" cm="1">
        <f t="array" ref="B617">_xlfn.XLOOKUP(C617, INDEX([1]!카테고리매핑,,2), INDEX([1]!카테고리매핑,,1), "미등록 카테고리")</f>
        <v>간식류</v>
      </c>
      <c r="C617" t="s">
        <v>11</v>
      </c>
      <c r="D617" t="str">
        <f>VLOOKUP(C617, '[1]VLOOKUP 함수용 카테고리'!$A$1:$B$59, 2, 0)</f>
        <v>SNACK</v>
      </c>
      <c r="E617" t="s">
        <v>81</v>
      </c>
      <c r="F617" t="s">
        <v>7714</v>
      </c>
    </row>
    <row r="618" spans="1:6" x14ac:dyDescent="0.3">
      <c r="A618" t="s">
        <v>1310</v>
      </c>
      <c r="B618" t="str" cm="1">
        <f t="array" ref="B618">_xlfn.XLOOKUP(C618, INDEX([1]!카테고리매핑,,2), INDEX([1]!카테고리매핑,,1), "미등록 카테고리")</f>
        <v>간식류</v>
      </c>
      <c r="C618" t="s">
        <v>15</v>
      </c>
      <c r="D618" t="str">
        <f>VLOOKUP(C618, '[1]VLOOKUP 함수용 카테고리'!$A$1:$B$59, 2, 0)</f>
        <v>BAKERY</v>
      </c>
      <c r="E618" t="s">
        <v>200</v>
      </c>
      <c r="F618" t="s">
        <v>1311</v>
      </c>
    </row>
    <row r="619" spans="1:6" x14ac:dyDescent="0.3">
      <c r="A619" t="s">
        <v>1312</v>
      </c>
      <c r="B619" t="str" cm="1">
        <f t="array" ref="B619">_xlfn.XLOOKUP(C619, INDEX([1]!카테고리매핑,,2), INDEX([1]!카테고리매핑,,1), "미등록 카테고리")</f>
        <v>조미료</v>
      </c>
      <c r="C619" t="s">
        <v>127</v>
      </c>
      <c r="D619" t="str">
        <f>VLOOKUP(C619, '[1]VLOOKUP 함수용 카테고리'!$A$1:$B$59, 2, 0)</f>
        <v>SAUCE_SEASONING</v>
      </c>
      <c r="E619" t="s">
        <v>349</v>
      </c>
      <c r="F619" t="s">
        <v>646</v>
      </c>
    </row>
    <row r="620" spans="1:6" x14ac:dyDescent="0.3">
      <c r="A620" t="s">
        <v>1313</v>
      </c>
      <c r="B620" t="str" cm="1">
        <f t="array" ref="B620">_xlfn.XLOOKUP(C620, INDEX([1]!카테고리매핑,,2), INDEX([1]!카테고리매핑,,1), "미등록 카테고리")</f>
        <v>간식류</v>
      </c>
      <c r="C620" t="s">
        <v>11</v>
      </c>
      <c r="D620" t="str">
        <f>VLOOKUP(C620, '[1]VLOOKUP 함수용 카테고리'!$A$1:$B$59, 2, 0)</f>
        <v>SNACK</v>
      </c>
      <c r="E620" t="s">
        <v>361</v>
      </c>
      <c r="F620" t="s">
        <v>7715</v>
      </c>
    </row>
    <row r="621" spans="1:6" x14ac:dyDescent="0.3">
      <c r="A621" t="s">
        <v>1314</v>
      </c>
      <c r="B621" t="str" cm="1">
        <f t="array" ref="B621">_xlfn.XLOOKUP(C621, INDEX([1]!카테고리매핑,,2), INDEX([1]!카테고리매핑,,1), "미등록 카테고리")</f>
        <v>간편식</v>
      </c>
      <c r="C621" t="s">
        <v>19</v>
      </c>
      <c r="D621" t="str">
        <f>VLOOKUP(C621, '[1]VLOOKUP 함수용 카테고리'!$A$1:$B$59, 2, 0)</f>
        <v>FROZEN_MEAL</v>
      </c>
      <c r="E621" t="s">
        <v>1115</v>
      </c>
      <c r="F621" t="s">
        <v>156</v>
      </c>
    </row>
    <row r="622" spans="1:6" x14ac:dyDescent="0.3">
      <c r="A622" t="s">
        <v>1315</v>
      </c>
      <c r="B622" t="str" cm="1">
        <f t="array" ref="B622">_xlfn.XLOOKUP(C622, INDEX([1]!카테고리매핑,,2), INDEX([1]!카테고리매핑,,1), "미등록 카테고리")</f>
        <v>간식류</v>
      </c>
      <c r="C622" t="s">
        <v>11</v>
      </c>
      <c r="D622" t="str">
        <f>VLOOKUP(C622, '[1]VLOOKUP 함수용 카테고리'!$A$1:$B$59, 2, 0)</f>
        <v>SNACK</v>
      </c>
      <c r="E622" t="s">
        <v>1316</v>
      </c>
      <c r="F622" t="s">
        <v>154</v>
      </c>
    </row>
    <row r="623" spans="1:6" x14ac:dyDescent="0.3">
      <c r="A623" t="s">
        <v>1317</v>
      </c>
      <c r="B623" t="str" cm="1">
        <f t="array" ref="B623">_xlfn.XLOOKUP(C623, INDEX([1]!카테고리매핑,,2), INDEX([1]!카테고리매핑,,1), "미등록 카테고리")</f>
        <v>수산물</v>
      </c>
      <c r="C623" t="s">
        <v>203</v>
      </c>
      <c r="D623" t="str">
        <f>VLOOKUP(C623, '[1]VLOOKUP 함수용 카테고리'!$A$1:$B$59, 2, 0)</f>
        <v>RAW_SEAFOOD</v>
      </c>
      <c r="E623" t="s">
        <v>1318</v>
      </c>
      <c r="F623" t="s">
        <v>1319</v>
      </c>
    </row>
    <row r="624" spans="1:6" x14ac:dyDescent="0.3">
      <c r="A624" t="s">
        <v>1320</v>
      </c>
      <c r="B624" t="str" cm="1">
        <f t="array" ref="B624">_xlfn.XLOOKUP(C624, INDEX([1]!카테고리매핑,,2), INDEX([1]!카테고리매핑,,1), "미등록 카테고리")</f>
        <v>육류/계란</v>
      </c>
      <c r="C624" t="s">
        <v>149</v>
      </c>
      <c r="D624" t="str">
        <f>VLOOKUP(C624, '[1]VLOOKUP 함수용 카테고리'!$A$1:$B$59, 2, 0)</f>
        <v>RAW_MEAT</v>
      </c>
      <c r="E624" t="s">
        <v>1321</v>
      </c>
      <c r="F624" t="s">
        <v>7716</v>
      </c>
    </row>
    <row r="625" spans="1:6" x14ac:dyDescent="0.3">
      <c r="A625" t="s">
        <v>1322</v>
      </c>
      <c r="B625" t="str" cm="1">
        <f t="array" ref="B625">_xlfn.XLOOKUP(C625, INDEX([1]!카테고리매핑,,2), INDEX([1]!카테고리매핑,,1), "미등록 카테고리")</f>
        <v>과일/견과류</v>
      </c>
      <c r="C625" t="s">
        <v>1179</v>
      </c>
      <c r="D625" t="str">
        <f>VLOOKUP(C625, '[1]VLOOKUP 함수용 카테고리'!$A$1:$B$59, 2, 0)</f>
        <v>RAW_FRUIT</v>
      </c>
      <c r="E625" t="s">
        <v>1323</v>
      </c>
      <c r="F625" t="s">
        <v>1212</v>
      </c>
    </row>
    <row r="626" spans="1:6" x14ac:dyDescent="0.3">
      <c r="A626" t="s">
        <v>1324</v>
      </c>
      <c r="B626" t="str" cm="1">
        <f t="array" ref="B626">_xlfn.XLOOKUP(C626, INDEX([1]!카테고리매핑,,2), INDEX([1]!카테고리매핑,,1), "미등록 카테고리")</f>
        <v>간편식</v>
      </c>
      <c r="C626" t="s">
        <v>19</v>
      </c>
      <c r="D626" t="str">
        <f>VLOOKUP(C626, '[1]VLOOKUP 함수용 카테고리'!$A$1:$B$59, 2, 0)</f>
        <v>FROZEN_MEAL</v>
      </c>
      <c r="E626" t="s">
        <v>20</v>
      </c>
      <c r="F626" t="s">
        <v>7717</v>
      </c>
    </row>
    <row r="627" spans="1:6" x14ac:dyDescent="0.3">
      <c r="A627" t="s">
        <v>1325</v>
      </c>
      <c r="B627" t="str" cm="1">
        <f t="array" ref="B627">_xlfn.XLOOKUP(C627, INDEX([1]!카테고리매핑,,2), INDEX([1]!카테고리매핑,,1), "미등록 카테고리")</f>
        <v>조미료</v>
      </c>
      <c r="C627" t="s">
        <v>127</v>
      </c>
      <c r="D627" t="str">
        <f>VLOOKUP(C627, '[1]VLOOKUP 함수용 카테고리'!$A$1:$B$59, 2, 0)</f>
        <v>SAUCE_SEASONING</v>
      </c>
      <c r="E627" t="s">
        <v>436</v>
      </c>
      <c r="F627" t="s">
        <v>1326</v>
      </c>
    </row>
    <row r="628" spans="1:6" x14ac:dyDescent="0.3">
      <c r="A628" t="s">
        <v>1327</v>
      </c>
      <c r="B628" t="str" cm="1">
        <f t="array" ref="B628">_xlfn.XLOOKUP(C628, INDEX([1]!카테고리매핑,,2), INDEX([1]!카테고리매핑,,1), "미등록 카테고리")</f>
        <v>조미료</v>
      </c>
      <c r="C628" t="s">
        <v>127</v>
      </c>
      <c r="D628" t="str">
        <f>VLOOKUP(C628, '[1]VLOOKUP 함수용 카테고리'!$A$1:$B$59, 2, 0)</f>
        <v>SAUCE_SEASONING</v>
      </c>
      <c r="E628" t="s">
        <v>248</v>
      </c>
    </row>
    <row r="629" spans="1:6" x14ac:dyDescent="0.3">
      <c r="A629" t="s">
        <v>1328</v>
      </c>
      <c r="B629" t="str" cm="1">
        <f t="array" ref="B629">_xlfn.XLOOKUP(C629, INDEX([1]!카테고리매핑,,2), INDEX([1]!카테고리매핑,,1), "미등록 카테고리")</f>
        <v>유제품</v>
      </c>
      <c r="C629" t="s">
        <v>123</v>
      </c>
      <c r="D629" t="str">
        <f>VLOOKUP(C629, '[1]VLOOKUP 함수용 카테고리'!$A$1:$B$59, 2, 0)</f>
        <v>DAIRY</v>
      </c>
      <c r="E629" t="s">
        <v>190</v>
      </c>
    </row>
    <row r="630" spans="1:6" x14ac:dyDescent="0.3">
      <c r="A630" t="s">
        <v>1329</v>
      </c>
      <c r="B630" t="str" cm="1">
        <f t="array" ref="B630">_xlfn.XLOOKUP(C630, INDEX([1]!카테고리매핑,,2), INDEX([1]!카테고리매핑,,1), "미등록 카테고리")</f>
        <v>상온식품</v>
      </c>
      <c r="C630" t="s">
        <v>276</v>
      </c>
      <c r="D630" t="str">
        <f>VLOOKUP(C630, '[1]VLOOKUP 함수용 카테고리'!$A$1:$B$59, 2, 0)</f>
        <v>DRIED_SEAFOOD</v>
      </c>
      <c r="E630" t="s">
        <v>277</v>
      </c>
      <c r="F630" t="s">
        <v>7718</v>
      </c>
    </row>
    <row r="631" spans="1:6" x14ac:dyDescent="0.3">
      <c r="A631" t="s">
        <v>1330</v>
      </c>
      <c r="B631" t="str" cm="1">
        <f t="array" ref="B631">_xlfn.XLOOKUP(C631, INDEX([1]!카테고리매핑,,2), INDEX([1]!카테고리매핑,,1), "미등록 카테고리")</f>
        <v>간식류</v>
      </c>
      <c r="C631" t="s">
        <v>63</v>
      </c>
      <c r="D631" t="str">
        <f>VLOOKUP(C631, '[1]VLOOKUP 함수용 카테고리'!$A$1:$B$59, 2, 0)</f>
        <v>BAKERY</v>
      </c>
      <c r="E631" t="s">
        <v>1331</v>
      </c>
      <c r="F631" t="s">
        <v>1332</v>
      </c>
    </row>
    <row r="632" spans="1:6" x14ac:dyDescent="0.3">
      <c r="A632" t="s">
        <v>1333</v>
      </c>
      <c r="B632" t="str" cm="1">
        <f t="array" ref="B632">_xlfn.XLOOKUP(C632, INDEX([1]!카테고리매핑,,2), INDEX([1]!카테고리매핑,,1), "미등록 카테고리")</f>
        <v>술</v>
      </c>
      <c r="C632" t="s">
        <v>42</v>
      </c>
      <c r="D632" t="str">
        <f>VLOOKUP(C632, '[1]VLOOKUP 함수용 카테고리'!$A$1:$B$59, 2, 0)</f>
        <v>ALCOHOL</v>
      </c>
      <c r="E632" t="s">
        <v>1334</v>
      </c>
    </row>
    <row r="633" spans="1:6" x14ac:dyDescent="0.3">
      <c r="A633" t="s">
        <v>1335</v>
      </c>
      <c r="B633" t="str" cm="1">
        <f t="array" ref="B633">_xlfn.XLOOKUP(C633, INDEX([1]!카테고리매핑,,2), INDEX([1]!카테고리매핑,,1), "미등록 카테고리")</f>
        <v>수산물</v>
      </c>
      <c r="C633" t="s">
        <v>229</v>
      </c>
      <c r="D633" t="str">
        <f>VLOOKUP(C633, '[1]VLOOKUP 함수용 카테고리'!$A$1:$B$59, 2, 0)</f>
        <v>RAW_SEAFOOD</v>
      </c>
      <c r="E633" t="s">
        <v>230</v>
      </c>
      <c r="F633" t="s">
        <v>1336</v>
      </c>
    </row>
    <row r="634" spans="1:6" x14ac:dyDescent="0.3">
      <c r="A634" t="s">
        <v>1337</v>
      </c>
      <c r="B634" t="str" cm="1">
        <f t="array" ref="B634">_xlfn.XLOOKUP(C634, INDEX([1]!카테고리매핑,,2), INDEX([1]!카테고리매핑,,1), "미등록 카테고리")</f>
        <v>간편식</v>
      </c>
      <c r="C634" t="s">
        <v>131</v>
      </c>
      <c r="D634" t="str">
        <f>VLOOKUP(C634, '[1]VLOOKUP 함수용 카테고리'!$A$1:$B$59, 2, 0)</f>
        <v>SIMPLE_PROCESSED</v>
      </c>
      <c r="E634" t="s">
        <v>132</v>
      </c>
      <c r="F634" t="s">
        <v>541</v>
      </c>
    </row>
    <row r="635" spans="1:6" x14ac:dyDescent="0.3">
      <c r="A635" t="s">
        <v>1338</v>
      </c>
      <c r="B635" t="str" cm="1">
        <f t="array" ref="B635">_xlfn.XLOOKUP(C635, INDEX([1]!카테고리매핑,,2), INDEX([1]!카테고리매핑,,1), "미등록 카테고리")</f>
        <v>육류/계란</v>
      </c>
      <c r="C635" t="s">
        <v>149</v>
      </c>
      <c r="D635" t="str">
        <f>VLOOKUP(C635, '[1]VLOOKUP 함수용 카테고리'!$A$1:$B$59, 2, 0)</f>
        <v>RAW_MEAT</v>
      </c>
      <c r="E635" t="s">
        <v>1339</v>
      </c>
      <c r="F635" t="s">
        <v>1340</v>
      </c>
    </row>
    <row r="636" spans="1:6" x14ac:dyDescent="0.3">
      <c r="A636" t="s">
        <v>1341</v>
      </c>
      <c r="B636" t="str" cm="1">
        <f t="array" ref="B636">_xlfn.XLOOKUP(C636, INDEX([1]!카테고리매핑,,2), INDEX([1]!카테고리매핑,,1), "미등록 카테고리")</f>
        <v>수산물</v>
      </c>
      <c r="C636" t="s">
        <v>183</v>
      </c>
      <c r="D636" t="str">
        <f>VLOOKUP(C636, '[1]VLOOKUP 함수용 카테고리'!$A$1:$B$59, 2, 0)</f>
        <v>DRIED_SEAFOOD</v>
      </c>
      <c r="E636" t="s">
        <v>466</v>
      </c>
    </row>
    <row r="637" spans="1:6" x14ac:dyDescent="0.3">
      <c r="A637" t="s">
        <v>1342</v>
      </c>
      <c r="B637" t="str" cm="1">
        <f t="array" ref="B637">_xlfn.XLOOKUP(C637, INDEX([1]!카테고리매핑,,2), INDEX([1]!카테고리매핑,,1), "미등록 카테고리")</f>
        <v>채소/곡물류</v>
      </c>
      <c r="C637" t="s">
        <v>207</v>
      </c>
      <c r="D637" t="str">
        <f>VLOOKUP(C637, '[1]VLOOKUP 함수용 카테고리'!$A$1:$B$59, 2, 0)</f>
        <v>GRAIN</v>
      </c>
      <c r="E637" t="s">
        <v>1343</v>
      </c>
      <c r="F637" t="s">
        <v>156</v>
      </c>
    </row>
    <row r="638" spans="1:6" x14ac:dyDescent="0.3">
      <c r="A638" t="s">
        <v>1344</v>
      </c>
      <c r="B638" t="str" cm="1">
        <f t="array" ref="B638">_xlfn.XLOOKUP(C638, INDEX([1]!카테고리매핑,,2), INDEX([1]!카테고리매핑,,1), "미등록 카테고리")</f>
        <v>간식류</v>
      </c>
      <c r="C638" t="s">
        <v>15</v>
      </c>
      <c r="D638" t="str">
        <f>VLOOKUP(C638, '[1]VLOOKUP 함수용 카테고리'!$A$1:$B$59, 2, 0)</f>
        <v>BAKERY</v>
      </c>
      <c r="E638" t="s">
        <v>898</v>
      </c>
      <c r="F638" t="s">
        <v>1345</v>
      </c>
    </row>
    <row r="639" spans="1:6" x14ac:dyDescent="0.3">
      <c r="A639" t="s">
        <v>1346</v>
      </c>
      <c r="B639" t="str" cm="1">
        <f t="array" ref="B639">_xlfn.XLOOKUP(C639, INDEX([1]!카테고리매핑,,2), INDEX([1]!카테고리매핑,,1), "미등록 카테고리")</f>
        <v>육류/계란</v>
      </c>
      <c r="C639" t="s">
        <v>34</v>
      </c>
      <c r="D639" t="str">
        <f>VLOOKUP(C639, '[1]VLOOKUP 함수용 카테고리'!$A$1:$B$59, 2, 0)</f>
        <v>RAW_MEAT</v>
      </c>
      <c r="E639" t="s">
        <v>34</v>
      </c>
      <c r="F639" t="s">
        <v>1347</v>
      </c>
    </row>
    <row r="640" spans="1:6" x14ac:dyDescent="0.3">
      <c r="A640" t="s">
        <v>1348</v>
      </c>
      <c r="B640" t="str" cm="1">
        <f t="array" ref="B640">_xlfn.XLOOKUP(C640, INDEX([1]!카테고리매핑,,2), INDEX([1]!카테고리매핑,,1), "미등록 카테고리")</f>
        <v>상온식품</v>
      </c>
      <c r="C640" t="s">
        <v>835</v>
      </c>
      <c r="D640" t="str">
        <f>VLOOKUP(C640, '[1]VLOOKUP 함수용 카테고리'!$A$1:$B$59, 2, 0)</f>
        <v>SAUCE_SEASONING</v>
      </c>
      <c r="E640" t="s">
        <v>836</v>
      </c>
      <c r="F640" t="s">
        <v>1349</v>
      </c>
    </row>
    <row r="641" spans="1:6" x14ac:dyDescent="0.3">
      <c r="A641" t="s">
        <v>1350</v>
      </c>
      <c r="B641" t="str" cm="1">
        <f t="array" ref="B641">_xlfn.XLOOKUP(C641, INDEX([1]!카테고리매핑,,2), INDEX([1]!카테고리매핑,,1), "미등록 카테고리")</f>
        <v>채소/곡물류</v>
      </c>
      <c r="C641" t="s">
        <v>301</v>
      </c>
      <c r="D641" t="str">
        <f>VLOOKUP(C641, '[1]VLOOKUP 함수용 카테고리'!$A$1:$B$59, 2, 0)</f>
        <v>GRAIN</v>
      </c>
      <c r="E641" t="s">
        <v>611</v>
      </c>
      <c r="F641" t="s">
        <v>7719</v>
      </c>
    </row>
    <row r="642" spans="1:6" x14ac:dyDescent="0.3">
      <c r="A642" t="s">
        <v>1351</v>
      </c>
      <c r="B642" t="str" cm="1">
        <f t="array" ref="B642">_xlfn.XLOOKUP(C642, INDEX([1]!카테고리매핑,,2), INDEX([1]!카테고리매핑,,1), "미등록 카테고리")</f>
        <v>간식류</v>
      </c>
      <c r="C642" t="s">
        <v>63</v>
      </c>
      <c r="D642" t="str">
        <f>VLOOKUP(C642, '[1]VLOOKUP 함수용 카테고리'!$A$1:$B$59, 2, 0)</f>
        <v>BAKERY</v>
      </c>
      <c r="E642" t="s">
        <v>496</v>
      </c>
      <c r="F642" t="s">
        <v>1352</v>
      </c>
    </row>
    <row r="643" spans="1:6" x14ac:dyDescent="0.3">
      <c r="A643" t="s">
        <v>1353</v>
      </c>
      <c r="B643" t="str" cm="1">
        <f t="array" ref="B643">_xlfn.XLOOKUP(C643, INDEX([1]!카테고리매핑,,2), INDEX([1]!카테고리매핑,,1), "미등록 카테고리")</f>
        <v>유제품</v>
      </c>
      <c r="C643" t="s">
        <v>123</v>
      </c>
      <c r="D643" t="str">
        <f>VLOOKUP(C643, '[1]VLOOKUP 함수용 카테고리'!$A$1:$B$59, 2, 0)</f>
        <v>DAIRY</v>
      </c>
      <c r="E643" t="s">
        <v>239</v>
      </c>
      <c r="F643" t="s">
        <v>240</v>
      </c>
    </row>
    <row r="644" spans="1:6" x14ac:dyDescent="0.3">
      <c r="A644" t="s">
        <v>1354</v>
      </c>
      <c r="B644" t="str" cm="1">
        <f t="array" ref="B644">_xlfn.XLOOKUP(C644, INDEX([1]!카테고리매핑,,2), INDEX([1]!카테고리매핑,,1), "미등록 카테고리")</f>
        <v>간편식</v>
      </c>
      <c r="C644" t="s">
        <v>131</v>
      </c>
      <c r="D644" t="str">
        <f>VLOOKUP(C644, '[1]VLOOKUP 함수용 카테고리'!$A$1:$B$59, 2, 0)</f>
        <v>SIMPLE_PROCESSED</v>
      </c>
      <c r="E644" t="s">
        <v>1355</v>
      </c>
      <c r="F644" t="s">
        <v>928</v>
      </c>
    </row>
    <row r="645" spans="1:6" x14ac:dyDescent="0.3">
      <c r="A645" t="s">
        <v>1356</v>
      </c>
      <c r="B645" t="str" cm="1">
        <f t="array" ref="B645">_xlfn.XLOOKUP(C645, INDEX([1]!카테고리매핑,,2), INDEX([1]!카테고리매핑,,1), "미등록 카테고리")</f>
        <v>채소/곡물류</v>
      </c>
      <c r="C645" t="s">
        <v>7</v>
      </c>
      <c r="D645" t="str">
        <f>VLOOKUP(C645, '[1]VLOOKUP 함수용 카테고리'!$A$1:$B$59, 2, 0)</f>
        <v>RAW_PRODUCE</v>
      </c>
      <c r="E645" t="s">
        <v>331</v>
      </c>
    </row>
    <row r="646" spans="1:6" x14ac:dyDescent="0.3">
      <c r="A646" t="s">
        <v>1357</v>
      </c>
      <c r="B646" t="str" cm="1">
        <f t="array" ref="B646">_xlfn.XLOOKUP(C646, INDEX([1]!카테고리매핑,,2), INDEX([1]!카테고리매핑,,1), "미등록 카테고리")</f>
        <v>유제품</v>
      </c>
      <c r="C646" t="s">
        <v>98</v>
      </c>
      <c r="D646" t="str">
        <f>VLOOKUP(C646, '[1]VLOOKUP 함수용 카테고리'!$A$1:$B$59, 2, 0)</f>
        <v>DAIRY</v>
      </c>
      <c r="E646" t="s">
        <v>1358</v>
      </c>
    </row>
    <row r="647" spans="1:6" x14ac:dyDescent="0.3">
      <c r="A647" t="s">
        <v>1359</v>
      </c>
      <c r="B647" t="str" cm="1">
        <f t="array" ref="B647">_xlfn.XLOOKUP(C647, INDEX([1]!카테고리매핑,,2), INDEX([1]!카테고리매핑,,1), "미등록 카테고리")</f>
        <v>수산물</v>
      </c>
      <c r="C647" t="s">
        <v>101</v>
      </c>
      <c r="D647" t="str">
        <f>VLOOKUP(C647, '[1]VLOOKUP 함수용 카테고리'!$A$1:$B$59, 2, 0)</f>
        <v>DRIED_SEAFOOD</v>
      </c>
      <c r="E647" t="s">
        <v>1360</v>
      </c>
      <c r="F647" t="s">
        <v>1361</v>
      </c>
    </row>
    <row r="648" spans="1:6" x14ac:dyDescent="0.3">
      <c r="A648" t="s">
        <v>1362</v>
      </c>
      <c r="B648" t="str" cm="1">
        <f t="array" ref="B648">_xlfn.XLOOKUP(C648, INDEX([1]!카테고리매핑,,2), INDEX([1]!카테고리매핑,,1), "미등록 카테고리")</f>
        <v>간편식</v>
      </c>
      <c r="C648" t="s">
        <v>131</v>
      </c>
      <c r="D648" t="str">
        <f>VLOOKUP(C648, '[1]VLOOKUP 함수용 카테고리'!$A$1:$B$59, 2, 0)</f>
        <v>SIMPLE_PROCESSED</v>
      </c>
      <c r="E648" t="s">
        <v>1363</v>
      </c>
      <c r="F648" t="s">
        <v>1364</v>
      </c>
    </row>
    <row r="649" spans="1:6" x14ac:dyDescent="0.3">
      <c r="A649" t="s">
        <v>1365</v>
      </c>
      <c r="B649" t="str" cm="1">
        <f t="array" ref="B649">_xlfn.XLOOKUP(C649, INDEX([1]!카테고리매핑,,2), INDEX([1]!카테고리매핑,,1), "미등록 카테고리")</f>
        <v>수산물</v>
      </c>
      <c r="C649" t="s">
        <v>203</v>
      </c>
      <c r="D649" t="str">
        <f>VLOOKUP(C649, '[1]VLOOKUP 함수용 카테고리'!$A$1:$B$59, 2, 0)</f>
        <v>RAW_SEAFOOD</v>
      </c>
      <c r="E649" t="s">
        <v>1318</v>
      </c>
      <c r="F649" t="s">
        <v>1366</v>
      </c>
    </row>
    <row r="650" spans="1:6" x14ac:dyDescent="0.3">
      <c r="A650" t="s">
        <v>1367</v>
      </c>
      <c r="B650" t="str" cm="1">
        <f t="array" ref="B650">_xlfn.XLOOKUP(C650, INDEX([1]!카테고리매핑,,2), INDEX([1]!카테고리매핑,,1), "미등록 카테고리")</f>
        <v>유제품</v>
      </c>
      <c r="C650" t="s">
        <v>123</v>
      </c>
      <c r="D650" t="str">
        <f>VLOOKUP(C650, '[1]VLOOKUP 함수용 카테고리'!$A$1:$B$59, 2, 0)</f>
        <v>DAIRY</v>
      </c>
      <c r="E650" t="s">
        <v>1368</v>
      </c>
      <c r="F650" t="s">
        <v>1369</v>
      </c>
    </row>
    <row r="651" spans="1:6" x14ac:dyDescent="0.3">
      <c r="A651" t="s">
        <v>1370</v>
      </c>
      <c r="B651" t="str" cm="1">
        <f t="array" ref="B651">_xlfn.XLOOKUP(C651, INDEX([1]!카테고리매핑,,2), INDEX([1]!카테고리매핑,,1), "미등록 카테고리")</f>
        <v>채소/곡물류</v>
      </c>
      <c r="C651" t="s">
        <v>7</v>
      </c>
      <c r="D651" t="str">
        <f>VLOOKUP(C651, '[1]VLOOKUP 함수용 카테고리'!$A$1:$B$59, 2, 0)</f>
        <v>RAW_PRODUCE</v>
      </c>
      <c r="E651" t="s">
        <v>566</v>
      </c>
    </row>
    <row r="652" spans="1:6" x14ac:dyDescent="0.3">
      <c r="A652" t="s">
        <v>1371</v>
      </c>
      <c r="B652" t="str" cm="1">
        <f t="array" ref="B652">_xlfn.XLOOKUP(C652, INDEX([1]!카테고리매핑,,2), INDEX([1]!카테고리매핑,,1), "미등록 카테고리")</f>
        <v>조미료</v>
      </c>
      <c r="C652" t="s">
        <v>83</v>
      </c>
      <c r="D652" t="str">
        <f>VLOOKUP(C652, '[1]VLOOKUP 함수용 카테고리'!$A$1:$B$59, 2, 0)</f>
        <v>SAUCE_SEASONING</v>
      </c>
      <c r="E652" t="s">
        <v>1372</v>
      </c>
      <c r="F652" t="s">
        <v>1336</v>
      </c>
    </row>
    <row r="653" spans="1:6" x14ac:dyDescent="0.3">
      <c r="A653" t="s">
        <v>1373</v>
      </c>
      <c r="B653" t="str" cm="1">
        <f t="array" ref="B653">_xlfn.XLOOKUP(C653, INDEX([1]!카테고리매핑,,2), INDEX([1]!카테고리매핑,,1), "미등록 카테고리")</f>
        <v>조미료</v>
      </c>
      <c r="C653" t="s">
        <v>84</v>
      </c>
      <c r="D653" t="str">
        <f>VLOOKUP(C653, '[1]VLOOKUP 함수용 카테고리'!$A$1:$B$59, 2, 0)</f>
        <v>SAUCE_SEASONING</v>
      </c>
      <c r="E653" t="s">
        <v>619</v>
      </c>
    </row>
    <row r="654" spans="1:6" x14ac:dyDescent="0.3">
      <c r="A654" t="s">
        <v>1374</v>
      </c>
      <c r="B654" t="str" cm="1">
        <f t="array" ref="B654">_xlfn.XLOOKUP(C654, INDEX([1]!카테고리매핑,,2), INDEX([1]!카테고리매핑,,1), "미등록 카테고리")</f>
        <v>간식류</v>
      </c>
      <c r="C654" t="s">
        <v>38</v>
      </c>
      <c r="D654" t="str">
        <f>VLOOKUP(C654, '[1]VLOOKUP 함수용 카테고리'!$A$1:$B$59, 2, 0)</f>
        <v>SNACK</v>
      </c>
      <c r="E654" t="s">
        <v>179</v>
      </c>
      <c r="F654" t="s">
        <v>7720</v>
      </c>
    </row>
    <row r="655" spans="1:6" x14ac:dyDescent="0.3">
      <c r="A655" t="s">
        <v>1375</v>
      </c>
      <c r="B655" t="str" cm="1">
        <f t="array" ref="B655">_xlfn.XLOOKUP(C655, INDEX([1]!카테고리매핑,,2), INDEX([1]!카테고리매핑,,1), "미등록 카테고리")</f>
        <v>과일/견과류</v>
      </c>
      <c r="C655" t="s">
        <v>654</v>
      </c>
      <c r="D655" t="str">
        <f>VLOOKUP(C655, '[1]VLOOKUP 함수용 카테고리'!$A$1:$B$59, 2, 0)</f>
        <v>RAW_FRUIT</v>
      </c>
      <c r="E655" t="s">
        <v>1376</v>
      </c>
      <c r="F655" t="s">
        <v>151</v>
      </c>
    </row>
    <row r="656" spans="1:6" x14ac:dyDescent="0.3">
      <c r="A656" t="s">
        <v>1377</v>
      </c>
      <c r="B656" t="str" cm="1">
        <f t="array" ref="B656">_xlfn.XLOOKUP(C656, INDEX([1]!카테고리매핑,,2), INDEX([1]!카테고리매핑,,1), "미등록 카테고리")</f>
        <v>음료</v>
      </c>
      <c r="C656" t="s">
        <v>23</v>
      </c>
      <c r="D656" t="str">
        <f>VLOOKUP(C656, '[1]VLOOKUP 함수용 카테고리'!$A$1:$B$59, 2, 0)</f>
        <v>BEVERAGE</v>
      </c>
      <c r="E656" t="s">
        <v>355</v>
      </c>
      <c r="F656" t="s">
        <v>1378</v>
      </c>
    </row>
    <row r="657" spans="1:6" x14ac:dyDescent="0.3">
      <c r="A657" t="s">
        <v>1379</v>
      </c>
      <c r="B657" t="str" cm="1">
        <f t="array" ref="B657">_xlfn.XLOOKUP(C657, INDEX([1]!카테고리매핑,,2), INDEX([1]!카테고리매핑,,1), "미등록 카테고리")</f>
        <v>음료</v>
      </c>
      <c r="C657" t="s">
        <v>23</v>
      </c>
      <c r="D657" t="str">
        <f>VLOOKUP(C657, '[1]VLOOKUP 함수용 카테고리'!$A$1:$B$59, 2, 0)</f>
        <v>BEVERAGE</v>
      </c>
      <c r="E657" t="s">
        <v>1380</v>
      </c>
      <c r="F657" t="s">
        <v>1381</v>
      </c>
    </row>
    <row r="658" spans="1:6" x14ac:dyDescent="0.3">
      <c r="A658" t="s">
        <v>1382</v>
      </c>
      <c r="B658" t="str" cm="1">
        <f t="array" ref="B658">_xlfn.XLOOKUP(C658, INDEX([1]!카테고리매핑,,2), INDEX([1]!카테고리매핑,,1), "미등록 카테고리")</f>
        <v>조미료</v>
      </c>
      <c r="C658" t="s">
        <v>127</v>
      </c>
      <c r="D658" t="str">
        <f>VLOOKUP(C658, '[1]VLOOKUP 함수용 카테고리'!$A$1:$B$59, 2, 0)</f>
        <v>SAUCE_SEASONING</v>
      </c>
      <c r="E658" t="s">
        <v>1383</v>
      </c>
      <c r="F658" t="s">
        <v>1384</v>
      </c>
    </row>
    <row r="659" spans="1:6" x14ac:dyDescent="0.3">
      <c r="A659" t="s">
        <v>1385</v>
      </c>
      <c r="B659" t="str" cm="1">
        <f t="array" ref="B659">_xlfn.XLOOKUP(C659, INDEX([1]!카테고리매핑,,2), INDEX([1]!카테고리매핑,,1), "미등록 카테고리")</f>
        <v>간편식</v>
      </c>
      <c r="C659" t="s">
        <v>167</v>
      </c>
      <c r="D659" t="str">
        <f>VLOOKUP(C659, '[1]VLOOKUP 함수용 카테고리'!$A$1:$B$59, 2, 0)</f>
        <v>INSTANT</v>
      </c>
      <c r="E659" t="s">
        <v>1386</v>
      </c>
      <c r="F659" t="s">
        <v>1387</v>
      </c>
    </row>
    <row r="660" spans="1:6" x14ac:dyDescent="0.3">
      <c r="A660" t="s">
        <v>1388</v>
      </c>
      <c r="B660" t="str" cm="1">
        <f t="array" ref="B660">_xlfn.XLOOKUP(C660, INDEX([1]!카테고리매핑,,2), INDEX([1]!카테고리매핑,,1), "미등록 카테고리")</f>
        <v>육류/계란</v>
      </c>
      <c r="C660" t="s">
        <v>105</v>
      </c>
      <c r="D660" t="str">
        <f>VLOOKUP(C660, '[1]VLOOKUP 함수용 카테고리'!$A$1:$B$59, 2, 0)</f>
        <v>RAW_MEAT</v>
      </c>
      <c r="E660" t="s">
        <v>1389</v>
      </c>
      <c r="F660" t="s">
        <v>151</v>
      </c>
    </row>
    <row r="661" spans="1:6" x14ac:dyDescent="0.3">
      <c r="A661" t="s">
        <v>1390</v>
      </c>
      <c r="B661" t="str" cm="1">
        <f t="array" ref="B661">_xlfn.XLOOKUP(C661, INDEX([1]!카테고리매핑,,2), INDEX([1]!카테고리매핑,,1), "미등록 카테고리")</f>
        <v>조미료</v>
      </c>
      <c r="C661" t="s">
        <v>83</v>
      </c>
      <c r="D661" t="str">
        <f>VLOOKUP(C661, '[1]VLOOKUP 함수용 카테고리'!$A$1:$B$59, 2, 0)</f>
        <v>SAUCE_SEASONING</v>
      </c>
      <c r="E661" t="s">
        <v>1391</v>
      </c>
      <c r="F661" t="s">
        <v>646</v>
      </c>
    </row>
    <row r="662" spans="1:6" x14ac:dyDescent="0.3">
      <c r="A662" t="s">
        <v>1392</v>
      </c>
      <c r="B662" t="str" cm="1">
        <f t="array" ref="B662">_xlfn.XLOOKUP(C662, INDEX([1]!카테고리매핑,,2), INDEX([1]!카테고리매핑,,1), "미등록 카테고리")</f>
        <v>수산물</v>
      </c>
      <c r="C662" t="s">
        <v>203</v>
      </c>
      <c r="D662" t="str">
        <f>VLOOKUP(C662, '[1]VLOOKUP 함수용 카테고리'!$A$1:$B$59, 2, 0)</f>
        <v>RAW_SEAFOOD</v>
      </c>
      <c r="E662" t="s">
        <v>1393</v>
      </c>
      <c r="F662" t="s">
        <v>1399</v>
      </c>
    </row>
    <row r="663" spans="1:6" x14ac:dyDescent="0.3">
      <c r="A663" t="s">
        <v>1394</v>
      </c>
      <c r="B663" t="str" cm="1">
        <f t="array" ref="B663">_xlfn.XLOOKUP(C663, INDEX([1]!카테고리매핑,,2), INDEX([1]!카테고리매핑,,1), "미등록 카테고리")</f>
        <v>과일/견과류</v>
      </c>
      <c r="C663" t="s">
        <v>654</v>
      </c>
      <c r="D663" t="str">
        <f>VLOOKUP(C663, '[1]VLOOKUP 함수용 카테고리'!$A$1:$B$59, 2, 0)</f>
        <v>RAW_FRUIT</v>
      </c>
      <c r="E663" t="s">
        <v>1395</v>
      </c>
      <c r="F663" t="s">
        <v>151</v>
      </c>
    </row>
    <row r="664" spans="1:6" x14ac:dyDescent="0.3">
      <c r="A664" t="s">
        <v>1396</v>
      </c>
      <c r="B664" t="str" cm="1">
        <f t="array" ref="B664">_xlfn.XLOOKUP(C664, INDEX([1]!카테고리매핑,,2), INDEX([1]!카테고리매핑,,1), "미등록 카테고리")</f>
        <v>수산물</v>
      </c>
      <c r="C664" t="s">
        <v>1397</v>
      </c>
      <c r="D664" t="str">
        <f>VLOOKUP(C664, '[1]VLOOKUP 함수용 카테고리'!$A$1:$B$59, 2, 0)</f>
        <v>RAW_SEAFOOD</v>
      </c>
      <c r="E664" t="s">
        <v>1398</v>
      </c>
      <c r="F664" t="s">
        <v>1399</v>
      </c>
    </row>
    <row r="665" spans="1:6" x14ac:dyDescent="0.3">
      <c r="A665" t="s">
        <v>1400</v>
      </c>
      <c r="B665" t="str" cm="1">
        <f t="array" ref="B665">_xlfn.XLOOKUP(C665, INDEX([1]!카테고리매핑,,2), INDEX([1]!카테고리매핑,,1), "미등록 카테고리")</f>
        <v>음료</v>
      </c>
      <c r="C665" t="s">
        <v>23</v>
      </c>
      <c r="D665" t="str">
        <f>VLOOKUP(C665, '[1]VLOOKUP 함수용 카테고리'!$A$1:$B$59, 2, 0)</f>
        <v>BEVERAGE</v>
      </c>
      <c r="E665" t="s">
        <v>352</v>
      </c>
      <c r="F665" t="s">
        <v>1401</v>
      </c>
    </row>
    <row r="666" spans="1:6" x14ac:dyDescent="0.3">
      <c r="A666" t="s">
        <v>1402</v>
      </c>
      <c r="B666" t="str" cm="1">
        <f t="array" ref="B666">_xlfn.XLOOKUP(C666, INDEX([1]!카테고리매핑,,2), INDEX([1]!카테고리매핑,,1), "미등록 카테고리")</f>
        <v>조미료</v>
      </c>
      <c r="C666" t="s">
        <v>127</v>
      </c>
      <c r="D666" t="str">
        <f>VLOOKUP(C666, '[1]VLOOKUP 함수용 카테고리'!$A$1:$B$59, 2, 0)</f>
        <v>SAUCE_SEASONING</v>
      </c>
      <c r="E666" t="s">
        <v>1403</v>
      </c>
      <c r="F666" t="s">
        <v>1404</v>
      </c>
    </row>
    <row r="667" spans="1:6" x14ac:dyDescent="0.3">
      <c r="A667" t="s">
        <v>1405</v>
      </c>
      <c r="B667" t="str" cm="1">
        <f t="array" ref="B667">_xlfn.XLOOKUP(C667, INDEX([1]!카테고리매핑,,2), INDEX([1]!카테고리매핑,,1), "미등록 카테고리")</f>
        <v>간편식</v>
      </c>
      <c r="C667" t="s">
        <v>19</v>
      </c>
      <c r="D667" t="str">
        <f>VLOOKUP(C667, '[1]VLOOKUP 함수용 카테고리'!$A$1:$B$59, 2, 0)</f>
        <v>FROZEN_MEAL</v>
      </c>
      <c r="E667" t="s">
        <v>245</v>
      </c>
      <c r="F667" t="s">
        <v>1406</v>
      </c>
    </row>
    <row r="668" spans="1:6" x14ac:dyDescent="0.3">
      <c r="A668" t="s">
        <v>1407</v>
      </c>
      <c r="B668" t="str" cm="1">
        <f t="array" ref="B668">_xlfn.XLOOKUP(C668, INDEX([1]!카테고리매핑,,2), INDEX([1]!카테고리매핑,,1), "미등록 카테고리")</f>
        <v>육류/계란</v>
      </c>
      <c r="C668" t="s">
        <v>105</v>
      </c>
      <c r="D668" t="str">
        <f>VLOOKUP(C668, '[1]VLOOKUP 함수용 카테고리'!$A$1:$B$59, 2, 0)</f>
        <v>RAW_MEAT</v>
      </c>
      <c r="E668" t="s">
        <v>176</v>
      </c>
      <c r="F668" t="s">
        <v>1408</v>
      </c>
    </row>
    <row r="669" spans="1:6" x14ac:dyDescent="0.3">
      <c r="A669" t="s">
        <v>1409</v>
      </c>
      <c r="B669" t="str" cm="1">
        <f t="array" ref="B669">_xlfn.XLOOKUP(C669, INDEX([1]!카테고리매핑,,2), INDEX([1]!카테고리매핑,,1), "미등록 카테고리")</f>
        <v>과일/견과류</v>
      </c>
      <c r="C669" t="s">
        <v>654</v>
      </c>
      <c r="D669" t="str">
        <f>VLOOKUP(C669, '[1]VLOOKUP 함수용 카테고리'!$A$1:$B$59, 2, 0)</f>
        <v>RAW_FRUIT</v>
      </c>
      <c r="E669" t="s">
        <v>1410</v>
      </c>
      <c r="F669" t="s">
        <v>151</v>
      </c>
    </row>
    <row r="670" spans="1:6" x14ac:dyDescent="0.3">
      <c r="A670" t="s">
        <v>1411</v>
      </c>
      <c r="B670" t="str" cm="1">
        <f t="array" ref="B670">_xlfn.XLOOKUP(C670, INDEX([1]!카테고리매핑,,2), INDEX([1]!카테고리매핑,,1), "미등록 카테고리")</f>
        <v>채소/곡물류</v>
      </c>
      <c r="C670" t="s">
        <v>164</v>
      </c>
      <c r="D670" t="str">
        <f>VLOOKUP(C670, '[1]VLOOKUP 함수용 카테고리'!$A$1:$B$59, 2, 0)</f>
        <v>RAW_PRODUCE</v>
      </c>
      <c r="E670" t="s">
        <v>1412</v>
      </c>
    </row>
    <row r="671" spans="1:6" x14ac:dyDescent="0.3">
      <c r="A671" t="s">
        <v>1413</v>
      </c>
      <c r="B671" t="str" cm="1">
        <f t="array" ref="B671">_xlfn.XLOOKUP(C671, INDEX([1]!카테고리매핑,,2), INDEX([1]!카테고리매핑,,1), "미등록 카테고리")</f>
        <v>간식류</v>
      </c>
      <c r="C671" t="s">
        <v>38</v>
      </c>
      <c r="D671" t="str">
        <f>VLOOKUP(C671, '[1]VLOOKUP 함수용 카테고리'!$A$1:$B$59, 2, 0)</f>
        <v>SNACK</v>
      </c>
      <c r="E671" t="s">
        <v>1414</v>
      </c>
      <c r="F671" t="s">
        <v>1415</v>
      </c>
    </row>
    <row r="672" spans="1:6" x14ac:dyDescent="0.3">
      <c r="A672" t="s">
        <v>1416</v>
      </c>
      <c r="B672" t="str" cm="1">
        <f t="array" ref="B672">_xlfn.XLOOKUP(C672, INDEX([1]!카테고리매핑,,2), INDEX([1]!카테고리매핑,,1), "미등록 카테고리")</f>
        <v>간편식</v>
      </c>
      <c r="C672" t="s">
        <v>131</v>
      </c>
      <c r="D672" t="str">
        <f>VLOOKUP(C672, '[1]VLOOKUP 함수용 카테고리'!$A$1:$B$59, 2, 0)</f>
        <v>SIMPLE_PROCESSED</v>
      </c>
      <c r="E672" t="s">
        <v>1417</v>
      </c>
      <c r="F672" t="s">
        <v>1418</v>
      </c>
    </row>
    <row r="673" spans="1:6" x14ac:dyDescent="0.3">
      <c r="A673" t="s">
        <v>1419</v>
      </c>
      <c r="B673" t="str" cm="1">
        <f t="array" ref="B673">_xlfn.XLOOKUP(C673, INDEX([1]!카테고리매핑,,2), INDEX([1]!카테고리매핑,,1), "미등록 카테고리")</f>
        <v>채소/곡물류</v>
      </c>
      <c r="C673" t="s">
        <v>301</v>
      </c>
      <c r="D673" t="str">
        <f>VLOOKUP(C673, '[1]VLOOKUP 함수용 카테고리'!$A$1:$B$59, 2, 0)</f>
        <v>GRAIN</v>
      </c>
      <c r="E673" t="s">
        <v>611</v>
      </c>
    </row>
    <row r="674" spans="1:6" x14ac:dyDescent="0.3">
      <c r="A674" t="s">
        <v>1420</v>
      </c>
      <c r="B674" t="str" cm="1">
        <f t="array" ref="B674">_xlfn.XLOOKUP(C674, INDEX([1]!카테고리매핑,,2), INDEX([1]!카테고리매핑,,1), "미등록 카테고리")</f>
        <v>수산물</v>
      </c>
      <c r="C674" t="s">
        <v>263</v>
      </c>
      <c r="D674" t="str">
        <f>VLOOKUP(C674, '[1]VLOOKUP 함수용 카테고리'!$A$1:$B$59, 2, 0)</f>
        <v>RAW_SEAFOOD</v>
      </c>
      <c r="E674" t="s">
        <v>264</v>
      </c>
      <c r="F674" t="s">
        <v>691</v>
      </c>
    </row>
    <row r="675" spans="1:6" x14ac:dyDescent="0.3">
      <c r="A675" t="s">
        <v>1421</v>
      </c>
      <c r="B675" t="str" cm="1">
        <f t="array" ref="B675">_xlfn.XLOOKUP(C675, INDEX([1]!카테고리매핑,,2), INDEX([1]!카테고리매핑,,1), "미등록 카테고리")</f>
        <v>과일/견과류</v>
      </c>
      <c r="C675" t="s">
        <v>654</v>
      </c>
      <c r="D675" t="str">
        <f>VLOOKUP(C675, '[1]VLOOKUP 함수용 카테고리'!$A$1:$B$59, 2, 0)</f>
        <v>RAW_FRUIT</v>
      </c>
      <c r="E675" t="s">
        <v>1422</v>
      </c>
      <c r="F675" t="s">
        <v>151</v>
      </c>
    </row>
    <row r="676" spans="1:6" x14ac:dyDescent="0.3">
      <c r="A676" t="s">
        <v>1423</v>
      </c>
      <c r="B676" t="str" cm="1">
        <f t="array" ref="B676">_xlfn.XLOOKUP(C676, INDEX([1]!카테고리매핑,,2), INDEX([1]!카테고리매핑,,1), "미등록 카테고리")</f>
        <v>채소/곡물류</v>
      </c>
      <c r="C676" t="s">
        <v>7</v>
      </c>
      <c r="D676" t="str">
        <f>VLOOKUP(C676, '[1]VLOOKUP 함수용 카테고리'!$A$1:$B$59, 2, 0)</f>
        <v>RAW_PRODUCE</v>
      </c>
      <c r="E676" t="s">
        <v>331</v>
      </c>
      <c r="F676" t="s">
        <v>406</v>
      </c>
    </row>
    <row r="677" spans="1:6" x14ac:dyDescent="0.3">
      <c r="A677" t="s">
        <v>1424</v>
      </c>
      <c r="B677" t="str" cm="1">
        <f t="array" ref="B677">_xlfn.XLOOKUP(C677, INDEX([1]!카테고리매핑,,2), INDEX([1]!카테고리매핑,,1), "미등록 카테고리")</f>
        <v>육류/계란</v>
      </c>
      <c r="C677" t="s">
        <v>149</v>
      </c>
      <c r="D677" t="str">
        <f>VLOOKUP(C677, '[1]VLOOKUP 함수용 카테고리'!$A$1:$B$59, 2, 0)</f>
        <v>RAW_MEAT</v>
      </c>
      <c r="E677" t="s">
        <v>150</v>
      </c>
      <c r="F677" t="s">
        <v>1425</v>
      </c>
    </row>
    <row r="678" spans="1:6" x14ac:dyDescent="0.3">
      <c r="A678" t="s">
        <v>1426</v>
      </c>
      <c r="B678" t="str" cm="1">
        <f t="array" ref="B678">_xlfn.XLOOKUP(C678, INDEX([1]!카테고리매핑,,2), INDEX([1]!카테고리매핑,,1), "미등록 카테고리")</f>
        <v>간식류</v>
      </c>
      <c r="C678" t="s">
        <v>63</v>
      </c>
      <c r="D678" t="str">
        <f>VLOOKUP(C678, '[1]VLOOKUP 함수용 카테고리'!$A$1:$B$59, 2, 0)</f>
        <v>BAKERY</v>
      </c>
      <c r="E678" t="s">
        <v>1427</v>
      </c>
      <c r="F678" t="s">
        <v>1428</v>
      </c>
    </row>
    <row r="679" spans="1:6" x14ac:dyDescent="0.3">
      <c r="A679" t="s">
        <v>1429</v>
      </c>
      <c r="B679" t="str" cm="1">
        <f t="array" ref="B679">_xlfn.XLOOKUP(C679, INDEX([1]!카테고리매핑,,2), INDEX([1]!카테고리매핑,,1), "미등록 카테고리")</f>
        <v>간편식</v>
      </c>
      <c r="C679" t="s">
        <v>19</v>
      </c>
      <c r="D679" t="str">
        <f>VLOOKUP(C679, '[1]VLOOKUP 함수용 카테고리'!$A$1:$B$59, 2, 0)</f>
        <v>FROZEN_MEAL</v>
      </c>
      <c r="E679" t="s">
        <v>1430</v>
      </c>
      <c r="F679" t="s">
        <v>632</v>
      </c>
    </row>
    <row r="680" spans="1:6" x14ac:dyDescent="0.3">
      <c r="A680" t="s">
        <v>1431</v>
      </c>
      <c r="B680" t="str" cm="1">
        <f t="array" ref="B680">_xlfn.XLOOKUP(C680, INDEX([1]!카테고리매핑,,2), INDEX([1]!카테고리매핑,,1), "미등록 카테고리")</f>
        <v>간식류</v>
      </c>
      <c r="C680" t="s">
        <v>63</v>
      </c>
      <c r="D680" t="str">
        <f>VLOOKUP(C680, '[1]VLOOKUP 함수용 카테고리'!$A$1:$B$59, 2, 0)</f>
        <v>BAKERY</v>
      </c>
      <c r="E680" t="s">
        <v>1432</v>
      </c>
      <c r="F680" t="s">
        <v>1047</v>
      </c>
    </row>
    <row r="681" spans="1:6" x14ac:dyDescent="0.3">
      <c r="A681" t="s">
        <v>1433</v>
      </c>
      <c r="B681" t="str" cm="1">
        <f t="array" ref="B681">_xlfn.XLOOKUP(C681, INDEX([1]!카테고리매핑,,2), INDEX([1]!카테고리매핑,,1), "미등록 카테고리")</f>
        <v>조미료</v>
      </c>
      <c r="C681" t="s">
        <v>127</v>
      </c>
      <c r="D681" t="str">
        <f>VLOOKUP(C681, '[1]VLOOKUP 함수용 카테고리'!$A$1:$B$59, 2, 0)</f>
        <v>SAUCE_SEASONING</v>
      </c>
      <c r="E681" t="s">
        <v>340</v>
      </c>
      <c r="F681" t="s">
        <v>350</v>
      </c>
    </row>
    <row r="682" spans="1:6" x14ac:dyDescent="0.3">
      <c r="A682" t="s">
        <v>1434</v>
      </c>
      <c r="B682" t="str" cm="1">
        <f t="array" ref="B682">_xlfn.XLOOKUP(C682, INDEX([1]!카테고리매핑,,2), INDEX([1]!카테고리매핑,,1), "미등록 카테고리")</f>
        <v>미등록 카테고리</v>
      </c>
      <c r="C682" t="s">
        <v>334</v>
      </c>
      <c r="D682" t="str">
        <f>VLOOKUP(C682, '[1]VLOOKUP 함수용 카테고리'!$A$1:$B$59, 2, 0)</f>
        <v>UNKNOWN</v>
      </c>
      <c r="E682" t="s">
        <v>334</v>
      </c>
      <c r="F682" t="s">
        <v>1435</v>
      </c>
    </row>
    <row r="683" spans="1:6" x14ac:dyDescent="0.3">
      <c r="A683" t="s">
        <v>1436</v>
      </c>
      <c r="B683" t="str" cm="1">
        <f t="array" ref="B683">_xlfn.XLOOKUP(C683, INDEX([1]!카테고리매핑,,2), INDEX([1]!카테고리매핑,,1), "미등록 카테고리")</f>
        <v>간식류</v>
      </c>
      <c r="C683" t="s">
        <v>38</v>
      </c>
      <c r="D683" t="str">
        <f>VLOOKUP(C683, '[1]VLOOKUP 함수용 카테고리'!$A$1:$B$59, 2, 0)</f>
        <v>SNACK</v>
      </c>
      <c r="E683" t="s">
        <v>179</v>
      </c>
      <c r="F683" t="s">
        <v>1437</v>
      </c>
    </row>
    <row r="684" spans="1:6" x14ac:dyDescent="0.3">
      <c r="A684" t="s">
        <v>1438</v>
      </c>
      <c r="B684" t="str" cm="1">
        <f t="array" ref="B684">_xlfn.XLOOKUP(C684, INDEX([1]!카테고리매핑,,2), INDEX([1]!카테고리매핑,,1), "미등록 카테고리")</f>
        <v>조미료</v>
      </c>
      <c r="C684" t="s">
        <v>127</v>
      </c>
      <c r="D684" t="str">
        <f>VLOOKUP(C684, '[1]VLOOKUP 함수용 카테고리'!$A$1:$B$59, 2, 0)</f>
        <v>SAUCE_SEASONING</v>
      </c>
      <c r="E684" t="s">
        <v>248</v>
      </c>
      <c r="F684" t="s">
        <v>1439</v>
      </c>
    </row>
    <row r="685" spans="1:6" x14ac:dyDescent="0.3">
      <c r="A685" t="s">
        <v>1440</v>
      </c>
      <c r="B685" t="str" cm="1">
        <f t="array" ref="B685">_xlfn.XLOOKUP(C685, INDEX([1]!카테고리매핑,,2), INDEX([1]!카테고리매핑,,1), "미등록 카테고리")</f>
        <v>조미료</v>
      </c>
      <c r="C685" t="s">
        <v>127</v>
      </c>
      <c r="D685" t="str">
        <f>VLOOKUP(C685, '[1]VLOOKUP 함수용 카테고리'!$A$1:$B$59, 2, 0)</f>
        <v>SAUCE_SEASONING</v>
      </c>
      <c r="E685" t="s">
        <v>1441</v>
      </c>
      <c r="F685" t="s">
        <v>1442</v>
      </c>
    </row>
    <row r="686" spans="1:6" x14ac:dyDescent="0.3">
      <c r="A686" t="s">
        <v>1443</v>
      </c>
      <c r="B686" t="str" cm="1">
        <f t="array" ref="B686">_xlfn.XLOOKUP(C686, INDEX([1]!카테고리매핑,,2), INDEX([1]!카테고리매핑,,1), "미등록 카테고리")</f>
        <v>간편식</v>
      </c>
      <c r="C686" t="s">
        <v>19</v>
      </c>
      <c r="D686" t="str">
        <f>VLOOKUP(C686, '[1]VLOOKUP 함수용 카테고리'!$A$1:$B$59, 2, 0)</f>
        <v>FROZEN_MEAL</v>
      </c>
      <c r="E686" t="s">
        <v>245</v>
      </c>
      <c r="F686" t="s">
        <v>7721</v>
      </c>
    </row>
    <row r="687" spans="1:6" x14ac:dyDescent="0.3">
      <c r="A687" t="s">
        <v>1444</v>
      </c>
      <c r="B687" t="str" cm="1">
        <f t="array" ref="B687">_xlfn.XLOOKUP(C687, INDEX([1]!카테고리매핑,,2), INDEX([1]!카테고리매핑,,1), "미등록 카테고리")</f>
        <v>채소/곡물류</v>
      </c>
      <c r="C687" t="s">
        <v>301</v>
      </c>
      <c r="D687" t="str">
        <f>VLOOKUP(C687, '[1]VLOOKUP 함수용 카테고리'!$A$1:$B$59, 2, 0)</f>
        <v>GRAIN</v>
      </c>
      <c r="E687" t="s">
        <v>611</v>
      </c>
      <c r="F687" t="s">
        <v>7722</v>
      </c>
    </row>
    <row r="688" spans="1:6" x14ac:dyDescent="0.3">
      <c r="A688" t="s">
        <v>1446</v>
      </c>
      <c r="B688" t="str" cm="1">
        <f t="array" ref="B688">_xlfn.XLOOKUP(C688, INDEX([1]!카테고리매핑,,2), INDEX([1]!카테고리매핑,,1), "미등록 카테고리")</f>
        <v>조미료</v>
      </c>
      <c r="C688" t="s">
        <v>83</v>
      </c>
      <c r="D688" t="str">
        <f>VLOOKUP(C688, '[1]VLOOKUP 함수용 카테고리'!$A$1:$B$59, 2, 0)</f>
        <v>SAUCE_SEASONING</v>
      </c>
      <c r="E688" t="s">
        <v>7667</v>
      </c>
      <c r="F688" t="s">
        <v>646</v>
      </c>
    </row>
    <row r="689" spans="1:6" x14ac:dyDescent="0.3">
      <c r="A689" t="s">
        <v>1447</v>
      </c>
      <c r="B689" t="str" cm="1">
        <f t="array" ref="B689">_xlfn.XLOOKUP(C689, INDEX([1]!카테고리매핑,,2), INDEX([1]!카테고리매핑,,1), "미등록 카테고리")</f>
        <v>육류/계란</v>
      </c>
      <c r="C689" t="s">
        <v>149</v>
      </c>
      <c r="D689" t="str">
        <f>VLOOKUP(C689, '[1]VLOOKUP 함수용 카테고리'!$A$1:$B$59, 2, 0)</f>
        <v>RAW_MEAT</v>
      </c>
      <c r="E689" t="s">
        <v>1448</v>
      </c>
      <c r="F689" t="s">
        <v>7723</v>
      </c>
    </row>
    <row r="690" spans="1:6" x14ac:dyDescent="0.3">
      <c r="A690" t="s">
        <v>1449</v>
      </c>
      <c r="B690" t="str" cm="1">
        <f t="array" ref="B690">_xlfn.XLOOKUP(C690, INDEX([1]!카테고리매핑,,2), INDEX([1]!카테고리매핑,,1), "미등록 카테고리")</f>
        <v>음료</v>
      </c>
      <c r="C690" t="s">
        <v>23</v>
      </c>
      <c r="D690" t="str">
        <f>VLOOKUP(C690, '[1]VLOOKUP 함수용 카테고리'!$A$1:$B$59, 2, 0)</f>
        <v>BEVERAGE</v>
      </c>
      <c r="E690" t="s">
        <v>502</v>
      </c>
      <c r="F690" t="s">
        <v>1450</v>
      </c>
    </row>
    <row r="691" spans="1:6" x14ac:dyDescent="0.3">
      <c r="A691" t="s">
        <v>1451</v>
      </c>
      <c r="B691" t="str" cm="1">
        <f t="array" ref="B691">_xlfn.XLOOKUP(C691, INDEX([1]!카테고리매핑,,2), INDEX([1]!카테고리매핑,,1), "미등록 카테고리")</f>
        <v>조미료</v>
      </c>
      <c r="C691" t="s">
        <v>117</v>
      </c>
      <c r="D691" t="str">
        <f>VLOOKUP(C691, '[1]VLOOKUP 함수용 카테고리'!$A$1:$B$59, 2, 0)</f>
        <v>SAUCE_SEASONING</v>
      </c>
      <c r="E691" t="s">
        <v>421</v>
      </c>
      <c r="F691" t="s">
        <v>1452</v>
      </c>
    </row>
    <row r="692" spans="1:6" x14ac:dyDescent="0.3">
      <c r="A692" t="s">
        <v>1453</v>
      </c>
      <c r="B692" t="str" cm="1">
        <f t="array" ref="B692">_xlfn.XLOOKUP(C692, INDEX([1]!카테고리매핑,,2), INDEX([1]!카테고리매핑,,1), "미등록 카테고리")</f>
        <v>간식류</v>
      </c>
      <c r="C692" t="s">
        <v>15</v>
      </c>
      <c r="D692" t="str">
        <f>VLOOKUP(C692, '[1]VLOOKUP 함수용 카테고리'!$A$1:$B$59, 2, 0)</f>
        <v>BAKERY</v>
      </c>
      <c r="E692" t="s">
        <v>67</v>
      </c>
      <c r="F692" t="s">
        <v>1454</v>
      </c>
    </row>
    <row r="693" spans="1:6" x14ac:dyDescent="0.3">
      <c r="A693" t="s">
        <v>1455</v>
      </c>
      <c r="B693" t="str" cm="1">
        <f t="array" ref="B693">_xlfn.XLOOKUP(C693, INDEX([1]!카테고리매핑,,2), INDEX([1]!카테고리매핑,,1), "미등록 카테고리")</f>
        <v>술</v>
      </c>
      <c r="C693" t="s">
        <v>42</v>
      </c>
      <c r="D693" t="str">
        <f>VLOOKUP(C693, '[1]VLOOKUP 함수용 카테고리'!$A$1:$B$59, 2, 0)</f>
        <v>ALCOHOL</v>
      </c>
      <c r="E693" t="s">
        <v>43</v>
      </c>
    </row>
    <row r="694" spans="1:6" x14ac:dyDescent="0.3">
      <c r="A694" t="s">
        <v>1456</v>
      </c>
      <c r="B694" t="str" cm="1">
        <f t="array" ref="B694">_xlfn.XLOOKUP(C694, INDEX([1]!카테고리매핑,,2), INDEX([1]!카테고리매핑,,1), "미등록 카테고리")</f>
        <v>간편식</v>
      </c>
      <c r="C694" t="s">
        <v>256</v>
      </c>
      <c r="D694" t="str">
        <f>VLOOKUP(C694, '[1]VLOOKUP 함수용 카테고리'!$A$1:$B$59, 2, 0)</f>
        <v>RTC_MEAL</v>
      </c>
      <c r="E694" t="s">
        <v>256</v>
      </c>
      <c r="F694" t="s">
        <v>1457</v>
      </c>
    </row>
    <row r="695" spans="1:6" x14ac:dyDescent="0.3">
      <c r="A695" t="s">
        <v>1458</v>
      </c>
      <c r="B695" t="str" cm="1">
        <f t="array" ref="B695">_xlfn.XLOOKUP(C695, INDEX([1]!카테고리매핑,,2), INDEX([1]!카테고리매핑,,1), "미등록 카테고리")</f>
        <v>유제품</v>
      </c>
      <c r="C695" t="s">
        <v>98</v>
      </c>
      <c r="D695" t="str">
        <f>VLOOKUP(C695, '[1]VLOOKUP 함수용 카테고리'!$A$1:$B$59, 2, 0)</f>
        <v>DAIRY</v>
      </c>
      <c r="E695" t="s">
        <v>1459</v>
      </c>
      <c r="F695" t="s">
        <v>1460</v>
      </c>
    </row>
    <row r="696" spans="1:6" x14ac:dyDescent="0.3">
      <c r="A696" t="s">
        <v>1461</v>
      </c>
      <c r="B696" t="str" cm="1">
        <f t="array" ref="B696">_xlfn.XLOOKUP(C696, INDEX([1]!카테고리매핑,,2), INDEX([1]!카테고리매핑,,1), "미등록 카테고리")</f>
        <v>간식류</v>
      </c>
      <c r="C696" t="s">
        <v>38</v>
      </c>
      <c r="D696" t="str">
        <f>VLOOKUP(C696, '[1]VLOOKUP 함수용 카테고리'!$A$1:$B$59, 2, 0)</f>
        <v>SNACK</v>
      </c>
      <c r="E696" t="s">
        <v>1462</v>
      </c>
      <c r="F696" t="s">
        <v>198</v>
      </c>
    </row>
    <row r="697" spans="1:6" x14ac:dyDescent="0.3">
      <c r="A697" t="s">
        <v>1463</v>
      </c>
      <c r="B697" t="str" cm="1">
        <f t="array" ref="B697">_xlfn.XLOOKUP(C697, INDEX([1]!카테고리매핑,,2), INDEX([1]!카테고리매핑,,1), "미등록 카테고리")</f>
        <v>유제품</v>
      </c>
      <c r="C697" t="s">
        <v>123</v>
      </c>
      <c r="D697" t="str">
        <f>VLOOKUP(C697, '[1]VLOOKUP 함수용 카테고리'!$A$1:$B$59, 2, 0)</f>
        <v>DAIRY</v>
      </c>
      <c r="E697" t="s">
        <v>190</v>
      </c>
      <c r="F697" t="s">
        <v>1464</v>
      </c>
    </row>
    <row r="698" spans="1:6" x14ac:dyDescent="0.3">
      <c r="A698" t="s">
        <v>1465</v>
      </c>
      <c r="B698" t="str" cm="1">
        <f t="array" ref="B698">_xlfn.XLOOKUP(C698, INDEX([1]!카테고리매핑,,2), INDEX([1]!카테고리매핑,,1), "미등록 카테고리")</f>
        <v>유제품</v>
      </c>
      <c r="C698" t="s">
        <v>98</v>
      </c>
      <c r="D698" t="str">
        <f>VLOOKUP(C698, '[1]VLOOKUP 함수용 카테고리'!$A$1:$B$59, 2, 0)</f>
        <v>DAIRY</v>
      </c>
      <c r="E698" t="s">
        <v>1466</v>
      </c>
      <c r="F698" t="s">
        <v>1467</v>
      </c>
    </row>
    <row r="699" spans="1:6" x14ac:dyDescent="0.3">
      <c r="A699" t="s">
        <v>1468</v>
      </c>
      <c r="B699" t="str" cm="1">
        <f t="array" ref="B699">_xlfn.XLOOKUP(C699, INDEX([1]!카테고리매핑,,2), INDEX([1]!카테고리매핑,,1), "미등록 카테고리")</f>
        <v>간식류</v>
      </c>
      <c r="C699" t="s">
        <v>15</v>
      </c>
      <c r="D699" t="str">
        <f>VLOOKUP(C699, '[1]VLOOKUP 함수용 카테고리'!$A$1:$B$59, 2, 0)</f>
        <v>BAKERY</v>
      </c>
      <c r="E699" t="s">
        <v>1469</v>
      </c>
      <c r="F699" t="s">
        <v>129</v>
      </c>
    </row>
    <row r="700" spans="1:6" x14ac:dyDescent="0.3">
      <c r="A700" t="s">
        <v>1470</v>
      </c>
      <c r="B700" t="str" cm="1">
        <f t="array" ref="B700">_xlfn.XLOOKUP(C700, INDEX([1]!카테고리매핑,,2), INDEX([1]!카테고리매핑,,1), "미등록 카테고리")</f>
        <v>과일/견과류</v>
      </c>
      <c r="C700" t="s">
        <v>654</v>
      </c>
      <c r="D700" t="str">
        <f>VLOOKUP(C700, '[1]VLOOKUP 함수용 카테고리'!$A$1:$B$59, 2, 0)</f>
        <v>RAW_FRUIT</v>
      </c>
      <c r="E700" t="s">
        <v>1422</v>
      </c>
      <c r="F700" t="s">
        <v>151</v>
      </c>
    </row>
    <row r="701" spans="1:6" x14ac:dyDescent="0.3">
      <c r="A701" t="s">
        <v>1471</v>
      </c>
      <c r="B701" t="str" cm="1">
        <f t="array" ref="B701">_xlfn.XLOOKUP(C701, INDEX([1]!카테고리매핑,,2), INDEX([1]!카테고리매핑,,1), "미등록 카테고리")</f>
        <v>육류/계란</v>
      </c>
      <c r="C701" t="s">
        <v>428</v>
      </c>
      <c r="D701" t="str">
        <f>VLOOKUP(C701, '[1]VLOOKUP 함수용 카테고리'!$A$1:$B$59, 2, 0)</f>
        <v>PROCESSED_MEAT</v>
      </c>
      <c r="E701" t="s">
        <v>790</v>
      </c>
      <c r="F701" t="s">
        <v>182</v>
      </c>
    </row>
    <row r="702" spans="1:6" x14ac:dyDescent="0.3">
      <c r="A702" t="s">
        <v>1472</v>
      </c>
      <c r="B702" t="str" cm="1">
        <f t="array" ref="B702">_xlfn.XLOOKUP(C702, INDEX([1]!카테고리매핑,,2), INDEX([1]!카테고리매핑,,1), "미등록 카테고리")</f>
        <v>수산물</v>
      </c>
      <c r="C702" t="s">
        <v>229</v>
      </c>
      <c r="D702" t="str">
        <f>VLOOKUP(C702, '[1]VLOOKUP 함수용 카테고리'!$A$1:$B$59, 2, 0)</f>
        <v>RAW_SEAFOOD</v>
      </c>
      <c r="E702" t="s">
        <v>230</v>
      </c>
      <c r="F702" t="s">
        <v>1399</v>
      </c>
    </row>
    <row r="703" spans="1:6" x14ac:dyDescent="0.3">
      <c r="A703" t="s">
        <v>1473</v>
      </c>
      <c r="B703" t="str" cm="1">
        <f t="array" ref="B703">_xlfn.XLOOKUP(C703, INDEX([1]!카테고리매핑,,2), INDEX([1]!카테고리매핑,,1), "미등록 카테고리")</f>
        <v>조미료</v>
      </c>
      <c r="C703" t="s">
        <v>127</v>
      </c>
      <c r="D703" t="str">
        <f>VLOOKUP(C703, '[1]VLOOKUP 함수용 카테고리'!$A$1:$B$59, 2, 0)</f>
        <v>SAUCE_SEASONING</v>
      </c>
      <c r="E703" t="s">
        <v>436</v>
      </c>
      <c r="F703" t="s">
        <v>182</v>
      </c>
    </row>
    <row r="704" spans="1:6" x14ac:dyDescent="0.3">
      <c r="A704" t="s">
        <v>1474</v>
      </c>
      <c r="B704" t="str" cm="1">
        <f t="array" ref="B704">_xlfn.XLOOKUP(C704, INDEX([1]!카테고리매핑,,2), INDEX([1]!카테고리매핑,,1), "미등록 카테고리")</f>
        <v>육류/계란</v>
      </c>
      <c r="C704" t="s">
        <v>105</v>
      </c>
      <c r="D704" t="str">
        <f>VLOOKUP(C704, '[1]VLOOKUP 함수용 카테고리'!$A$1:$B$59, 2, 0)</f>
        <v>RAW_MEAT</v>
      </c>
      <c r="E704" t="s">
        <v>1475</v>
      </c>
      <c r="F704" t="s">
        <v>1476</v>
      </c>
    </row>
    <row r="705" spans="1:6" x14ac:dyDescent="0.3">
      <c r="A705" t="s">
        <v>1477</v>
      </c>
      <c r="B705" t="str" cm="1">
        <f t="array" ref="B705">_xlfn.XLOOKUP(C705, INDEX([1]!카테고리매핑,,2), INDEX([1]!카테고리매핑,,1), "미등록 카테고리")</f>
        <v>육류/계란</v>
      </c>
      <c r="C705" t="s">
        <v>298</v>
      </c>
      <c r="D705" t="str">
        <f>VLOOKUP(C705, '[1]VLOOKUP 함수용 카테고리'!$A$1:$B$59, 2, 0)</f>
        <v>RAW_MEAT</v>
      </c>
      <c r="E705" t="s">
        <v>298</v>
      </c>
      <c r="F705" t="s">
        <v>350</v>
      </c>
    </row>
    <row r="706" spans="1:6" x14ac:dyDescent="0.3">
      <c r="A706" t="s">
        <v>1478</v>
      </c>
      <c r="B706" t="str" cm="1">
        <f t="array" ref="B706">_xlfn.XLOOKUP(C706, INDEX([1]!카테고리매핑,,2), INDEX([1]!카테고리매핑,,1), "미등록 카테고리")</f>
        <v>간편식</v>
      </c>
      <c r="C706" t="s">
        <v>46</v>
      </c>
      <c r="D706" t="str">
        <f>VLOOKUP(C706, '[1]VLOOKUP 함수용 카테고리'!$A$1:$B$59, 2, 0)</f>
        <v>RTC_MEAL</v>
      </c>
      <c r="E706" t="s">
        <v>46</v>
      </c>
      <c r="F706" t="s">
        <v>29</v>
      </c>
    </row>
    <row r="707" spans="1:6" x14ac:dyDescent="0.3">
      <c r="A707" t="s">
        <v>1479</v>
      </c>
      <c r="B707" t="str" cm="1">
        <f t="array" ref="B707">_xlfn.XLOOKUP(C707, INDEX([1]!카테고리매핑,,2), INDEX([1]!카테고리매핑,,1), "미등록 카테고리")</f>
        <v>채소/곡물류</v>
      </c>
      <c r="C707" t="s">
        <v>164</v>
      </c>
      <c r="D707" t="str">
        <f>VLOOKUP(C707, '[1]VLOOKUP 함수용 카테고리'!$A$1:$B$59, 2, 0)</f>
        <v>RAW_PRODUCE</v>
      </c>
      <c r="E707" t="s">
        <v>165</v>
      </c>
      <c r="F707" t="s">
        <v>151</v>
      </c>
    </row>
    <row r="708" spans="1:6" x14ac:dyDescent="0.3">
      <c r="A708" t="s">
        <v>1480</v>
      </c>
      <c r="B708" t="str" cm="1">
        <f t="array" ref="B708">_xlfn.XLOOKUP(C708, INDEX([1]!카테고리매핑,,2), INDEX([1]!카테고리매핑,,1), "미등록 카테고리")</f>
        <v>간편식</v>
      </c>
      <c r="C708" t="s">
        <v>256</v>
      </c>
      <c r="D708" t="str">
        <f>VLOOKUP(C708, '[1]VLOOKUP 함수용 카테고리'!$A$1:$B$59, 2, 0)</f>
        <v>RTC_MEAL</v>
      </c>
      <c r="E708" t="s">
        <v>256</v>
      </c>
      <c r="F708" t="s">
        <v>391</v>
      </c>
    </row>
    <row r="709" spans="1:6" x14ac:dyDescent="0.3">
      <c r="A709" t="s">
        <v>1481</v>
      </c>
      <c r="B709" t="str" cm="1">
        <f t="array" ref="B709">_xlfn.XLOOKUP(C709, INDEX([1]!카테고리매핑,,2), INDEX([1]!카테고리매핑,,1), "미등록 카테고리")</f>
        <v>간식류</v>
      </c>
      <c r="C709" t="s">
        <v>11</v>
      </c>
      <c r="D709" t="str">
        <f>VLOOKUP(C709, '[1]VLOOKUP 함수용 카테고리'!$A$1:$B$59, 2, 0)</f>
        <v>SNACK</v>
      </c>
      <c r="E709" t="s">
        <v>1482</v>
      </c>
      <c r="F709" t="s">
        <v>154</v>
      </c>
    </row>
    <row r="710" spans="1:6" x14ac:dyDescent="0.3">
      <c r="A710" t="s">
        <v>1483</v>
      </c>
      <c r="B710" t="str" cm="1">
        <f t="array" ref="B710">_xlfn.XLOOKUP(C710, INDEX([1]!카테고리매핑,,2), INDEX([1]!카테고리매핑,,1), "미등록 카테고리")</f>
        <v>간편식</v>
      </c>
      <c r="C710" t="s">
        <v>256</v>
      </c>
      <c r="D710" t="str">
        <f>VLOOKUP(C710, '[1]VLOOKUP 함수용 카테고리'!$A$1:$B$59, 2, 0)</f>
        <v>RTC_MEAL</v>
      </c>
      <c r="E710" t="s">
        <v>256</v>
      </c>
      <c r="F710" t="s">
        <v>1484</v>
      </c>
    </row>
    <row r="711" spans="1:6" x14ac:dyDescent="0.3">
      <c r="A711" t="s">
        <v>1485</v>
      </c>
      <c r="B711" t="str" cm="1">
        <f t="array" ref="B711">_xlfn.XLOOKUP(C711, INDEX([1]!카테고리매핑,,2), INDEX([1]!카테고리매핑,,1), "미등록 카테고리")</f>
        <v>유제품</v>
      </c>
      <c r="C711" t="s">
        <v>98</v>
      </c>
      <c r="D711" t="str">
        <f>VLOOKUP(C711, '[1]VLOOKUP 함수용 카테고리'!$A$1:$B$59, 2, 0)</f>
        <v>DAIRY</v>
      </c>
      <c r="E711" t="s">
        <v>98</v>
      </c>
      <c r="F711" t="s">
        <v>7724</v>
      </c>
    </row>
    <row r="712" spans="1:6" x14ac:dyDescent="0.3">
      <c r="A712" t="s">
        <v>1486</v>
      </c>
      <c r="B712" t="str" cm="1">
        <f t="array" ref="B712">_xlfn.XLOOKUP(C712, INDEX([1]!카테고리매핑,,2), INDEX([1]!카테고리매핑,,1), "미등록 카테고리")</f>
        <v>간편식</v>
      </c>
      <c r="C712" t="s">
        <v>46</v>
      </c>
      <c r="D712" t="str">
        <f>VLOOKUP(C712, '[1]VLOOKUP 함수용 카테고리'!$A$1:$B$59, 2, 0)</f>
        <v>RTC_MEAL</v>
      </c>
      <c r="E712" t="s">
        <v>46</v>
      </c>
      <c r="F712" t="s">
        <v>471</v>
      </c>
    </row>
    <row r="713" spans="1:6" x14ac:dyDescent="0.3">
      <c r="A713" t="s">
        <v>1487</v>
      </c>
      <c r="B713" t="str" cm="1">
        <f t="array" ref="B713">_xlfn.XLOOKUP(C713, INDEX([1]!카테고리매핑,,2), INDEX([1]!카테고리매핑,,1), "미등록 카테고리")</f>
        <v>채소/곡물류</v>
      </c>
      <c r="C713" t="s">
        <v>7</v>
      </c>
      <c r="D713" t="str">
        <f>VLOOKUP(C713, '[1]VLOOKUP 함수용 카테고리'!$A$1:$B$59, 2, 0)</f>
        <v>RAW_PRODUCE</v>
      </c>
      <c r="E713" t="s">
        <v>1488</v>
      </c>
    </row>
    <row r="714" spans="1:6" x14ac:dyDescent="0.3">
      <c r="A714" t="s">
        <v>1489</v>
      </c>
      <c r="B714" t="str" cm="1">
        <f t="array" ref="B714">_xlfn.XLOOKUP(C714, INDEX([1]!카테고리매핑,,2), INDEX([1]!카테고리매핑,,1), "미등록 카테고리")</f>
        <v>수산물</v>
      </c>
      <c r="C714" t="s">
        <v>140</v>
      </c>
      <c r="D714" t="str">
        <f>VLOOKUP(C714, '[1]VLOOKUP 함수용 카테고리'!$A$1:$B$59, 2, 0)</f>
        <v>SIMPLE_PROCESSED</v>
      </c>
      <c r="E714" t="s">
        <v>141</v>
      </c>
      <c r="F714" t="s">
        <v>1490</v>
      </c>
    </row>
    <row r="715" spans="1:6" x14ac:dyDescent="0.3">
      <c r="A715" t="s">
        <v>1491</v>
      </c>
      <c r="B715" t="str" cm="1">
        <f t="array" ref="B715">_xlfn.XLOOKUP(C715, INDEX([1]!카테고리매핑,,2), INDEX([1]!카테고리매핑,,1), "미등록 카테고리")</f>
        <v>유제품</v>
      </c>
      <c r="C715" t="s">
        <v>98</v>
      </c>
      <c r="D715" t="str">
        <f>VLOOKUP(C715, '[1]VLOOKUP 함수용 카테고리'!$A$1:$B$59, 2, 0)</f>
        <v>DAIRY</v>
      </c>
      <c r="E715" t="s">
        <v>98</v>
      </c>
      <c r="F715" t="s">
        <v>274</v>
      </c>
    </row>
    <row r="716" spans="1:6" x14ac:dyDescent="0.3">
      <c r="A716" t="s">
        <v>1492</v>
      </c>
      <c r="B716" t="str" cm="1">
        <f t="array" ref="B716">_xlfn.XLOOKUP(C716, INDEX([1]!카테고리매핑,,2), INDEX([1]!카테고리매핑,,1), "미등록 카테고리")</f>
        <v>조미료</v>
      </c>
      <c r="C716" t="s">
        <v>117</v>
      </c>
      <c r="D716" t="str">
        <f>VLOOKUP(C716, '[1]VLOOKUP 함수용 카테고리'!$A$1:$B$59, 2, 0)</f>
        <v>SAUCE_SEASONING</v>
      </c>
      <c r="E716" t="s">
        <v>1493</v>
      </c>
      <c r="F716" t="s">
        <v>7684</v>
      </c>
    </row>
    <row r="717" spans="1:6" x14ac:dyDescent="0.3">
      <c r="A717" t="s">
        <v>1494</v>
      </c>
      <c r="B717" t="str" cm="1">
        <f t="array" ref="B717">_xlfn.XLOOKUP(C717, INDEX([1]!카테고리매핑,,2), INDEX([1]!카테고리매핑,,1), "미등록 카테고리")</f>
        <v>유제품</v>
      </c>
      <c r="C717" t="s">
        <v>123</v>
      </c>
      <c r="D717" t="str">
        <f>VLOOKUP(C717, '[1]VLOOKUP 함수용 카테고리'!$A$1:$B$59, 2, 0)</f>
        <v>DAIRY</v>
      </c>
      <c r="E717" t="s">
        <v>622</v>
      </c>
      <c r="F717" t="s">
        <v>191</v>
      </c>
    </row>
    <row r="718" spans="1:6" x14ac:dyDescent="0.3">
      <c r="A718" t="s">
        <v>1495</v>
      </c>
      <c r="B718" t="str" cm="1">
        <f t="array" ref="B718">_xlfn.XLOOKUP(C718, INDEX([1]!카테고리매핑,,2), INDEX([1]!카테고리매핑,,1), "미등록 카테고리")</f>
        <v>간식류</v>
      </c>
      <c r="C718" t="s">
        <v>11</v>
      </c>
      <c r="D718" t="str">
        <f>VLOOKUP(C718, '[1]VLOOKUP 함수용 카테고리'!$A$1:$B$59, 2, 0)</f>
        <v>SNACK</v>
      </c>
      <c r="E718" t="s">
        <v>1496</v>
      </c>
      <c r="F718" t="s">
        <v>1497</v>
      </c>
    </row>
    <row r="719" spans="1:6" x14ac:dyDescent="0.3">
      <c r="A719" t="s">
        <v>1498</v>
      </c>
      <c r="B719" t="str" cm="1">
        <f t="array" ref="B719">_xlfn.XLOOKUP(C719, INDEX([1]!카테고리매핑,,2), INDEX([1]!카테고리매핑,,1), "미등록 카테고리")</f>
        <v>미등록 카테고리</v>
      </c>
      <c r="C719" t="s">
        <v>334</v>
      </c>
      <c r="D719" t="str">
        <f>VLOOKUP(C719, '[1]VLOOKUP 함수용 카테고리'!$A$1:$B$59, 2, 0)</f>
        <v>UNKNOWN</v>
      </c>
      <c r="E719" t="s">
        <v>334</v>
      </c>
      <c r="F719" t="s">
        <v>1499</v>
      </c>
    </row>
    <row r="720" spans="1:6" x14ac:dyDescent="0.3">
      <c r="A720" t="s">
        <v>1500</v>
      </c>
      <c r="B720" t="str" cm="1">
        <f t="array" ref="B720">_xlfn.XLOOKUP(C720, INDEX([1]!카테고리매핑,,2), INDEX([1]!카테고리매핑,,1), "미등록 카테고리")</f>
        <v>간편식</v>
      </c>
      <c r="C720" t="s">
        <v>131</v>
      </c>
      <c r="D720" t="str">
        <f>VLOOKUP(C720, '[1]VLOOKUP 함수용 카테고리'!$A$1:$B$59, 2, 0)</f>
        <v>SIMPLE_PROCESSED</v>
      </c>
      <c r="E720" t="s">
        <v>1501</v>
      </c>
      <c r="F720" t="s">
        <v>928</v>
      </c>
    </row>
    <row r="721" spans="1:6" x14ac:dyDescent="0.3">
      <c r="A721" t="s">
        <v>1502</v>
      </c>
      <c r="B721" t="str" cm="1">
        <f t="array" ref="B721">_xlfn.XLOOKUP(C721, INDEX([1]!카테고리매핑,,2), INDEX([1]!카테고리매핑,,1), "미등록 카테고리")</f>
        <v>간식류</v>
      </c>
      <c r="C721" t="s">
        <v>63</v>
      </c>
      <c r="D721" t="str">
        <f>VLOOKUP(C721, '[1]VLOOKUP 함수용 카테고리'!$A$1:$B$59, 2, 0)</f>
        <v>BAKERY</v>
      </c>
      <c r="E721" t="s">
        <v>1503</v>
      </c>
      <c r="F721" t="s">
        <v>892</v>
      </c>
    </row>
    <row r="722" spans="1:6" x14ac:dyDescent="0.3">
      <c r="A722" t="s">
        <v>1504</v>
      </c>
      <c r="B722" t="str" cm="1">
        <f t="array" ref="B722">_xlfn.XLOOKUP(C722, INDEX([1]!카테고리매핑,,2), INDEX([1]!카테고리매핑,,1), "미등록 카테고리")</f>
        <v>간편식</v>
      </c>
      <c r="C722" t="s">
        <v>46</v>
      </c>
      <c r="D722" t="str">
        <f>VLOOKUP(C722, '[1]VLOOKUP 함수용 카테고리'!$A$1:$B$59, 2, 0)</f>
        <v>RTC_MEAL</v>
      </c>
      <c r="E722" t="s">
        <v>46</v>
      </c>
      <c r="F722" t="s">
        <v>156</v>
      </c>
    </row>
    <row r="723" spans="1:6" x14ac:dyDescent="0.3">
      <c r="A723" t="s">
        <v>1505</v>
      </c>
      <c r="B723" t="str" cm="1">
        <f t="array" ref="B723">_xlfn.XLOOKUP(C723, INDEX([1]!카테고리매핑,,2), INDEX([1]!카테고리매핑,,1), "미등록 카테고리")</f>
        <v>간식류</v>
      </c>
      <c r="C723" t="s">
        <v>11</v>
      </c>
      <c r="D723" t="str">
        <f>VLOOKUP(C723, '[1]VLOOKUP 함수용 카테고리'!$A$1:$B$59, 2, 0)</f>
        <v>SNACK</v>
      </c>
      <c r="E723" t="s">
        <v>1506</v>
      </c>
      <c r="F723" t="s">
        <v>198</v>
      </c>
    </row>
    <row r="724" spans="1:6" x14ac:dyDescent="0.3">
      <c r="A724" t="s">
        <v>1507</v>
      </c>
      <c r="B724" t="str" cm="1">
        <f t="array" ref="B724">_xlfn.XLOOKUP(C724, INDEX([1]!카테고리매핑,,2), INDEX([1]!카테고리매핑,,1), "미등록 카테고리")</f>
        <v>과일/견과류</v>
      </c>
      <c r="C724" t="s">
        <v>654</v>
      </c>
      <c r="D724" t="str">
        <f>VLOOKUP(C724, '[1]VLOOKUP 함수용 카테고리'!$A$1:$B$59, 2, 0)</f>
        <v>RAW_FRUIT</v>
      </c>
      <c r="E724" t="s">
        <v>681</v>
      </c>
      <c r="F724" t="s">
        <v>151</v>
      </c>
    </row>
    <row r="725" spans="1:6" x14ac:dyDescent="0.3">
      <c r="A725" t="s">
        <v>1508</v>
      </c>
      <c r="B725" t="str" cm="1">
        <f t="array" ref="B725">_xlfn.XLOOKUP(C725, INDEX([1]!카테고리매핑,,2), INDEX([1]!카테고리매핑,,1), "미등록 카테고리")</f>
        <v>육류/계란</v>
      </c>
      <c r="C725" t="s">
        <v>149</v>
      </c>
      <c r="D725" t="str">
        <f>VLOOKUP(C725, '[1]VLOOKUP 함수용 카테고리'!$A$1:$B$59, 2, 0)</f>
        <v>RAW_MEAT</v>
      </c>
      <c r="E725" t="s">
        <v>1509</v>
      </c>
      <c r="F725" t="s">
        <v>1510</v>
      </c>
    </row>
    <row r="726" spans="1:6" x14ac:dyDescent="0.3">
      <c r="A726" t="s">
        <v>1511</v>
      </c>
      <c r="B726" t="str" cm="1">
        <f t="array" ref="B726">_xlfn.XLOOKUP(C726, INDEX([1]!카테고리매핑,,2), INDEX([1]!카테고리매핑,,1), "미등록 카테고리")</f>
        <v>간편식</v>
      </c>
      <c r="C726" t="s">
        <v>158</v>
      </c>
      <c r="D726" t="str">
        <f>VLOOKUP(C726, '[1]VLOOKUP 함수용 카테고리'!$A$1:$B$59, 2, 0)</f>
        <v>INSTANT</v>
      </c>
      <c r="E726" t="s">
        <v>1512</v>
      </c>
      <c r="F726" t="s">
        <v>154</v>
      </c>
    </row>
    <row r="727" spans="1:6" x14ac:dyDescent="0.3">
      <c r="A727" t="s">
        <v>1513</v>
      </c>
      <c r="B727" t="str" cm="1">
        <f t="array" ref="B727">_xlfn.XLOOKUP(C727, INDEX([1]!카테고리매핑,,2), INDEX([1]!카테고리매핑,,1), "미등록 카테고리")</f>
        <v>간편식</v>
      </c>
      <c r="C727" t="s">
        <v>131</v>
      </c>
      <c r="D727" t="str">
        <f>VLOOKUP(C727, '[1]VLOOKUP 함수용 카테고리'!$A$1:$B$59, 2, 0)</f>
        <v>SIMPLE_PROCESSED</v>
      </c>
      <c r="E727" t="s">
        <v>132</v>
      </c>
      <c r="F727" t="s">
        <v>303</v>
      </c>
    </row>
    <row r="728" spans="1:6" x14ac:dyDescent="0.3">
      <c r="A728" t="s">
        <v>1514</v>
      </c>
      <c r="B728" t="str" cm="1">
        <f t="array" ref="B728">_xlfn.XLOOKUP(C728, INDEX([1]!카테고리매핑,,2), INDEX([1]!카테고리매핑,,1), "미등록 카테고리")</f>
        <v>간편식</v>
      </c>
      <c r="C728" t="s">
        <v>19</v>
      </c>
      <c r="D728" t="str">
        <f>VLOOKUP(C728, '[1]VLOOKUP 함수용 카테고리'!$A$1:$B$59, 2, 0)</f>
        <v>FROZEN_MEAL</v>
      </c>
      <c r="E728" t="s">
        <v>832</v>
      </c>
      <c r="F728" t="s">
        <v>1515</v>
      </c>
    </row>
    <row r="729" spans="1:6" x14ac:dyDescent="0.3">
      <c r="A729" t="s">
        <v>1516</v>
      </c>
      <c r="B729" t="str" cm="1">
        <f t="array" ref="B729">_xlfn.XLOOKUP(C729, INDEX([1]!카테고리매핑,,2), INDEX([1]!카테고리매핑,,1), "미등록 카테고리")</f>
        <v>채소/곡물류</v>
      </c>
      <c r="C729" t="s">
        <v>301</v>
      </c>
      <c r="D729" t="str">
        <f>VLOOKUP(C729, '[1]VLOOKUP 함수용 카테고리'!$A$1:$B$59, 2, 0)</f>
        <v>GRAIN</v>
      </c>
      <c r="E729" t="s">
        <v>490</v>
      </c>
      <c r="F729" t="s">
        <v>533</v>
      </c>
    </row>
    <row r="730" spans="1:6" x14ac:dyDescent="0.3">
      <c r="A730" t="s">
        <v>1517</v>
      </c>
      <c r="B730" t="str" cm="1">
        <f t="array" ref="B730">_xlfn.XLOOKUP(C730, INDEX([1]!카테고리매핑,,2), INDEX([1]!카테고리매핑,,1), "미등록 카테고리")</f>
        <v>조미료</v>
      </c>
      <c r="C730" t="s">
        <v>83</v>
      </c>
      <c r="D730" t="str">
        <f>VLOOKUP(C730, '[1]VLOOKUP 함수용 카테고리'!$A$1:$B$59, 2, 0)</f>
        <v>SAUCE_SEASONING</v>
      </c>
      <c r="E730" t="s">
        <v>1518</v>
      </c>
      <c r="F730" t="s">
        <v>1519</v>
      </c>
    </row>
    <row r="731" spans="1:6" x14ac:dyDescent="0.3">
      <c r="A731" t="s">
        <v>1520</v>
      </c>
      <c r="B731" t="str" cm="1">
        <f t="array" ref="B731">_xlfn.XLOOKUP(C731, INDEX([1]!카테고리매핑,,2), INDEX([1]!카테고리매핑,,1), "미등록 카테고리")</f>
        <v>조미료</v>
      </c>
      <c r="C731" t="s">
        <v>127</v>
      </c>
      <c r="D731" t="str">
        <f>VLOOKUP(C731, '[1]VLOOKUP 함수용 카테고리'!$A$1:$B$59, 2, 0)</f>
        <v>SAUCE_SEASONING</v>
      </c>
      <c r="E731" t="s">
        <v>1521</v>
      </c>
      <c r="F731" t="s">
        <v>136</v>
      </c>
    </row>
    <row r="732" spans="1:6" x14ac:dyDescent="0.3">
      <c r="A732" t="s">
        <v>1522</v>
      </c>
      <c r="B732" t="str" cm="1">
        <f t="array" ref="B732">_xlfn.XLOOKUP(C732, INDEX([1]!카테고리매핑,,2), INDEX([1]!카테고리매핑,,1), "미등록 카테고리")</f>
        <v>조미료</v>
      </c>
      <c r="C732" t="s">
        <v>117</v>
      </c>
      <c r="D732" t="str">
        <f>VLOOKUP(C732, '[1]VLOOKUP 함수용 카테고리'!$A$1:$B$59, 2, 0)</f>
        <v>SAUCE_SEASONING</v>
      </c>
      <c r="E732" t="s">
        <v>1523</v>
      </c>
      <c r="F732" t="s">
        <v>941</v>
      </c>
    </row>
    <row r="733" spans="1:6" x14ac:dyDescent="0.3">
      <c r="A733" t="s">
        <v>1524</v>
      </c>
      <c r="B733" t="str" cm="1">
        <f t="array" ref="B733">_xlfn.XLOOKUP(C733, INDEX([1]!카테고리매핑,,2), INDEX([1]!카테고리매핑,,1), "미등록 카테고리")</f>
        <v>간편식</v>
      </c>
      <c r="C733" t="s">
        <v>46</v>
      </c>
      <c r="D733" t="str">
        <f>VLOOKUP(C733, '[1]VLOOKUP 함수용 카테고리'!$A$1:$B$59, 2, 0)</f>
        <v>RTC_MEAL</v>
      </c>
      <c r="E733" t="s">
        <v>46</v>
      </c>
      <c r="F733" t="s">
        <v>156</v>
      </c>
    </row>
    <row r="734" spans="1:6" x14ac:dyDescent="0.3">
      <c r="A734" t="s">
        <v>1525</v>
      </c>
      <c r="B734" t="str" cm="1">
        <f t="array" ref="B734">_xlfn.XLOOKUP(C734, INDEX([1]!카테고리매핑,,2), INDEX([1]!카테고리매핑,,1), "미등록 카테고리")</f>
        <v>조미료</v>
      </c>
      <c r="C734" t="s">
        <v>558</v>
      </c>
      <c r="D734" t="str">
        <f>VLOOKUP(C734, '[1]VLOOKUP 함수용 카테고리'!$A$1:$B$59, 2, 0)</f>
        <v>SAUCE_SEASONING</v>
      </c>
      <c r="E734" t="s">
        <v>956</v>
      </c>
    </row>
    <row r="735" spans="1:6" x14ac:dyDescent="0.3">
      <c r="A735" t="s">
        <v>1526</v>
      </c>
      <c r="B735" t="str" cm="1">
        <f t="array" ref="B735">_xlfn.XLOOKUP(C735, INDEX([1]!카테고리매핑,,2), INDEX([1]!카테고리매핑,,1), "미등록 카테고리")</f>
        <v>상온식품</v>
      </c>
      <c r="C735" t="s">
        <v>276</v>
      </c>
      <c r="D735" t="str">
        <f>VLOOKUP(C735, '[1]VLOOKUP 함수용 카테고리'!$A$1:$B$59, 2, 0)</f>
        <v>DRIED_SEAFOOD</v>
      </c>
      <c r="E735" t="s">
        <v>277</v>
      </c>
      <c r="F735" t="s">
        <v>1527</v>
      </c>
    </row>
    <row r="736" spans="1:6" x14ac:dyDescent="0.3">
      <c r="A736" t="s">
        <v>1528</v>
      </c>
      <c r="B736" t="str" cm="1">
        <f t="array" ref="B736">_xlfn.XLOOKUP(C736, INDEX([1]!카테고리매핑,,2), INDEX([1]!카테고리매핑,,1), "미등록 카테고리")</f>
        <v>간식류</v>
      </c>
      <c r="C736" t="s">
        <v>109</v>
      </c>
      <c r="D736" t="str">
        <f>VLOOKUP(C736, '[1]VLOOKUP 함수용 카테고리'!$A$1:$B$59, 2, 0)</f>
        <v>SNACK</v>
      </c>
      <c r="E736" t="s">
        <v>109</v>
      </c>
      <c r="F736" t="s">
        <v>1529</v>
      </c>
    </row>
    <row r="737" spans="1:6" x14ac:dyDescent="0.3">
      <c r="A737" t="s">
        <v>1530</v>
      </c>
      <c r="B737" t="str" cm="1">
        <f t="array" ref="B737">_xlfn.XLOOKUP(C737, INDEX([1]!카테고리매핑,,2), INDEX([1]!카테고리매핑,,1), "미등록 카테고리")</f>
        <v>간식류</v>
      </c>
      <c r="C737" t="s">
        <v>109</v>
      </c>
      <c r="D737" t="str">
        <f>VLOOKUP(C737, '[1]VLOOKUP 함수용 카테고리'!$A$1:$B$59, 2, 0)</f>
        <v>SNACK</v>
      </c>
      <c r="E737" t="s">
        <v>1531</v>
      </c>
      <c r="F737" t="s">
        <v>111</v>
      </c>
    </row>
    <row r="738" spans="1:6" x14ac:dyDescent="0.3">
      <c r="A738" t="s">
        <v>1532</v>
      </c>
      <c r="B738" t="str" cm="1">
        <f t="array" ref="B738">_xlfn.XLOOKUP(C738, INDEX([1]!카테고리매핑,,2), INDEX([1]!카테고리매핑,,1), "미등록 카테고리")</f>
        <v>유제품</v>
      </c>
      <c r="C738" t="s">
        <v>123</v>
      </c>
      <c r="D738" t="str">
        <f>VLOOKUP(C738, '[1]VLOOKUP 함수용 카테고리'!$A$1:$B$59, 2, 0)</f>
        <v>DAIRY</v>
      </c>
      <c r="E738" t="s">
        <v>239</v>
      </c>
      <c r="F738" t="s">
        <v>1533</v>
      </c>
    </row>
    <row r="739" spans="1:6" x14ac:dyDescent="0.3">
      <c r="A739" t="s">
        <v>1534</v>
      </c>
      <c r="B739" t="str" cm="1">
        <f t="array" ref="B739">_xlfn.XLOOKUP(C739, INDEX([1]!카테고리매핑,,2), INDEX([1]!카테고리매핑,,1), "미등록 카테고리")</f>
        <v>간편식</v>
      </c>
      <c r="C739" t="s">
        <v>161</v>
      </c>
      <c r="D739" t="str">
        <f>VLOOKUP(C739, '[1]VLOOKUP 함수용 카테고리'!$A$1:$B$59, 2, 0)</f>
        <v>RTC_MEAL</v>
      </c>
      <c r="E739" t="s">
        <v>162</v>
      </c>
      <c r="F739" t="s">
        <v>1535</v>
      </c>
    </row>
    <row r="740" spans="1:6" x14ac:dyDescent="0.3">
      <c r="A740" t="s">
        <v>1536</v>
      </c>
      <c r="B740" t="str" cm="1">
        <f t="array" ref="B740">_xlfn.XLOOKUP(C740, INDEX([1]!카테고리매핑,,2), INDEX([1]!카테고리매핑,,1), "미등록 카테고리")</f>
        <v>채소/곡물류</v>
      </c>
      <c r="C740" t="s">
        <v>7</v>
      </c>
      <c r="D740" t="str">
        <f>VLOOKUP(C740, '[1]VLOOKUP 함수용 카테고리'!$A$1:$B$59, 2, 0)</f>
        <v>RAW_PRODUCE</v>
      </c>
      <c r="E740" t="s">
        <v>716</v>
      </c>
      <c r="F740" t="s">
        <v>406</v>
      </c>
    </row>
    <row r="741" spans="1:6" x14ac:dyDescent="0.3">
      <c r="A741" t="s">
        <v>1537</v>
      </c>
      <c r="B741" t="str" cm="1">
        <f t="array" ref="B741">_xlfn.XLOOKUP(C741, INDEX([1]!카테고리매핑,,2), INDEX([1]!카테고리매핑,,1), "미등록 카테고리")</f>
        <v>채소/곡물류</v>
      </c>
      <c r="C741" t="s">
        <v>7</v>
      </c>
      <c r="D741" t="str">
        <f>VLOOKUP(C741, '[1]VLOOKUP 함수용 카테고리'!$A$1:$B$59, 2, 0)</f>
        <v>RAW_PRODUCE</v>
      </c>
      <c r="E741" t="s">
        <v>716</v>
      </c>
    </row>
    <row r="742" spans="1:6" x14ac:dyDescent="0.3">
      <c r="A742" t="s">
        <v>1538</v>
      </c>
      <c r="B742" t="str" cm="1">
        <f t="array" ref="B742">_xlfn.XLOOKUP(C742, INDEX([1]!카테고리매핑,,2), INDEX([1]!카테고리매핑,,1), "미등록 카테고리")</f>
        <v>육류/계란</v>
      </c>
      <c r="C742" t="s">
        <v>105</v>
      </c>
      <c r="D742" t="str">
        <f>VLOOKUP(C742, '[1]VLOOKUP 함수용 카테고리'!$A$1:$B$59, 2, 0)</f>
        <v>RAW_MEAT</v>
      </c>
      <c r="E742" t="s">
        <v>1031</v>
      </c>
    </row>
    <row r="743" spans="1:6" x14ac:dyDescent="0.3">
      <c r="A743" t="s">
        <v>1540</v>
      </c>
      <c r="B743" t="str" cm="1">
        <f t="array" ref="B743">_xlfn.XLOOKUP(C743, INDEX([1]!카테고리매핑,,2), INDEX([1]!카테고리매핑,,1), "미등록 카테고리")</f>
        <v>조미료</v>
      </c>
      <c r="C743" t="s">
        <v>83</v>
      </c>
      <c r="D743" t="str">
        <f>VLOOKUP(C743, '[1]VLOOKUP 함수용 카테고리'!$A$1:$B$59, 2, 0)</f>
        <v>SAUCE_SEASONING</v>
      </c>
      <c r="E743" t="s">
        <v>7667</v>
      </c>
      <c r="F743" t="s">
        <v>1541</v>
      </c>
    </row>
    <row r="744" spans="1:6" x14ac:dyDescent="0.3">
      <c r="A744" t="s">
        <v>1542</v>
      </c>
      <c r="B744" t="str" cm="1">
        <f t="array" ref="B744">_xlfn.XLOOKUP(C744, INDEX([1]!카테고리매핑,,2), INDEX([1]!카테고리매핑,,1), "미등록 카테고리")</f>
        <v>간식류</v>
      </c>
      <c r="C744" t="s">
        <v>63</v>
      </c>
      <c r="D744" t="str">
        <f>VLOOKUP(C744, '[1]VLOOKUP 함수용 카테고리'!$A$1:$B$59, 2, 0)</f>
        <v>BAKERY</v>
      </c>
      <c r="E744" t="s">
        <v>1543</v>
      </c>
      <c r="F744" t="s">
        <v>1544</v>
      </c>
    </row>
    <row r="745" spans="1:6" x14ac:dyDescent="0.3">
      <c r="A745" t="s">
        <v>1545</v>
      </c>
      <c r="B745" t="str" cm="1">
        <f t="array" ref="B745">_xlfn.XLOOKUP(C745, INDEX([1]!카테고리매핑,,2), INDEX([1]!카테고리매핑,,1), "미등록 카테고리")</f>
        <v>수산물</v>
      </c>
      <c r="C745" t="s">
        <v>101</v>
      </c>
      <c r="D745" t="str">
        <f>VLOOKUP(C745, '[1]VLOOKUP 함수용 카테고리'!$A$1:$B$59, 2, 0)</f>
        <v>DRIED_SEAFOOD</v>
      </c>
      <c r="E745" t="s">
        <v>693</v>
      </c>
      <c r="F745" t="s">
        <v>694</v>
      </c>
    </row>
    <row r="746" spans="1:6" x14ac:dyDescent="0.3">
      <c r="A746" t="s">
        <v>1546</v>
      </c>
      <c r="B746" t="str" cm="1">
        <f t="array" ref="B746">_xlfn.XLOOKUP(C746, INDEX([1]!카테고리매핑,,2), INDEX([1]!카테고리매핑,,1), "미등록 카테고리")</f>
        <v>간편식</v>
      </c>
      <c r="C746" t="s">
        <v>131</v>
      </c>
      <c r="D746" t="str">
        <f>VLOOKUP(C746, '[1]VLOOKUP 함수용 카테고리'!$A$1:$B$59, 2, 0)</f>
        <v>SIMPLE_PROCESSED</v>
      </c>
      <c r="E746" t="s">
        <v>927</v>
      </c>
      <c r="F746" t="s">
        <v>756</v>
      </c>
    </row>
    <row r="747" spans="1:6" x14ac:dyDescent="0.3">
      <c r="A747" t="s">
        <v>1547</v>
      </c>
      <c r="B747" t="str" cm="1">
        <f t="array" ref="B747">_xlfn.XLOOKUP(C747, INDEX([1]!카테고리매핑,,2), INDEX([1]!카테고리매핑,,1), "미등록 카테고리")</f>
        <v>유제품</v>
      </c>
      <c r="C747" t="s">
        <v>211</v>
      </c>
      <c r="D747" t="str">
        <f>VLOOKUP(C747, '[1]VLOOKUP 함수용 카테고리'!$A$1:$B$59, 2, 0)</f>
        <v>DAIRY</v>
      </c>
      <c r="E747" t="s">
        <v>211</v>
      </c>
      <c r="F747" t="s">
        <v>1548</v>
      </c>
    </row>
    <row r="748" spans="1:6" x14ac:dyDescent="0.3">
      <c r="A748" t="s">
        <v>1549</v>
      </c>
      <c r="B748" t="str" cm="1">
        <f t="array" ref="B748">_xlfn.XLOOKUP(C748, INDEX([1]!카테고리매핑,,2), INDEX([1]!카테고리매핑,,1), "미등록 카테고리")</f>
        <v>수산물</v>
      </c>
      <c r="C748" t="s">
        <v>140</v>
      </c>
      <c r="D748" t="str">
        <f>VLOOKUP(C748, '[1]VLOOKUP 함수용 카테고리'!$A$1:$B$59, 2, 0)</f>
        <v>SIMPLE_PROCESSED</v>
      </c>
      <c r="E748" t="s">
        <v>141</v>
      </c>
      <c r="F748" t="s">
        <v>1550</v>
      </c>
    </row>
    <row r="749" spans="1:6" x14ac:dyDescent="0.3">
      <c r="A749" t="s">
        <v>1551</v>
      </c>
      <c r="B749" t="str" cm="1">
        <f t="array" ref="B749">_xlfn.XLOOKUP(C749, INDEX([1]!카테고리매핑,,2), INDEX([1]!카테고리매핑,,1), "미등록 카테고리")</f>
        <v>간식류</v>
      </c>
      <c r="C749" t="s">
        <v>15</v>
      </c>
      <c r="D749" t="str">
        <f>VLOOKUP(C749, '[1]VLOOKUP 함수용 카테고리'!$A$1:$B$59, 2, 0)</f>
        <v>BAKERY</v>
      </c>
      <c r="E749" t="s">
        <v>200</v>
      </c>
      <c r="F749" t="s">
        <v>1552</v>
      </c>
    </row>
    <row r="750" spans="1:6" x14ac:dyDescent="0.3">
      <c r="A750" t="s">
        <v>1553</v>
      </c>
      <c r="B750" t="str" cm="1">
        <f t="array" ref="B750">_xlfn.XLOOKUP(C750, INDEX([1]!카테고리매핑,,2), INDEX([1]!카테고리매핑,,1), "미등록 카테고리")</f>
        <v>육류/계란</v>
      </c>
      <c r="C750" t="s">
        <v>34</v>
      </c>
      <c r="D750" t="str">
        <f>VLOOKUP(C750, '[1]VLOOKUP 함수용 카테고리'!$A$1:$B$59, 2, 0)</f>
        <v>RAW_MEAT</v>
      </c>
      <c r="E750" t="s">
        <v>35</v>
      </c>
      <c r="F750" t="s">
        <v>1554</v>
      </c>
    </row>
    <row r="751" spans="1:6" x14ac:dyDescent="0.3">
      <c r="A751" t="s">
        <v>1555</v>
      </c>
      <c r="B751" t="str" cm="1">
        <f t="array" ref="B751">_xlfn.XLOOKUP(C751, INDEX([1]!카테고리매핑,,2), INDEX([1]!카테고리매핑,,1), "미등록 카테고리")</f>
        <v>육류/계란</v>
      </c>
      <c r="C751" t="s">
        <v>428</v>
      </c>
      <c r="D751" t="str">
        <f>VLOOKUP(C751, '[1]VLOOKUP 함수용 카테고리'!$A$1:$B$59, 2, 0)</f>
        <v>PROCESSED_MEAT</v>
      </c>
      <c r="E751" t="s">
        <v>776</v>
      </c>
      <c r="F751" t="s">
        <v>182</v>
      </c>
    </row>
    <row r="752" spans="1:6" x14ac:dyDescent="0.3">
      <c r="A752" t="s">
        <v>1556</v>
      </c>
      <c r="B752" t="str" cm="1">
        <f t="array" ref="B752">_xlfn.XLOOKUP(C752, INDEX([1]!카테고리매핑,,2), INDEX([1]!카테고리매핑,,1), "미등록 카테고리")</f>
        <v>조미료</v>
      </c>
      <c r="C752" t="s">
        <v>558</v>
      </c>
      <c r="D752" t="str">
        <f>VLOOKUP(C752, '[1]VLOOKUP 함수용 카테고리'!$A$1:$B$59, 2, 0)</f>
        <v>SAUCE_SEASONING</v>
      </c>
      <c r="E752" t="s">
        <v>1557</v>
      </c>
    </row>
    <row r="753" spans="1:6" x14ac:dyDescent="0.3">
      <c r="A753" t="s">
        <v>1558</v>
      </c>
      <c r="B753" t="str" cm="1">
        <f t="array" ref="B753">_xlfn.XLOOKUP(C753, INDEX([1]!카테고리매핑,,2), INDEX([1]!카테고리매핑,,1), "미등록 카테고리")</f>
        <v>유제품</v>
      </c>
      <c r="C753" t="s">
        <v>98</v>
      </c>
      <c r="D753" t="str">
        <f>VLOOKUP(C753, '[1]VLOOKUP 함수용 카테고리'!$A$1:$B$59, 2, 0)</f>
        <v>DAIRY</v>
      </c>
      <c r="E753" t="s">
        <v>7660</v>
      </c>
      <c r="F753" t="s">
        <v>1559</v>
      </c>
    </row>
    <row r="754" spans="1:6" x14ac:dyDescent="0.3">
      <c r="A754" t="s">
        <v>1560</v>
      </c>
      <c r="B754" t="str" cm="1">
        <f t="array" ref="B754">_xlfn.XLOOKUP(C754, INDEX([1]!카테고리매핑,,2), INDEX([1]!카테고리매핑,,1), "미등록 카테고리")</f>
        <v>조미료</v>
      </c>
      <c r="C754" t="s">
        <v>83</v>
      </c>
      <c r="D754" t="str">
        <f>VLOOKUP(C754, '[1]VLOOKUP 함수용 카테고리'!$A$1:$B$59, 2, 0)</f>
        <v>SAUCE_SEASONING</v>
      </c>
      <c r="E754" t="s">
        <v>1372</v>
      </c>
      <c r="F754" t="s">
        <v>1065</v>
      </c>
    </row>
    <row r="755" spans="1:6" x14ac:dyDescent="0.3">
      <c r="A755" t="s">
        <v>1561</v>
      </c>
      <c r="B755" t="str" cm="1">
        <f t="array" ref="B755">_xlfn.XLOOKUP(C755, INDEX([1]!카테고리매핑,,2), INDEX([1]!카테고리매핑,,1), "미등록 카테고리")</f>
        <v>상온식품</v>
      </c>
      <c r="C755" t="s">
        <v>835</v>
      </c>
      <c r="D755" t="str">
        <f>VLOOKUP(C755, '[1]VLOOKUP 함수용 카테고리'!$A$1:$B$59, 2, 0)</f>
        <v>SAUCE_SEASONING</v>
      </c>
      <c r="E755" t="s">
        <v>1562</v>
      </c>
      <c r="F755" t="s">
        <v>1563</v>
      </c>
    </row>
    <row r="756" spans="1:6" x14ac:dyDescent="0.3">
      <c r="A756" t="s">
        <v>1564</v>
      </c>
      <c r="B756" t="str" cm="1">
        <f t="array" ref="B756">_xlfn.XLOOKUP(C756, INDEX([1]!카테고리매핑,,2), INDEX([1]!카테고리매핑,,1), "미등록 카테고리")</f>
        <v>채소/곡물류</v>
      </c>
      <c r="C756" t="s">
        <v>7</v>
      </c>
      <c r="D756" t="str">
        <f>VLOOKUP(C756, '[1]VLOOKUP 함수용 카테고리'!$A$1:$B$59, 2, 0)</f>
        <v>RAW_PRODUCE</v>
      </c>
      <c r="E756" t="s">
        <v>1222</v>
      </c>
      <c r="F756" t="s">
        <v>114</v>
      </c>
    </row>
    <row r="757" spans="1:6" x14ac:dyDescent="0.3">
      <c r="A757" t="s">
        <v>1565</v>
      </c>
      <c r="B757" t="str" cm="1">
        <f t="array" ref="B757">_xlfn.XLOOKUP(C757, INDEX([1]!카테고리매핑,,2), INDEX([1]!카테고리매핑,,1), "미등록 카테고리")</f>
        <v>수산물</v>
      </c>
      <c r="C757" t="s">
        <v>183</v>
      </c>
      <c r="D757" t="str">
        <f>VLOOKUP(C757, '[1]VLOOKUP 함수용 카테고리'!$A$1:$B$59, 2, 0)</f>
        <v>DRIED_SEAFOOD</v>
      </c>
      <c r="E757" t="s">
        <v>466</v>
      </c>
      <c r="F757" t="s">
        <v>129</v>
      </c>
    </row>
    <row r="758" spans="1:6" x14ac:dyDescent="0.3">
      <c r="A758" t="s">
        <v>1566</v>
      </c>
      <c r="B758" t="str" cm="1">
        <f t="array" ref="B758">_xlfn.XLOOKUP(C758, INDEX([1]!카테고리매핑,,2), INDEX([1]!카테고리매핑,,1), "미등록 카테고리")</f>
        <v>술</v>
      </c>
      <c r="C758" t="s">
        <v>974</v>
      </c>
      <c r="D758" t="str">
        <f>VLOOKUP(C758, '[1]VLOOKUP 함수용 카테고리'!$A$1:$B$59, 2, 0)</f>
        <v>ALCOHOL</v>
      </c>
      <c r="E758" t="s">
        <v>974</v>
      </c>
    </row>
    <row r="759" spans="1:6" x14ac:dyDescent="0.3">
      <c r="A759" t="s">
        <v>1567</v>
      </c>
      <c r="B759" t="str" cm="1">
        <f t="array" ref="B759">_xlfn.XLOOKUP(C759, INDEX([1]!카테고리매핑,,2), INDEX([1]!카테고리매핑,,1), "미등록 카테고리")</f>
        <v>간식류</v>
      </c>
      <c r="C759" t="s">
        <v>38</v>
      </c>
      <c r="D759" t="str">
        <f>VLOOKUP(C759, '[1]VLOOKUP 함수용 카테고리'!$A$1:$B$59, 2, 0)</f>
        <v>SNACK</v>
      </c>
      <c r="E759" t="s">
        <v>39</v>
      </c>
      <c r="F759" t="s">
        <v>88</v>
      </c>
    </row>
    <row r="760" spans="1:6" x14ac:dyDescent="0.3">
      <c r="A760" t="s">
        <v>1568</v>
      </c>
      <c r="B760" t="str" cm="1">
        <f t="array" ref="B760">_xlfn.XLOOKUP(C760, INDEX([1]!카테고리매핑,,2), INDEX([1]!카테고리매핑,,1), "미등록 카테고리")</f>
        <v>조미료</v>
      </c>
      <c r="C760" t="s">
        <v>84</v>
      </c>
      <c r="D760" t="str">
        <f>VLOOKUP(C760, '[1]VLOOKUP 함수용 카테고리'!$A$1:$B$59, 2, 0)</f>
        <v>SAUCE_SEASONING</v>
      </c>
      <c r="E760" t="s">
        <v>85</v>
      </c>
      <c r="F760" t="s">
        <v>1569</v>
      </c>
    </row>
    <row r="761" spans="1:6" x14ac:dyDescent="0.3">
      <c r="A761" t="s">
        <v>1570</v>
      </c>
      <c r="B761" t="str" cm="1">
        <f t="array" ref="B761">_xlfn.XLOOKUP(C761, INDEX([1]!카테고리매핑,,2), INDEX([1]!카테고리매핑,,1), "미등록 카테고리")</f>
        <v>과일/견과류</v>
      </c>
      <c r="C761" t="s">
        <v>654</v>
      </c>
      <c r="D761" t="str">
        <f>VLOOKUP(C761, '[1]VLOOKUP 함수용 카테고리'!$A$1:$B$59, 2, 0)</f>
        <v>RAW_FRUIT</v>
      </c>
      <c r="E761" t="s">
        <v>879</v>
      </c>
      <c r="F761" t="s">
        <v>151</v>
      </c>
    </row>
    <row r="762" spans="1:6" x14ac:dyDescent="0.3">
      <c r="A762" t="s">
        <v>1571</v>
      </c>
      <c r="B762" t="str" cm="1">
        <f t="array" ref="B762">_xlfn.XLOOKUP(C762, INDEX([1]!카테고리매핑,,2), INDEX([1]!카테고리매핑,,1), "미등록 카테고리")</f>
        <v>유제품</v>
      </c>
      <c r="C762" t="s">
        <v>211</v>
      </c>
      <c r="D762" t="str">
        <f>VLOOKUP(C762, '[1]VLOOKUP 함수용 카테고리'!$A$1:$B$59, 2, 0)</f>
        <v>DAIRY</v>
      </c>
      <c r="E762" t="s">
        <v>211</v>
      </c>
      <c r="F762" t="s">
        <v>1572</v>
      </c>
    </row>
    <row r="763" spans="1:6" x14ac:dyDescent="0.3">
      <c r="A763" t="s">
        <v>1573</v>
      </c>
      <c r="B763" t="str" cm="1">
        <f t="array" ref="B763">_xlfn.XLOOKUP(C763, INDEX([1]!카테고리매핑,,2), INDEX([1]!카테고리매핑,,1), "미등록 카테고리")</f>
        <v>술</v>
      </c>
      <c r="C763" t="s">
        <v>42</v>
      </c>
      <c r="D763" t="str">
        <f>VLOOKUP(C763, '[1]VLOOKUP 함수용 카테고리'!$A$1:$B$59, 2, 0)</f>
        <v>ALCOHOL</v>
      </c>
      <c r="E763" t="s">
        <v>43</v>
      </c>
    </row>
    <row r="764" spans="1:6" x14ac:dyDescent="0.3">
      <c r="A764" t="s">
        <v>1574</v>
      </c>
      <c r="B764" t="str" cm="1">
        <f t="array" ref="B764">_xlfn.XLOOKUP(C764, INDEX([1]!카테고리매핑,,2), INDEX([1]!카테고리매핑,,1), "미등록 카테고리")</f>
        <v>미등록 카테고리</v>
      </c>
      <c r="C764" t="s">
        <v>334</v>
      </c>
      <c r="D764" t="str">
        <f>VLOOKUP(C764, '[1]VLOOKUP 함수용 카테고리'!$A$1:$B$59, 2, 0)</f>
        <v>UNKNOWN</v>
      </c>
      <c r="E764" t="s">
        <v>334</v>
      </c>
      <c r="F764" t="s">
        <v>1575</v>
      </c>
    </row>
    <row r="765" spans="1:6" x14ac:dyDescent="0.3">
      <c r="A765" t="s">
        <v>1576</v>
      </c>
      <c r="B765" t="str" cm="1">
        <f t="array" ref="B765">_xlfn.XLOOKUP(C765, INDEX([1]!카테고리매핑,,2), INDEX([1]!카테고리매핑,,1), "미등록 카테고리")</f>
        <v>간식류</v>
      </c>
      <c r="C765" t="s">
        <v>38</v>
      </c>
      <c r="D765" t="str">
        <f>VLOOKUP(C765, '[1]VLOOKUP 함수용 카테고리'!$A$1:$B$59, 2, 0)</f>
        <v>SNACK</v>
      </c>
      <c r="E765" t="s">
        <v>179</v>
      </c>
      <c r="F765" t="s">
        <v>7725</v>
      </c>
    </row>
    <row r="766" spans="1:6" x14ac:dyDescent="0.3">
      <c r="A766" t="s">
        <v>1577</v>
      </c>
      <c r="B766" t="str" cm="1">
        <f t="array" ref="B766">_xlfn.XLOOKUP(C766, INDEX([1]!카테고리매핑,,2), INDEX([1]!카테고리매핑,,1), "미등록 카테고리")</f>
        <v>과일/견과류</v>
      </c>
      <c r="C766" t="s">
        <v>654</v>
      </c>
      <c r="D766" t="str">
        <f>VLOOKUP(C766, '[1]VLOOKUP 함수용 카테고리'!$A$1:$B$59, 2, 0)</f>
        <v>RAW_FRUIT</v>
      </c>
      <c r="E766" t="s">
        <v>728</v>
      </c>
      <c r="F766" t="s">
        <v>151</v>
      </c>
    </row>
    <row r="767" spans="1:6" x14ac:dyDescent="0.3">
      <c r="A767" t="s">
        <v>1578</v>
      </c>
      <c r="B767" t="str" cm="1">
        <f t="array" ref="B767">_xlfn.XLOOKUP(C767, INDEX([1]!카테고리매핑,,2), INDEX([1]!카테고리매핑,,1), "미등록 카테고리")</f>
        <v>간편식</v>
      </c>
      <c r="C767" t="s">
        <v>19</v>
      </c>
      <c r="D767" t="str">
        <f>VLOOKUP(C767, '[1]VLOOKUP 함수용 카테고리'!$A$1:$B$59, 2, 0)</f>
        <v>FROZEN_MEAL</v>
      </c>
      <c r="E767" t="s">
        <v>245</v>
      </c>
      <c r="F767" t="s">
        <v>36</v>
      </c>
    </row>
    <row r="768" spans="1:6" x14ac:dyDescent="0.3">
      <c r="A768" t="s">
        <v>1579</v>
      </c>
      <c r="B768" t="str" cm="1">
        <f t="array" ref="B768">_xlfn.XLOOKUP(C768, INDEX([1]!카테고리매핑,,2), INDEX([1]!카테고리매핑,,1), "미등록 카테고리")</f>
        <v>조미료</v>
      </c>
      <c r="C768" t="s">
        <v>83</v>
      </c>
      <c r="D768" t="str">
        <f>VLOOKUP(C768, '[1]VLOOKUP 함수용 카테고리'!$A$1:$B$59, 2, 0)</f>
        <v>SAUCE_SEASONING</v>
      </c>
      <c r="E768" t="s">
        <v>1165</v>
      </c>
      <c r="F768" t="s">
        <v>1580</v>
      </c>
    </row>
    <row r="769" spans="1:6" x14ac:dyDescent="0.3">
      <c r="A769" t="s">
        <v>1581</v>
      </c>
      <c r="B769" t="str" cm="1">
        <f t="array" ref="B769">_xlfn.XLOOKUP(C769, INDEX([1]!카테고리매핑,,2), INDEX([1]!카테고리매핑,,1), "미등록 카테고리")</f>
        <v>조미료</v>
      </c>
      <c r="C769" t="s">
        <v>127</v>
      </c>
      <c r="D769" t="str">
        <f>VLOOKUP(C769, '[1]VLOOKUP 함수용 카테고리'!$A$1:$B$59, 2, 0)</f>
        <v>SAUCE_SEASONING</v>
      </c>
      <c r="E769" t="s">
        <v>1582</v>
      </c>
      <c r="F769" t="s">
        <v>1583</v>
      </c>
    </row>
    <row r="770" spans="1:6" x14ac:dyDescent="0.3">
      <c r="A770" t="s">
        <v>1584</v>
      </c>
      <c r="B770" t="str" cm="1">
        <f t="array" ref="B770">_xlfn.XLOOKUP(C770, INDEX([1]!카테고리매핑,,2), INDEX([1]!카테고리매핑,,1), "미등록 카테고리")</f>
        <v>조미료</v>
      </c>
      <c r="C770" t="s">
        <v>127</v>
      </c>
      <c r="D770" t="str">
        <f>VLOOKUP(C770, '[1]VLOOKUP 함수용 카테고리'!$A$1:$B$59, 2, 0)</f>
        <v>SAUCE_SEASONING</v>
      </c>
      <c r="E770" t="s">
        <v>1585</v>
      </c>
      <c r="F770" t="s">
        <v>1586</v>
      </c>
    </row>
    <row r="771" spans="1:6" x14ac:dyDescent="0.3">
      <c r="A771" t="s">
        <v>1587</v>
      </c>
      <c r="B771" t="str" cm="1">
        <f t="array" ref="B771">_xlfn.XLOOKUP(C771, INDEX([1]!카테고리매핑,,2), INDEX([1]!카테고리매핑,,1), "미등록 카테고리")</f>
        <v>육류/계란</v>
      </c>
      <c r="C771" t="s">
        <v>149</v>
      </c>
      <c r="D771" t="str">
        <f>VLOOKUP(C771, '[1]VLOOKUP 함수용 카테고리'!$A$1:$B$59, 2, 0)</f>
        <v>RAW_MEAT</v>
      </c>
      <c r="E771" t="s">
        <v>1588</v>
      </c>
      <c r="F771" t="s">
        <v>1589</v>
      </c>
    </row>
    <row r="772" spans="1:6" x14ac:dyDescent="0.3">
      <c r="A772" t="s">
        <v>1590</v>
      </c>
      <c r="B772" t="str" cm="1">
        <f t="array" ref="B772">_xlfn.XLOOKUP(C772, INDEX([1]!카테고리매핑,,2), INDEX([1]!카테고리매핑,,1), "미등록 카테고리")</f>
        <v>과일/견과류</v>
      </c>
      <c r="C772" t="s">
        <v>654</v>
      </c>
      <c r="D772" t="str">
        <f>VLOOKUP(C772, '[1]VLOOKUP 함수용 카테고리'!$A$1:$B$59, 2, 0)</f>
        <v>RAW_FRUIT</v>
      </c>
      <c r="E772" t="s">
        <v>728</v>
      </c>
      <c r="F772" t="s">
        <v>151</v>
      </c>
    </row>
    <row r="773" spans="1:6" x14ac:dyDescent="0.3">
      <c r="A773" t="s">
        <v>1591</v>
      </c>
      <c r="B773" t="str" cm="1">
        <f t="array" ref="B773">_xlfn.XLOOKUP(C773, INDEX([1]!카테고리매핑,,2), INDEX([1]!카테고리매핑,,1), "미등록 카테고리")</f>
        <v>과일/견과류</v>
      </c>
      <c r="C773" t="s">
        <v>654</v>
      </c>
      <c r="D773" t="str">
        <f>VLOOKUP(C773, '[1]VLOOKUP 함수용 카테고리'!$A$1:$B$59, 2, 0)</f>
        <v>RAW_FRUIT</v>
      </c>
      <c r="E773" t="s">
        <v>728</v>
      </c>
      <c r="F773" t="s">
        <v>151</v>
      </c>
    </row>
    <row r="774" spans="1:6" x14ac:dyDescent="0.3">
      <c r="A774" t="s">
        <v>1592</v>
      </c>
      <c r="B774" t="str" cm="1">
        <f t="array" ref="B774">_xlfn.XLOOKUP(C774, INDEX([1]!카테고리매핑,,2), INDEX([1]!카테고리매핑,,1), "미등록 카테고리")</f>
        <v>간편식</v>
      </c>
      <c r="C774" t="s">
        <v>19</v>
      </c>
      <c r="D774" t="str">
        <f>VLOOKUP(C774, '[1]VLOOKUP 함수용 카테고리'!$A$1:$B$59, 2, 0)</f>
        <v>FROZEN_MEAL</v>
      </c>
      <c r="E774" t="s">
        <v>1115</v>
      </c>
      <c r="F774" t="s">
        <v>72</v>
      </c>
    </row>
    <row r="775" spans="1:6" x14ac:dyDescent="0.3">
      <c r="A775" t="s">
        <v>1593</v>
      </c>
      <c r="B775" t="str" cm="1">
        <f t="array" ref="B775">_xlfn.XLOOKUP(C775, INDEX([1]!카테고리매핑,,2), INDEX([1]!카테고리매핑,,1), "미등록 카테고리")</f>
        <v>간식류</v>
      </c>
      <c r="C775" t="s">
        <v>63</v>
      </c>
      <c r="D775" t="str">
        <f>VLOOKUP(C775, '[1]VLOOKUP 함수용 카테고리'!$A$1:$B$59, 2, 0)</f>
        <v>BAKERY</v>
      </c>
      <c r="E775" t="s">
        <v>1594</v>
      </c>
      <c r="F775" t="s">
        <v>1595</v>
      </c>
    </row>
    <row r="776" spans="1:6" x14ac:dyDescent="0.3">
      <c r="A776" t="s">
        <v>1596</v>
      </c>
      <c r="B776" t="str" cm="1">
        <f t="array" ref="B776">_xlfn.XLOOKUP(C776, INDEX([1]!카테고리매핑,,2), INDEX([1]!카테고리매핑,,1), "미등록 카테고리")</f>
        <v>채소/곡물류</v>
      </c>
      <c r="C776" t="s">
        <v>7</v>
      </c>
      <c r="D776" t="str">
        <f>VLOOKUP(C776, '[1]VLOOKUP 함수용 카테고리'!$A$1:$B$59, 2, 0)</f>
        <v>RAW_PRODUCE</v>
      </c>
      <c r="E776" t="s">
        <v>1597</v>
      </c>
    </row>
    <row r="777" spans="1:6" x14ac:dyDescent="0.3">
      <c r="A777" t="s">
        <v>1598</v>
      </c>
      <c r="B777" t="str" cm="1">
        <f t="array" ref="B777">_xlfn.XLOOKUP(C777, INDEX([1]!카테고리매핑,,2), INDEX([1]!카테고리매핑,,1), "미등록 카테고리")</f>
        <v>간편식</v>
      </c>
      <c r="C777" t="s">
        <v>46</v>
      </c>
      <c r="D777" t="str">
        <f>VLOOKUP(C777, '[1]VLOOKUP 함수용 카테고리'!$A$1:$B$59, 2, 0)</f>
        <v>RTC_MEAL</v>
      </c>
      <c r="E777" t="s">
        <v>46</v>
      </c>
      <c r="F777" t="s">
        <v>379</v>
      </c>
    </row>
    <row r="778" spans="1:6" x14ac:dyDescent="0.3">
      <c r="A778" t="s">
        <v>1599</v>
      </c>
      <c r="B778" t="str" cm="1">
        <f t="array" ref="B778">_xlfn.XLOOKUP(C778, INDEX([1]!카테고리매핑,,2), INDEX([1]!카테고리매핑,,1), "미등록 카테고리")</f>
        <v>음료</v>
      </c>
      <c r="C778" t="s">
        <v>23</v>
      </c>
      <c r="D778" t="str">
        <f>VLOOKUP(C778, '[1]VLOOKUP 함수용 카테고리'!$A$1:$B$59, 2, 0)</f>
        <v>BEVERAGE</v>
      </c>
      <c r="E778" t="s">
        <v>323</v>
      </c>
      <c r="F778" t="s">
        <v>1600</v>
      </c>
    </row>
    <row r="779" spans="1:6" x14ac:dyDescent="0.3">
      <c r="A779" t="s">
        <v>1601</v>
      </c>
      <c r="B779" t="str" cm="1">
        <f t="array" ref="B779">_xlfn.XLOOKUP(C779, INDEX([1]!카테고리매핑,,2), INDEX([1]!카테고리매핑,,1), "미등록 카테고리")</f>
        <v>유제품</v>
      </c>
      <c r="C779" t="s">
        <v>432</v>
      </c>
      <c r="D779" t="str">
        <f>VLOOKUP(C779, '[1]VLOOKUP 함수용 카테고리'!$A$1:$B$59, 2, 0)</f>
        <v>DAIRY</v>
      </c>
      <c r="E779" t="s">
        <v>549</v>
      </c>
      <c r="F779" t="s">
        <v>1602</v>
      </c>
    </row>
    <row r="780" spans="1:6" x14ac:dyDescent="0.3">
      <c r="A780" t="s">
        <v>1603</v>
      </c>
      <c r="B780" t="str" cm="1">
        <f t="array" ref="B780">_xlfn.XLOOKUP(C780, INDEX([1]!카테고리매핑,,2), INDEX([1]!카테고리매핑,,1), "미등록 카테고리")</f>
        <v>유제품</v>
      </c>
      <c r="C780" t="s">
        <v>123</v>
      </c>
      <c r="D780" t="str">
        <f>VLOOKUP(C780, '[1]VLOOKUP 함수용 카테고리'!$A$1:$B$59, 2, 0)</f>
        <v>DAIRY</v>
      </c>
      <c r="E780" t="s">
        <v>367</v>
      </c>
      <c r="F780" t="s">
        <v>623</v>
      </c>
    </row>
    <row r="781" spans="1:6" x14ac:dyDescent="0.3">
      <c r="A781" t="s">
        <v>1604</v>
      </c>
      <c r="B781" t="str" cm="1">
        <f t="array" ref="B781">_xlfn.XLOOKUP(C781, INDEX([1]!카테고리매핑,,2), INDEX([1]!카테고리매핑,,1), "미등록 카테고리")</f>
        <v>유제품</v>
      </c>
      <c r="C781" t="s">
        <v>432</v>
      </c>
      <c r="D781" t="str">
        <f>VLOOKUP(C781, '[1]VLOOKUP 함수용 카테고리'!$A$1:$B$59, 2, 0)</f>
        <v>DAIRY</v>
      </c>
      <c r="E781" t="s">
        <v>549</v>
      </c>
      <c r="F781" t="s">
        <v>1605</v>
      </c>
    </row>
    <row r="782" spans="1:6" x14ac:dyDescent="0.3">
      <c r="A782" t="s">
        <v>1606</v>
      </c>
      <c r="B782" t="str" cm="1">
        <f t="array" ref="B782">_xlfn.XLOOKUP(C782, INDEX([1]!카테고리매핑,,2), INDEX([1]!카테고리매핑,,1), "미등록 카테고리")</f>
        <v>간식류</v>
      </c>
      <c r="C782" t="s">
        <v>38</v>
      </c>
      <c r="D782" t="str">
        <f>VLOOKUP(C782, '[1]VLOOKUP 함수용 카테고리'!$A$1:$B$59, 2, 0)</f>
        <v>SNACK</v>
      </c>
      <c r="E782" t="s">
        <v>1462</v>
      </c>
      <c r="F782" t="s">
        <v>1462</v>
      </c>
    </row>
    <row r="783" spans="1:6" x14ac:dyDescent="0.3">
      <c r="A783" t="s">
        <v>1607</v>
      </c>
      <c r="B783" t="str" cm="1">
        <f t="array" ref="B783">_xlfn.XLOOKUP(C783, INDEX([1]!카테고리매핑,,2), INDEX([1]!카테고리매핑,,1), "미등록 카테고리")</f>
        <v>채소/곡물류</v>
      </c>
      <c r="C783" t="s">
        <v>301</v>
      </c>
      <c r="D783" t="str">
        <f>VLOOKUP(C783, '[1]VLOOKUP 함수용 카테고리'!$A$1:$B$59, 2, 0)</f>
        <v>GRAIN</v>
      </c>
      <c r="E783" t="s">
        <v>611</v>
      </c>
      <c r="F783" t="s">
        <v>1608</v>
      </c>
    </row>
    <row r="784" spans="1:6" x14ac:dyDescent="0.3">
      <c r="A784" t="s">
        <v>1609</v>
      </c>
      <c r="B784" t="str" cm="1">
        <f t="array" ref="B784">_xlfn.XLOOKUP(C784, INDEX([1]!카테고리매핑,,2), INDEX([1]!카테고리매핑,,1), "미등록 카테고리")</f>
        <v>육류/계란</v>
      </c>
      <c r="C784" t="s">
        <v>428</v>
      </c>
      <c r="D784" t="str">
        <f>VLOOKUP(C784, '[1]VLOOKUP 함수용 카테고리'!$A$1:$B$59, 2, 0)</f>
        <v>PROCESSED_MEAT</v>
      </c>
      <c r="E784" t="s">
        <v>1610</v>
      </c>
      <c r="F784" t="s">
        <v>1611</v>
      </c>
    </row>
    <row r="785" spans="1:6" x14ac:dyDescent="0.3">
      <c r="A785" t="s">
        <v>1612</v>
      </c>
      <c r="B785" t="str" cm="1">
        <f t="array" ref="B785">_xlfn.XLOOKUP(C785, INDEX([1]!카테고리매핑,,2), INDEX([1]!카테고리매핑,,1), "미등록 카테고리")</f>
        <v>유제품</v>
      </c>
      <c r="C785" t="s">
        <v>123</v>
      </c>
      <c r="D785" t="str">
        <f>VLOOKUP(C785, '[1]VLOOKUP 함수용 카테고리'!$A$1:$B$59, 2, 0)</f>
        <v>DAIRY</v>
      </c>
      <c r="E785" t="s">
        <v>367</v>
      </c>
      <c r="F785" t="s">
        <v>191</v>
      </c>
    </row>
    <row r="786" spans="1:6" x14ac:dyDescent="0.3">
      <c r="A786" t="s">
        <v>1613</v>
      </c>
      <c r="B786" t="str" cm="1">
        <f t="array" ref="B786">_xlfn.XLOOKUP(C786, INDEX([1]!카테고리매핑,,2), INDEX([1]!카테고리매핑,,1), "미등록 카테고리")</f>
        <v>유제품</v>
      </c>
      <c r="C786" t="s">
        <v>98</v>
      </c>
      <c r="D786" t="str">
        <f>VLOOKUP(C786, '[1]VLOOKUP 함수용 카테고리'!$A$1:$B$59, 2, 0)</f>
        <v>DAIRY</v>
      </c>
      <c r="E786" t="s">
        <v>98</v>
      </c>
      <c r="F786" t="s">
        <v>1614</v>
      </c>
    </row>
    <row r="787" spans="1:6" x14ac:dyDescent="0.3">
      <c r="A787" t="s">
        <v>1615</v>
      </c>
      <c r="B787" t="str" cm="1">
        <f t="array" ref="B787">_xlfn.XLOOKUP(C787, INDEX([1]!카테고리매핑,,2), INDEX([1]!카테고리매핑,,1), "미등록 카테고리")</f>
        <v>유제품</v>
      </c>
      <c r="C787" t="s">
        <v>211</v>
      </c>
      <c r="D787" t="str">
        <f>VLOOKUP(C787, '[1]VLOOKUP 함수용 카테고리'!$A$1:$B$59, 2, 0)</f>
        <v>DAIRY</v>
      </c>
      <c r="E787" t="s">
        <v>212</v>
      </c>
      <c r="F787" t="s">
        <v>1616</v>
      </c>
    </row>
    <row r="788" spans="1:6" x14ac:dyDescent="0.3">
      <c r="A788" t="s">
        <v>1617</v>
      </c>
      <c r="B788" t="str" cm="1">
        <f t="array" ref="B788">_xlfn.XLOOKUP(C788, INDEX([1]!카테고리매핑,,2), INDEX([1]!카테고리매핑,,1), "미등록 카테고리")</f>
        <v>채소/곡물류</v>
      </c>
      <c r="C788" t="s">
        <v>7</v>
      </c>
      <c r="D788" t="str">
        <f>VLOOKUP(C788, '[1]VLOOKUP 함수용 카테고리'!$A$1:$B$59, 2, 0)</f>
        <v>RAW_PRODUCE</v>
      </c>
      <c r="E788" t="s">
        <v>1618</v>
      </c>
    </row>
    <row r="789" spans="1:6" x14ac:dyDescent="0.3">
      <c r="A789" t="s">
        <v>1619</v>
      </c>
      <c r="B789" t="str" cm="1">
        <f t="array" ref="B789">_xlfn.XLOOKUP(C789, INDEX([1]!카테고리매핑,,2), INDEX([1]!카테고리매핑,,1), "미등록 카테고리")</f>
        <v>조미료</v>
      </c>
      <c r="C789" t="s">
        <v>84</v>
      </c>
      <c r="D789" t="str">
        <f>VLOOKUP(C789, '[1]VLOOKUP 함수용 카테고리'!$A$1:$B$59, 2, 0)</f>
        <v>SAUCE_SEASONING</v>
      </c>
      <c r="E789" t="s">
        <v>85</v>
      </c>
      <c r="F789" t="s">
        <v>1620</v>
      </c>
    </row>
    <row r="790" spans="1:6" x14ac:dyDescent="0.3">
      <c r="A790" t="s">
        <v>1621</v>
      </c>
      <c r="B790" t="str" cm="1">
        <f t="array" ref="B790">_xlfn.XLOOKUP(C790, INDEX([1]!카테고리매핑,,2), INDEX([1]!카테고리매핑,,1), "미등록 카테고리")</f>
        <v>육류/계란</v>
      </c>
      <c r="C790" t="s">
        <v>149</v>
      </c>
      <c r="D790" t="str">
        <f>VLOOKUP(C790, '[1]VLOOKUP 함수용 카테고리'!$A$1:$B$59, 2, 0)</f>
        <v>RAW_MEAT</v>
      </c>
      <c r="E790" t="s">
        <v>1151</v>
      </c>
      <c r="F790" t="s">
        <v>1141</v>
      </c>
    </row>
    <row r="791" spans="1:6" x14ac:dyDescent="0.3">
      <c r="A791" t="s">
        <v>1622</v>
      </c>
      <c r="B791" t="str" cm="1">
        <f t="array" ref="B791">_xlfn.XLOOKUP(C791, INDEX([1]!카테고리매핑,,2), INDEX([1]!카테고리매핑,,1), "미등록 카테고리")</f>
        <v>수산물</v>
      </c>
      <c r="C791" t="s">
        <v>140</v>
      </c>
      <c r="D791" t="str">
        <f>VLOOKUP(C791, '[1]VLOOKUP 함수용 카테고리'!$A$1:$B$59, 2, 0)</f>
        <v>SIMPLE_PROCESSED</v>
      </c>
      <c r="E791" t="s">
        <v>141</v>
      </c>
      <c r="F791" t="s">
        <v>391</v>
      </c>
    </row>
    <row r="792" spans="1:6" x14ac:dyDescent="0.3">
      <c r="A792" t="s">
        <v>1623</v>
      </c>
      <c r="B792" t="str" cm="1">
        <f t="array" ref="B792">_xlfn.XLOOKUP(C792, INDEX([1]!카테고리매핑,,2), INDEX([1]!카테고리매핑,,1), "미등록 카테고리")</f>
        <v>채소/곡물류</v>
      </c>
      <c r="C792" t="s">
        <v>301</v>
      </c>
      <c r="D792" t="str">
        <f>VLOOKUP(C792, '[1]VLOOKUP 함수용 카테고리'!$A$1:$B$59, 2, 0)</f>
        <v>GRAIN</v>
      </c>
      <c r="E792" t="s">
        <v>611</v>
      </c>
      <c r="F792" t="s">
        <v>7688</v>
      </c>
    </row>
    <row r="793" spans="1:6" x14ac:dyDescent="0.3">
      <c r="A793" t="s">
        <v>1624</v>
      </c>
      <c r="B793" t="str" cm="1">
        <f t="array" ref="B793">_xlfn.XLOOKUP(C793, INDEX([1]!카테고리매핑,,2), INDEX([1]!카테고리매핑,,1), "미등록 카테고리")</f>
        <v>간편식</v>
      </c>
      <c r="C793" t="s">
        <v>161</v>
      </c>
      <c r="D793" t="str">
        <f>VLOOKUP(C793, '[1]VLOOKUP 함수용 카테고리'!$A$1:$B$59, 2, 0)</f>
        <v>RTC_MEAL</v>
      </c>
      <c r="E793" t="s">
        <v>162</v>
      </c>
      <c r="F793" t="s">
        <v>1625</v>
      </c>
    </row>
    <row r="794" spans="1:6" x14ac:dyDescent="0.3">
      <c r="A794" t="s">
        <v>1626</v>
      </c>
      <c r="B794" t="str" cm="1">
        <f t="array" ref="B794">_xlfn.XLOOKUP(C794, INDEX([1]!카테고리매핑,,2), INDEX([1]!카테고리매핑,,1), "미등록 카테고리")</f>
        <v>과일/견과류</v>
      </c>
      <c r="C794" t="s">
        <v>654</v>
      </c>
      <c r="D794" t="str">
        <f>VLOOKUP(C794, '[1]VLOOKUP 함수용 카테고리'!$A$1:$B$59, 2, 0)</f>
        <v>RAW_FRUIT</v>
      </c>
      <c r="E794" t="s">
        <v>1627</v>
      </c>
      <c r="F794" t="s">
        <v>1628</v>
      </c>
    </row>
    <row r="795" spans="1:6" x14ac:dyDescent="0.3">
      <c r="A795" t="s">
        <v>1629</v>
      </c>
      <c r="B795" t="str" cm="1">
        <f t="array" ref="B795">_xlfn.XLOOKUP(C795, INDEX([1]!카테고리매핑,,2), INDEX([1]!카테고리매핑,,1), "미등록 카테고리")</f>
        <v>육류/계란</v>
      </c>
      <c r="C795" t="s">
        <v>149</v>
      </c>
      <c r="D795" t="str">
        <f>VLOOKUP(C795, '[1]VLOOKUP 함수용 카테고리'!$A$1:$B$59, 2, 0)</f>
        <v>RAW_MEAT</v>
      </c>
      <c r="E795" t="s">
        <v>1630</v>
      </c>
      <c r="F795" t="s">
        <v>72</v>
      </c>
    </row>
    <row r="796" spans="1:6" x14ac:dyDescent="0.3">
      <c r="A796" t="s">
        <v>1631</v>
      </c>
      <c r="B796" t="str" cm="1">
        <f t="array" ref="B796">_xlfn.XLOOKUP(C796, INDEX([1]!카테고리매핑,,2), INDEX([1]!카테고리매핑,,1), "미등록 카테고리")</f>
        <v>간편식</v>
      </c>
      <c r="C796" t="s">
        <v>256</v>
      </c>
      <c r="D796" t="str">
        <f>VLOOKUP(C796, '[1]VLOOKUP 함수용 카테고리'!$A$1:$B$59, 2, 0)</f>
        <v>RTC_MEAL</v>
      </c>
      <c r="E796" t="s">
        <v>256</v>
      </c>
      <c r="F796" t="s">
        <v>7726</v>
      </c>
    </row>
    <row r="797" spans="1:6" x14ac:dyDescent="0.3">
      <c r="A797" t="s">
        <v>1632</v>
      </c>
      <c r="B797" t="str" cm="1">
        <f t="array" ref="B797">_xlfn.XLOOKUP(C797, INDEX([1]!카테고리매핑,,2), INDEX([1]!카테고리매핑,,1), "미등록 카테고리")</f>
        <v>음료</v>
      </c>
      <c r="C797" t="s">
        <v>23</v>
      </c>
      <c r="D797" t="str">
        <f>VLOOKUP(C797, '[1]VLOOKUP 함수용 카테고리'!$A$1:$B$59, 2, 0)</f>
        <v>BEVERAGE</v>
      </c>
      <c r="E797" t="s">
        <v>1633</v>
      </c>
      <c r="F797" t="s">
        <v>1634</v>
      </c>
    </row>
    <row r="798" spans="1:6" x14ac:dyDescent="0.3">
      <c r="A798" t="s">
        <v>1635</v>
      </c>
      <c r="B798" t="str" cm="1">
        <f t="array" ref="B798">_xlfn.XLOOKUP(C798, INDEX([1]!카테고리매핑,,2), INDEX([1]!카테고리매핑,,1), "미등록 카테고리")</f>
        <v>간식류</v>
      </c>
      <c r="C798" t="s">
        <v>109</v>
      </c>
      <c r="D798" t="str">
        <f>VLOOKUP(C798, '[1]VLOOKUP 함수용 카테고리'!$A$1:$B$59, 2, 0)</f>
        <v>SNACK</v>
      </c>
      <c r="E798" t="s">
        <v>1636</v>
      </c>
      <c r="F798" t="s">
        <v>121</v>
      </c>
    </row>
    <row r="799" spans="1:6" x14ac:dyDescent="0.3">
      <c r="A799" t="s">
        <v>1637</v>
      </c>
      <c r="B799" t="str" cm="1">
        <f t="array" ref="B799">_xlfn.XLOOKUP(C799, INDEX([1]!카테고리매핑,,2), INDEX([1]!카테고리매핑,,1), "미등록 카테고리")</f>
        <v>유제품</v>
      </c>
      <c r="C799" t="s">
        <v>432</v>
      </c>
      <c r="D799" t="str">
        <f>VLOOKUP(C799, '[1]VLOOKUP 함수용 카테고리'!$A$1:$B$59, 2, 0)</f>
        <v>DAIRY</v>
      </c>
      <c r="E799" t="s">
        <v>549</v>
      </c>
      <c r="F799" t="s">
        <v>844</v>
      </c>
    </row>
    <row r="800" spans="1:6" x14ac:dyDescent="0.3">
      <c r="A800" t="s">
        <v>1638</v>
      </c>
      <c r="B800" t="str" cm="1">
        <f t="array" ref="B800">_xlfn.XLOOKUP(C800, INDEX([1]!카테고리매핑,,2), INDEX([1]!카테고리매핑,,1), "미등록 카테고리")</f>
        <v>육류/계란</v>
      </c>
      <c r="C800" t="s">
        <v>105</v>
      </c>
      <c r="D800" t="str">
        <f>VLOOKUP(C800, '[1]VLOOKUP 함수용 카테고리'!$A$1:$B$59, 2, 0)</f>
        <v>RAW_MEAT</v>
      </c>
      <c r="E800" t="s">
        <v>1639</v>
      </c>
      <c r="F800" t="s">
        <v>254</v>
      </c>
    </row>
    <row r="801" spans="1:6" x14ac:dyDescent="0.3">
      <c r="A801" t="s">
        <v>1640</v>
      </c>
      <c r="B801" t="str" cm="1">
        <f t="array" ref="B801">_xlfn.XLOOKUP(C801, INDEX([1]!카테고리매핑,,2), INDEX([1]!카테고리매핑,,1), "미등록 카테고리")</f>
        <v>간편식</v>
      </c>
      <c r="C801" t="s">
        <v>46</v>
      </c>
      <c r="D801" t="str">
        <f>VLOOKUP(C801, '[1]VLOOKUP 함수용 카테고리'!$A$1:$B$59, 2, 0)</f>
        <v>RTC_MEAL</v>
      </c>
      <c r="E801" t="s">
        <v>46</v>
      </c>
      <c r="F801" t="s">
        <v>369</v>
      </c>
    </row>
    <row r="802" spans="1:6" x14ac:dyDescent="0.3">
      <c r="A802" t="s">
        <v>1641</v>
      </c>
      <c r="B802" t="str" cm="1">
        <f t="array" ref="B802">_xlfn.XLOOKUP(C802, INDEX([1]!카테고리매핑,,2), INDEX([1]!카테고리매핑,,1), "미등록 카테고리")</f>
        <v>채소/곡물류</v>
      </c>
      <c r="C802" t="s">
        <v>7</v>
      </c>
      <c r="D802" t="str">
        <f>VLOOKUP(C802, '[1]VLOOKUP 함수용 카테고리'!$A$1:$B$59, 2, 0)</f>
        <v>RAW_PRODUCE</v>
      </c>
      <c r="E802" t="s">
        <v>566</v>
      </c>
      <c r="F802" t="s">
        <v>151</v>
      </c>
    </row>
    <row r="803" spans="1:6" x14ac:dyDescent="0.3">
      <c r="A803" t="s">
        <v>1642</v>
      </c>
      <c r="B803" t="str" cm="1">
        <f t="array" ref="B803">_xlfn.XLOOKUP(C803, INDEX([1]!카테고리매핑,,2), INDEX([1]!카테고리매핑,,1), "미등록 카테고리")</f>
        <v>조미료</v>
      </c>
      <c r="C803" t="s">
        <v>84</v>
      </c>
      <c r="D803" t="str">
        <f>VLOOKUP(C803, '[1]VLOOKUP 함수용 카테고리'!$A$1:$B$59, 2, 0)</f>
        <v>SAUCE_SEASONING</v>
      </c>
      <c r="E803" t="s">
        <v>1063</v>
      </c>
      <c r="F803" t="s">
        <v>1643</v>
      </c>
    </row>
    <row r="804" spans="1:6" x14ac:dyDescent="0.3">
      <c r="A804" t="s">
        <v>1644</v>
      </c>
      <c r="B804" t="str" cm="1">
        <f t="array" ref="B804">_xlfn.XLOOKUP(C804, INDEX([1]!카테고리매핑,,2), INDEX([1]!카테고리매핑,,1), "미등록 카테고리")</f>
        <v>간편식</v>
      </c>
      <c r="C804" t="s">
        <v>161</v>
      </c>
      <c r="D804" t="str">
        <f>VLOOKUP(C804, '[1]VLOOKUP 함수용 카테고리'!$A$1:$B$59, 2, 0)</f>
        <v>RTC_MEAL</v>
      </c>
      <c r="E804" t="s">
        <v>1645</v>
      </c>
      <c r="F804" t="s">
        <v>7727</v>
      </c>
    </row>
    <row r="805" spans="1:6" x14ac:dyDescent="0.3">
      <c r="A805" t="s">
        <v>1646</v>
      </c>
      <c r="B805" t="str" cm="1">
        <f t="array" ref="B805">_xlfn.XLOOKUP(C805, INDEX([1]!카테고리매핑,,2), INDEX([1]!카테고리매핑,,1), "미등록 카테고리")</f>
        <v>육류/계란</v>
      </c>
      <c r="C805" t="s">
        <v>149</v>
      </c>
      <c r="D805" t="str">
        <f>VLOOKUP(C805, '[1]VLOOKUP 함수용 카테고리'!$A$1:$B$59, 2, 0)</f>
        <v>RAW_MEAT</v>
      </c>
      <c r="E805" t="s">
        <v>1647</v>
      </c>
      <c r="F805" t="s">
        <v>7728</v>
      </c>
    </row>
    <row r="806" spans="1:6" x14ac:dyDescent="0.3">
      <c r="A806" t="s">
        <v>1648</v>
      </c>
      <c r="B806" t="str" cm="1">
        <f t="array" ref="B806">_xlfn.XLOOKUP(C806, INDEX([1]!카테고리매핑,,2), INDEX([1]!카테고리매핑,,1), "미등록 카테고리")</f>
        <v>조미료</v>
      </c>
      <c r="C806" t="s">
        <v>117</v>
      </c>
      <c r="D806" t="str">
        <f>VLOOKUP(C806, '[1]VLOOKUP 함수용 카테고리'!$A$1:$B$59, 2, 0)</f>
        <v>SAUCE_SEASONING</v>
      </c>
      <c r="E806" t="s">
        <v>118</v>
      </c>
      <c r="F806" t="s">
        <v>646</v>
      </c>
    </row>
    <row r="807" spans="1:6" x14ac:dyDescent="0.3">
      <c r="A807" t="s">
        <v>1649</v>
      </c>
      <c r="B807" t="str" cm="1">
        <f t="array" ref="B807">_xlfn.XLOOKUP(C807, INDEX([1]!카테고리매핑,,2), INDEX([1]!카테고리매핑,,1), "미등록 카테고리")</f>
        <v>간편식</v>
      </c>
      <c r="C807" t="s">
        <v>256</v>
      </c>
      <c r="D807" t="str">
        <f>VLOOKUP(C807, '[1]VLOOKUP 함수용 카테고리'!$A$1:$B$59, 2, 0)</f>
        <v>RTC_MEAL</v>
      </c>
      <c r="E807" t="s">
        <v>256</v>
      </c>
      <c r="F807" t="s">
        <v>541</v>
      </c>
    </row>
    <row r="808" spans="1:6" x14ac:dyDescent="0.3">
      <c r="A808" t="s">
        <v>1650</v>
      </c>
      <c r="B808" t="str" cm="1">
        <f t="array" ref="B808">_xlfn.XLOOKUP(C808, INDEX([1]!카테고리매핑,,2), INDEX([1]!카테고리매핑,,1), "미등록 카테고리")</f>
        <v>조미료</v>
      </c>
      <c r="C808" t="s">
        <v>83</v>
      </c>
      <c r="D808" t="str">
        <f>VLOOKUP(C808, '[1]VLOOKUP 함수용 카테고리'!$A$1:$B$59, 2, 0)</f>
        <v>SAUCE_SEASONING</v>
      </c>
      <c r="E808" t="s">
        <v>1651</v>
      </c>
      <c r="F808" t="s">
        <v>1652</v>
      </c>
    </row>
    <row r="809" spans="1:6" x14ac:dyDescent="0.3">
      <c r="A809" t="s">
        <v>1653</v>
      </c>
      <c r="B809" t="str" cm="1">
        <f t="array" ref="B809">_xlfn.XLOOKUP(C809, INDEX([1]!카테고리매핑,,2), INDEX([1]!카테고리매핑,,1), "미등록 카테고리")</f>
        <v>간편식</v>
      </c>
      <c r="C809" t="s">
        <v>131</v>
      </c>
      <c r="D809" t="str">
        <f>VLOOKUP(C809, '[1]VLOOKUP 함수용 카테고리'!$A$1:$B$59, 2, 0)</f>
        <v>SIMPLE_PROCESSED</v>
      </c>
      <c r="E809" t="s">
        <v>1654</v>
      </c>
      <c r="F809" t="s">
        <v>527</v>
      </c>
    </row>
    <row r="810" spans="1:6" x14ac:dyDescent="0.3">
      <c r="A810" t="s">
        <v>1655</v>
      </c>
      <c r="B810" t="str" cm="1">
        <f t="array" ref="B810">_xlfn.XLOOKUP(C810, INDEX([1]!카테고리매핑,,2), INDEX([1]!카테고리매핑,,1), "미등록 카테고리")</f>
        <v>조미료</v>
      </c>
      <c r="C810" t="s">
        <v>83</v>
      </c>
      <c r="D810" t="str">
        <f>VLOOKUP(C810, '[1]VLOOKUP 함수용 카테고리'!$A$1:$B$59, 2, 0)</f>
        <v>SAUCE_SEASONING</v>
      </c>
      <c r="E810" t="s">
        <v>1165</v>
      </c>
      <c r="F810" t="s">
        <v>1656</v>
      </c>
    </row>
    <row r="811" spans="1:6" x14ac:dyDescent="0.3">
      <c r="A811" t="s">
        <v>1657</v>
      </c>
      <c r="B811" t="str" cm="1">
        <f t="array" ref="B811">_xlfn.XLOOKUP(C811, INDEX([1]!카테고리매핑,,2), INDEX([1]!카테고리매핑,,1), "미등록 카테고리")</f>
        <v>음료</v>
      </c>
      <c r="C811" t="s">
        <v>23</v>
      </c>
      <c r="D811" t="str">
        <f>VLOOKUP(C811, '[1]VLOOKUP 함수용 카테고리'!$A$1:$B$59, 2, 0)</f>
        <v>BEVERAGE</v>
      </c>
      <c r="E811" t="s">
        <v>1658</v>
      </c>
      <c r="F811" t="s">
        <v>1659</v>
      </c>
    </row>
    <row r="812" spans="1:6" x14ac:dyDescent="0.3">
      <c r="A812" t="s">
        <v>1660</v>
      </c>
      <c r="B812" t="str" cm="1">
        <f t="array" ref="B812">_xlfn.XLOOKUP(C812, INDEX([1]!카테고리매핑,,2), INDEX([1]!카테고리매핑,,1), "미등록 카테고리")</f>
        <v>조미료</v>
      </c>
      <c r="C812" t="s">
        <v>127</v>
      </c>
      <c r="D812" t="str">
        <f>VLOOKUP(C812, '[1]VLOOKUP 함수용 카테고리'!$A$1:$B$59, 2, 0)</f>
        <v>SAUCE_SEASONING</v>
      </c>
      <c r="E812" t="s">
        <v>248</v>
      </c>
      <c r="F812" t="s">
        <v>1661</v>
      </c>
    </row>
    <row r="813" spans="1:6" x14ac:dyDescent="0.3">
      <c r="A813" t="s">
        <v>1662</v>
      </c>
      <c r="B813" t="str" cm="1">
        <f t="array" ref="B813">_xlfn.XLOOKUP(C813, INDEX([1]!카테고리매핑,,2), INDEX([1]!카테고리매핑,,1), "미등록 카테고리")</f>
        <v>유제품</v>
      </c>
      <c r="C813" t="s">
        <v>211</v>
      </c>
      <c r="D813" t="str">
        <f>VLOOKUP(C813, '[1]VLOOKUP 함수용 카테고리'!$A$1:$B$59, 2, 0)</f>
        <v>DAIRY</v>
      </c>
      <c r="E813" t="s">
        <v>211</v>
      </c>
      <c r="F813" t="s">
        <v>1663</v>
      </c>
    </row>
    <row r="814" spans="1:6" x14ac:dyDescent="0.3">
      <c r="A814" t="s">
        <v>1664</v>
      </c>
      <c r="B814" t="str" cm="1">
        <f t="array" ref="B814">_xlfn.XLOOKUP(C814, INDEX([1]!카테고리매핑,,2), INDEX([1]!카테고리매핑,,1), "미등록 카테고리")</f>
        <v>육류/계란</v>
      </c>
      <c r="C814" t="s">
        <v>105</v>
      </c>
      <c r="D814" t="str">
        <f>VLOOKUP(C814, '[1]VLOOKUP 함수용 카테고리'!$A$1:$B$59, 2, 0)</f>
        <v>RAW_MEAT</v>
      </c>
      <c r="E814" t="s">
        <v>1109</v>
      </c>
      <c r="F814" t="s">
        <v>1665</v>
      </c>
    </row>
    <row r="815" spans="1:6" x14ac:dyDescent="0.3">
      <c r="A815" t="s">
        <v>1666</v>
      </c>
      <c r="B815" t="str" cm="1">
        <f t="array" ref="B815">_xlfn.XLOOKUP(C815, INDEX([1]!카테고리매핑,,2), INDEX([1]!카테고리매핑,,1), "미등록 카테고리")</f>
        <v>간편식</v>
      </c>
      <c r="C815" t="s">
        <v>256</v>
      </c>
      <c r="D815" t="str">
        <f>VLOOKUP(C815, '[1]VLOOKUP 함수용 카테고리'!$A$1:$B$59, 2, 0)</f>
        <v>RTC_MEAL</v>
      </c>
      <c r="E815" t="s">
        <v>256</v>
      </c>
      <c r="F815" t="s">
        <v>541</v>
      </c>
    </row>
    <row r="816" spans="1:6" x14ac:dyDescent="0.3">
      <c r="A816" t="s">
        <v>1667</v>
      </c>
      <c r="B816" t="str" cm="1">
        <f t="array" ref="B816">_xlfn.XLOOKUP(C816, INDEX([1]!카테고리매핑,,2), INDEX([1]!카테고리매핑,,1), "미등록 카테고리")</f>
        <v>간식류</v>
      </c>
      <c r="C816" t="s">
        <v>11</v>
      </c>
      <c r="D816" t="str">
        <f>VLOOKUP(C816, '[1]VLOOKUP 함수용 카테고리'!$A$1:$B$59, 2, 0)</f>
        <v>SNACK</v>
      </c>
      <c r="E816" t="s">
        <v>1668</v>
      </c>
      <c r="F816" t="s">
        <v>7729</v>
      </c>
    </row>
    <row r="817" spans="1:6" x14ac:dyDescent="0.3">
      <c r="A817" t="s">
        <v>1669</v>
      </c>
      <c r="B817" t="str" cm="1">
        <f t="array" ref="B817">_xlfn.XLOOKUP(C817, INDEX([1]!카테고리매핑,,2), INDEX([1]!카테고리매핑,,1), "미등록 카테고리")</f>
        <v>상온식품</v>
      </c>
      <c r="C817" t="s">
        <v>276</v>
      </c>
      <c r="D817" t="str">
        <f>VLOOKUP(C817, '[1]VLOOKUP 함수용 카테고리'!$A$1:$B$59, 2, 0)</f>
        <v>DRIED_SEAFOOD</v>
      </c>
      <c r="E817" t="s">
        <v>277</v>
      </c>
      <c r="F817" t="s">
        <v>278</v>
      </c>
    </row>
    <row r="818" spans="1:6" x14ac:dyDescent="0.3">
      <c r="A818" t="s">
        <v>1670</v>
      </c>
      <c r="B818" t="str" cm="1">
        <f t="array" ref="B818">_xlfn.XLOOKUP(C818, INDEX([1]!카테고리매핑,,2), INDEX([1]!카테고리매핑,,1), "미등록 카테고리")</f>
        <v>간편식</v>
      </c>
      <c r="C818" t="s">
        <v>256</v>
      </c>
      <c r="D818" t="str">
        <f>VLOOKUP(C818, '[1]VLOOKUP 함수용 카테고리'!$A$1:$B$59, 2, 0)</f>
        <v>RTC_MEAL</v>
      </c>
      <c r="E818" t="s">
        <v>256</v>
      </c>
      <c r="F818" t="s">
        <v>1671</v>
      </c>
    </row>
    <row r="819" spans="1:6" x14ac:dyDescent="0.3">
      <c r="A819" t="s">
        <v>1672</v>
      </c>
      <c r="B819" t="str" cm="1">
        <f t="array" ref="B819">_xlfn.XLOOKUP(C819, INDEX([1]!카테고리매핑,,2), INDEX([1]!카테고리매핑,,1), "미등록 카테고리")</f>
        <v>수산물</v>
      </c>
      <c r="C819" t="s">
        <v>1673</v>
      </c>
      <c r="D819" t="str">
        <f>VLOOKUP(C819, '[1]VLOOKUP 함수용 카테고리'!$A$1:$B$59, 2, 0)</f>
        <v>RAW_SEAFOOD</v>
      </c>
      <c r="E819" t="s">
        <v>1674</v>
      </c>
      <c r="F819" t="s">
        <v>1675</v>
      </c>
    </row>
    <row r="820" spans="1:6" x14ac:dyDescent="0.3">
      <c r="A820" t="s">
        <v>1676</v>
      </c>
      <c r="B820" t="str" cm="1">
        <f t="array" ref="B820">_xlfn.XLOOKUP(C820, INDEX([1]!카테고리매핑,,2), INDEX([1]!카테고리매핑,,1), "미등록 카테고리")</f>
        <v>유제품</v>
      </c>
      <c r="C820" t="s">
        <v>123</v>
      </c>
      <c r="D820" t="str">
        <f>VLOOKUP(C820, '[1]VLOOKUP 함수용 카테고리'!$A$1:$B$59, 2, 0)</f>
        <v>DAIRY</v>
      </c>
      <c r="E820" t="s">
        <v>190</v>
      </c>
      <c r="F820" t="s">
        <v>1663</v>
      </c>
    </row>
    <row r="821" spans="1:6" x14ac:dyDescent="0.3">
      <c r="A821" t="s">
        <v>1677</v>
      </c>
      <c r="B821" t="str" cm="1">
        <f t="array" ref="B821">_xlfn.XLOOKUP(C821, INDEX([1]!카테고리매핑,,2), INDEX([1]!카테고리매핑,,1), "미등록 카테고리")</f>
        <v>채소/곡물류</v>
      </c>
      <c r="C821" t="s">
        <v>7</v>
      </c>
      <c r="D821" t="str">
        <f>VLOOKUP(C821, '[1]VLOOKUP 함수용 카테고리'!$A$1:$B$59, 2, 0)</f>
        <v>RAW_PRODUCE</v>
      </c>
      <c r="E821" t="s">
        <v>61</v>
      </c>
    </row>
    <row r="822" spans="1:6" x14ac:dyDescent="0.3">
      <c r="A822" t="s">
        <v>1678</v>
      </c>
      <c r="B822" t="str" cm="1">
        <f t="array" ref="B822">_xlfn.XLOOKUP(C822, INDEX([1]!카테고리매핑,,2), INDEX([1]!카테고리매핑,,1), "미등록 카테고리")</f>
        <v>조미료</v>
      </c>
      <c r="C822" t="s">
        <v>84</v>
      </c>
      <c r="D822" t="str">
        <f>VLOOKUP(C822, '[1]VLOOKUP 함수용 카테고리'!$A$1:$B$59, 2, 0)</f>
        <v>SAUCE_SEASONING</v>
      </c>
      <c r="E822" t="s">
        <v>85</v>
      </c>
      <c r="F822" t="s">
        <v>1679</v>
      </c>
    </row>
    <row r="823" spans="1:6" x14ac:dyDescent="0.3">
      <c r="A823" t="s">
        <v>1680</v>
      </c>
      <c r="B823" t="str" cm="1">
        <f t="array" ref="B823">_xlfn.XLOOKUP(C823, INDEX([1]!카테고리매핑,,2), INDEX([1]!카테고리매핑,,1), "미등록 카테고리")</f>
        <v>채소/곡물류</v>
      </c>
      <c r="C823" t="s">
        <v>27</v>
      </c>
      <c r="D823" t="str">
        <f>VLOOKUP(C823, '[1]VLOOKUP 함수용 카테고리'!$A$1:$B$59, 2, 0)</f>
        <v>SIMPLE_PROCESSED</v>
      </c>
      <c r="E823" t="s">
        <v>1173</v>
      </c>
      <c r="F823" t="s">
        <v>29</v>
      </c>
    </row>
    <row r="824" spans="1:6" x14ac:dyDescent="0.3">
      <c r="A824" t="s">
        <v>1681</v>
      </c>
      <c r="B824" t="str" cm="1">
        <f t="array" ref="B824">_xlfn.XLOOKUP(C824, INDEX([1]!카테고리매핑,,2), INDEX([1]!카테고리매핑,,1), "미등록 카테고리")</f>
        <v>간편식</v>
      </c>
      <c r="C824" t="s">
        <v>256</v>
      </c>
      <c r="D824" t="str">
        <f>VLOOKUP(C824, '[1]VLOOKUP 함수용 카테고리'!$A$1:$B$59, 2, 0)</f>
        <v>RTC_MEAL</v>
      </c>
      <c r="E824" t="s">
        <v>256</v>
      </c>
      <c r="F824" t="s">
        <v>821</v>
      </c>
    </row>
    <row r="825" spans="1:6" x14ac:dyDescent="0.3">
      <c r="A825" t="s">
        <v>1682</v>
      </c>
      <c r="B825" t="str" cm="1">
        <f t="array" ref="B825">_xlfn.XLOOKUP(C825, INDEX([1]!카테고리매핑,,2), INDEX([1]!카테고리매핑,,1), "미등록 카테고리")</f>
        <v>유제품</v>
      </c>
      <c r="C825" t="s">
        <v>211</v>
      </c>
      <c r="D825" t="str">
        <f>VLOOKUP(C825, '[1]VLOOKUP 함수용 카테고리'!$A$1:$B$59, 2, 0)</f>
        <v>DAIRY</v>
      </c>
      <c r="E825" t="s">
        <v>1683</v>
      </c>
      <c r="F825" t="s">
        <v>7708</v>
      </c>
    </row>
    <row r="826" spans="1:6" x14ac:dyDescent="0.3">
      <c r="A826" t="s">
        <v>1684</v>
      </c>
      <c r="B826" t="str" cm="1">
        <f t="array" ref="B826">_xlfn.XLOOKUP(C826, INDEX([1]!카테고리매핑,,2), INDEX([1]!카테고리매핑,,1), "미등록 카테고리")</f>
        <v>간편식</v>
      </c>
      <c r="C826" t="s">
        <v>19</v>
      </c>
      <c r="D826" t="str">
        <f>VLOOKUP(C826, '[1]VLOOKUP 함수용 카테고리'!$A$1:$B$59, 2, 0)</f>
        <v>FROZEN_MEAL</v>
      </c>
      <c r="E826" t="s">
        <v>1685</v>
      </c>
      <c r="F826" t="s">
        <v>1686</v>
      </c>
    </row>
    <row r="827" spans="1:6" x14ac:dyDescent="0.3">
      <c r="A827" t="s">
        <v>1687</v>
      </c>
      <c r="B827" t="str" cm="1">
        <f t="array" ref="B827">_xlfn.XLOOKUP(C827, INDEX([1]!카테고리매핑,,2), INDEX([1]!카테고리매핑,,1), "미등록 카테고리")</f>
        <v>육류/계란</v>
      </c>
      <c r="C827" t="s">
        <v>298</v>
      </c>
      <c r="D827" t="str">
        <f>VLOOKUP(C827, '[1]VLOOKUP 함수용 카테고리'!$A$1:$B$59, 2, 0)</f>
        <v>RAW_MEAT</v>
      </c>
      <c r="E827" t="s">
        <v>537</v>
      </c>
      <c r="F827" t="s">
        <v>571</v>
      </c>
    </row>
    <row r="828" spans="1:6" x14ac:dyDescent="0.3">
      <c r="A828" t="s">
        <v>1688</v>
      </c>
      <c r="B828" t="str" cm="1">
        <f t="array" ref="B828">_xlfn.XLOOKUP(C828, INDEX([1]!카테고리매핑,,2), INDEX([1]!카테고리매핑,,1), "미등록 카테고리")</f>
        <v>간식류</v>
      </c>
      <c r="C828" t="s">
        <v>63</v>
      </c>
      <c r="D828" t="str">
        <f>VLOOKUP(C828, '[1]VLOOKUP 함수용 카테고리'!$A$1:$B$59, 2, 0)</f>
        <v>BAKERY</v>
      </c>
      <c r="E828" t="s">
        <v>496</v>
      </c>
      <c r="F828" t="s">
        <v>1689</v>
      </c>
    </row>
    <row r="829" spans="1:6" x14ac:dyDescent="0.3">
      <c r="A829" t="s">
        <v>1690</v>
      </c>
      <c r="B829" t="str" cm="1">
        <f t="array" ref="B829">_xlfn.XLOOKUP(C829, INDEX([1]!카테고리매핑,,2), INDEX([1]!카테고리매핑,,1), "미등록 카테고리")</f>
        <v>상온식품</v>
      </c>
      <c r="C829" t="s">
        <v>769</v>
      </c>
      <c r="D829" t="str">
        <f>VLOOKUP(C829, '[1]VLOOKUP 함수용 카테고리'!$A$1:$B$59, 2, 0)</f>
        <v>GRAIN</v>
      </c>
      <c r="E829" t="s">
        <v>770</v>
      </c>
      <c r="F829" t="s">
        <v>32</v>
      </c>
    </row>
    <row r="830" spans="1:6" x14ac:dyDescent="0.3">
      <c r="A830" t="s">
        <v>1691</v>
      </c>
      <c r="B830" t="str" cm="1">
        <f t="array" ref="B830">_xlfn.XLOOKUP(C830, INDEX([1]!카테고리매핑,,2), INDEX([1]!카테고리매핑,,1), "미등록 카테고리")</f>
        <v>간식류</v>
      </c>
      <c r="C830" t="s">
        <v>15</v>
      </c>
      <c r="D830" t="str">
        <f>VLOOKUP(C830, '[1]VLOOKUP 함수용 카테고리'!$A$1:$B$59, 2, 0)</f>
        <v>BAKERY</v>
      </c>
      <c r="E830" t="s">
        <v>1692</v>
      </c>
      <c r="F830" t="s">
        <v>1693</v>
      </c>
    </row>
    <row r="831" spans="1:6" x14ac:dyDescent="0.3">
      <c r="A831" t="s">
        <v>1694</v>
      </c>
      <c r="B831" t="str" cm="1">
        <f t="array" ref="B831">_xlfn.XLOOKUP(C831, INDEX([1]!카테고리매핑,,2), INDEX([1]!카테고리매핑,,1), "미등록 카테고리")</f>
        <v>간편식</v>
      </c>
      <c r="C831" t="s">
        <v>46</v>
      </c>
      <c r="D831" t="str">
        <f>VLOOKUP(C831, '[1]VLOOKUP 함수용 카테고리'!$A$1:$B$59, 2, 0)</f>
        <v>RTC_MEAL</v>
      </c>
      <c r="E831" t="s">
        <v>46</v>
      </c>
      <c r="F831" t="s">
        <v>1695</v>
      </c>
    </row>
    <row r="832" spans="1:6" x14ac:dyDescent="0.3">
      <c r="A832" t="s">
        <v>1696</v>
      </c>
      <c r="B832" t="str" cm="1">
        <f t="array" ref="B832">_xlfn.XLOOKUP(C832, INDEX([1]!카테고리매핑,,2), INDEX([1]!카테고리매핑,,1), "미등록 카테고리")</f>
        <v>음료</v>
      </c>
      <c r="C832" t="s">
        <v>242</v>
      </c>
      <c r="D832" t="str">
        <f>VLOOKUP(C832, '[1]VLOOKUP 함수용 카테고리'!$A$1:$B$59, 2, 0)</f>
        <v>BEVERAGE</v>
      </c>
      <c r="E832" t="s">
        <v>1697</v>
      </c>
      <c r="F832" t="s">
        <v>1698</v>
      </c>
    </row>
    <row r="833" spans="1:6" x14ac:dyDescent="0.3">
      <c r="A833" t="s">
        <v>1699</v>
      </c>
      <c r="B833" t="str" cm="1">
        <f t="array" ref="B833">_xlfn.XLOOKUP(C833, INDEX([1]!카테고리매핑,,2), INDEX([1]!카테고리매핑,,1), "미등록 카테고리")</f>
        <v>조미료</v>
      </c>
      <c r="C833" t="s">
        <v>83</v>
      </c>
      <c r="D833" t="str">
        <f>VLOOKUP(C833, '[1]VLOOKUP 함수용 카테고리'!$A$1:$B$59, 2, 0)</f>
        <v>SAUCE_SEASONING</v>
      </c>
      <c r="E833" t="s">
        <v>7667</v>
      </c>
      <c r="F833" t="s">
        <v>646</v>
      </c>
    </row>
    <row r="834" spans="1:6" x14ac:dyDescent="0.3">
      <c r="A834" t="s">
        <v>1700</v>
      </c>
      <c r="B834" t="str" cm="1">
        <f t="array" ref="B834">_xlfn.XLOOKUP(C834, INDEX([1]!카테고리매핑,,2), INDEX([1]!카테고리매핑,,1), "미등록 카테고리")</f>
        <v>간편식</v>
      </c>
      <c r="C834" t="s">
        <v>131</v>
      </c>
      <c r="D834" t="str">
        <f>VLOOKUP(C834, '[1]VLOOKUP 함수용 카테고리'!$A$1:$B$59, 2, 0)</f>
        <v>SIMPLE_PROCESSED</v>
      </c>
      <c r="E834" t="s">
        <v>1701</v>
      </c>
      <c r="F834" t="s">
        <v>285</v>
      </c>
    </row>
    <row r="835" spans="1:6" x14ac:dyDescent="0.3">
      <c r="A835" t="s">
        <v>1702</v>
      </c>
      <c r="B835" t="str" cm="1">
        <f t="array" ref="B835">_xlfn.XLOOKUP(C835, INDEX([1]!카테고리매핑,,2), INDEX([1]!카테고리매핑,,1), "미등록 카테고리")</f>
        <v>간식류</v>
      </c>
      <c r="C835" t="s">
        <v>63</v>
      </c>
      <c r="D835" t="str">
        <f>VLOOKUP(C835, '[1]VLOOKUP 함수용 카테고리'!$A$1:$B$59, 2, 0)</f>
        <v>BAKERY</v>
      </c>
      <c r="E835" t="s">
        <v>1703</v>
      </c>
      <c r="F835" t="s">
        <v>7730</v>
      </c>
    </row>
    <row r="836" spans="1:6" x14ac:dyDescent="0.3">
      <c r="A836" t="s">
        <v>1704</v>
      </c>
      <c r="B836" t="str" cm="1">
        <f t="array" ref="B836">_xlfn.XLOOKUP(C836, INDEX([1]!카테고리매핑,,2), INDEX([1]!카테고리매핑,,1), "미등록 카테고리")</f>
        <v>조미료</v>
      </c>
      <c r="C836" t="s">
        <v>127</v>
      </c>
      <c r="D836" t="str">
        <f>VLOOKUP(C836, '[1]VLOOKUP 함수용 카테고리'!$A$1:$B$59, 2, 0)</f>
        <v>SAUCE_SEASONING</v>
      </c>
      <c r="E836" t="s">
        <v>171</v>
      </c>
      <c r="F836" t="s">
        <v>129</v>
      </c>
    </row>
    <row r="837" spans="1:6" x14ac:dyDescent="0.3">
      <c r="A837" t="s">
        <v>1705</v>
      </c>
      <c r="B837" t="str" cm="1">
        <f t="array" ref="B837">_xlfn.XLOOKUP(C837, INDEX([1]!카테고리매핑,,2), INDEX([1]!카테고리매핑,,1), "미등록 카테고리")</f>
        <v>수산물</v>
      </c>
      <c r="C837" t="s">
        <v>101</v>
      </c>
      <c r="D837" t="str">
        <f>VLOOKUP(C837, '[1]VLOOKUP 함수용 카테고리'!$A$1:$B$59, 2, 0)</f>
        <v>DRIED_SEAFOOD</v>
      </c>
      <c r="E837" t="s">
        <v>1706</v>
      </c>
      <c r="F837" t="s">
        <v>215</v>
      </c>
    </row>
    <row r="838" spans="1:6" x14ac:dyDescent="0.3">
      <c r="A838" t="s">
        <v>1707</v>
      </c>
      <c r="B838" t="str" cm="1">
        <f t="array" ref="B838">_xlfn.XLOOKUP(C838, INDEX([1]!카테고리매핑,,2), INDEX([1]!카테고리매핑,,1), "미등록 카테고리")</f>
        <v>육류/계란</v>
      </c>
      <c r="C838" t="s">
        <v>105</v>
      </c>
      <c r="D838" t="str">
        <f>VLOOKUP(C838, '[1]VLOOKUP 함수용 카테고리'!$A$1:$B$59, 2, 0)</f>
        <v>RAW_MEAT</v>
      </c>
      <c r="E838" t="s">
        <v>176</v>
      </c>
      <c r="F838" t="s">
        <v>1708</v>
      </c>
    </row>
    <row r="839" spans="1:6" x14ac:dyDescent="0.3">
      <c r="A839" t="s">
        <v>1709</v>
      </c>
      <c r="B839" t="str" cm="1">
        <f t="array" ref="B839">_xlfn.XLOOKUP(C839, INDEX([1]!카테고리매핑,,2), INDEX([1]!카테고리매핑,,1), "미등록 카테고리")</f>
        <v>간편식</v>
      </c>
      <c r="C839" t="s">
        <v>131</v>
      </c>
      <c r="D839" t="str">
        <f>VLOOKUP(C839, '[1]VLOOKUP 함수용 카테고리'!$A$1:$B$59, 2, 0)</f>
        <v>SIMPLE_PROCESSED</v>
      </c>
      <c r="E839" t="s">
        <v>1067</v>
      </c>
      <c r="F839" t="s">
        <v>133</v>
      </c>
    </row>
    <row r="840" spans="1:6" x14ac:dyDescent="0.3">
      <c r="A840" t="s">
        <v>1710</v>
      </c>
      <c r="B840" t="str" cm="1">
        <f t="array" ref="B840">_xlfn.XLOOKUP(C840, INDEX([1]!카테고리매핑,,2), INDEX([1]!카테고리매핑,,1), "미등록 카테고리")</f>
        <v>수산물</v>
      </c>
      <c r="C840" t="s">
        <v>203</v>
      </c>
      <c r="D840" t="str">
        <f>VLOOKUP(C840, '[1]VLOOKUP 함수용 카테고리'!$A$1:$B$59, 2, 0)</f>
        <v>RAW_SEAFOOD</v>
      </c>
      <c r="E840" t="s">
        <v>204</v>
      </c>
      <c r="F840" t="s">
        <v>350</v>
      </c>
    </row>
    <row r="841" spans="1:6" x14ac:dyDescent="0.3">
      <c r="A841" t="s">
        <v>1711</v>
      </c>
      <c r="B841" t="str" cm="1">
        <f t="array" ref="B841">_xlfn.XLOOKUP(C841, INDEX([1]!카테고리매핑,,2), INDEX([1]!카테고리매핑,,1), "미등록 카테고리")</f>
        <v>육류/계란</v>
      </c>
      <c r="C841" t="s">
        <v>105</v>
      </c>
      <c r="D841" t="str">
        <f>VLOOKUP(C841, '[1]VLOOKUP 함수용 카테고리'!$A$1:$B$59, 2, 0)</f>
        <v>RAW_MEAT</v>
      </c>
      <c r="E841" t="s">
        <v>1712</v>
      </c>
      <c r="F841" t="s">
        <v>1665</v>
      </c>
    </row>
    <row r="842" spans="1:6" x14ac:dyDescent="0.3">
      <c r="A842" t="s">
        <v>1713</v>
      </c>
      <c r="B842" t="str" cm="1">
        <f t="array" ref="B842">_xlfn.XLOOKUP(C842, INDEX([1]!카테고리매핑,,2), INDEX([1]!카테고리매핑,,1), "미등록 카테고리")</f>
        <v>유제품</v>
      </c>
      <c r="C842" t="s">
        <v>211</v>
      </c>
      <c r="D842" t="str">
        <f>VLOOKUP(C842, '[1]VLOOKUP 함수용 카테고리'!$A$1:$B$59, 2, 0)</f>
        <v>DAIRY</v>
      </c>
      <c r="E842" t="s">
        <v>1683</v>
      </c>
    </row>
    <row r="843" spans="1:6" x14ac:dyDescent="0.3">
      <c r="A843" t="s">
        <v>1715</v>
      </c>
      <c r="B843" t="str" cm="1">
        <f t="array" ref="B843">_xlfn.XLOOKUP(C843, INDEX([1]!카테고리매핑,,2), INDEX([1]!카테고리매핑,,1), "미등록 카테고리")</f>
        <v>음료</v>
      </c>
      <c r="C843" t="s">
        <v>23</v>
      </c>
      <c r="D843" t="str">
        <f>VLOOKUP(C843, '[1]VLOOKUP 함수용 카테고리'!$A$1:$B$59, 2, 0)</f>
        <v>BEVERAGE</v>
      </c>
      <c r="E843" t="s">
        <v>502</v>
      </c>
      <c r="F843" t="s">
        <v>1716</v>
      </c>
    </row>
    <row r="844" spans="1:6" x14ac:dyDescent="0.3">
      <c r="A844" t="s">
        <v>1717</v>
      </c>
      <c r="B844" t="str" cm="1">
        <f t="array" ref="B844">_xlfn.XLOOKUP(C844, INDEX([1]!카테고리매핑,,2), INDEX([1]!카테고리매핑,,1), "미등록 카테고리")</f>
        <v>간식류</v>
      </c>
      <c r="C844" t="s">
        <v>11</v>
      </c>
      <c r="D844" t="str">
        <f>VLOOKUP(C844, '[1]VLOOKUP 함수용 카테고리'!$A$1:$B$59, 2, 0)</f>
        <v>SNACK</v>
      </c>
      <c r="E844" t="s">
        <v>371</v>
      </c>
      <c r="F844" t="s">
        <v>7731</v>
      </c>
    </row>
    <row r="845" spans="1:6" x14ac:dyDescent="0.3">
      <c r="A845" t="s">
        <v>1718</v>
      </c>
      <c r="B845" t="str" cm="1">
        <f t="array" ref="B845">_xlfn.XLOOKUP(C845, INDEX([1]!카테고리매핑,,2), INDEX([1]!카테고리매핑,,1), "미등록 카테고리")</f>
        <v>유제품</v>
      </c>
      <c r="C845" t="s">
        <v>98</v>
      </c>
      <c r="D845" t="str">
        <f>VLOOKUP(C845, '[1]VLOOKUP 함수용 카테고리'!$A$1:$B$59, 2, 0)</f>
        <v>DAIRY</v>
      </c>
      <c r="E845" t="s">
        <v>1143</v>
      </c>
      <c r="F845" t="s">
        <v>1719</v>
      </c>
    </row>
    <row r="846" spans="1:6" x14ac:dyDescent="0.3">
      <c r="A846" t="s">
        <v>1720</v>
      </c>
      <c r="B846" t="str" cm="1">
        <f t="array" ref="B846">_xlfn.XLOOKUP(C846, INDEX([1]!카테고리매핑,,2), INDEX([1]!카테고리매핑,,1), "미등록 카테고리")</f>
        <v>간편식</v>
      </c>
      <c r="C846" t="s">
        <v>158</v>
      </c>
      <c r="D846" t="str">
        <f>VLOOKUP(C846, '[1]VLOOKUP 함수용 카테고리'!$A$1:$B$59, 2, 0)</f>
        <v>INSTANT</v>
      </c>
      <c r="E846" t="s">
        <v>1721</v>
      </c>
      <c r="F846" t="s">
        <v>154</v>
      </c>
    </row>
    <row r="847" spans="1:6" x14ac:dyDescent="0.3">
      <c r="A847" t="s">
        <v>1722</v>
      </c>
      <c r="B847" t="str" cm="1">
        <f t="array" ref="B847">_xlfn.XLOOKUP(C847, INDEX([1]!카테고리매핑,,2), INDEX([1]!카테고리매핑,,1), "미등록 카테고리")</f>
        <v>수산물</v>
      </c>
      <c r="C847" t="s">
        <v>101</v>
      </c>
      <c r="D847" t="str">
        <f>VLOOKUP(C847, '[1]VLOOKUP 함수용 카테고리'!$A$1:$B$59, 2, 0)</f>
        <v>DRIED_SEAFOOD</v>
      </c>
      <c r="E847" t="s">
        <v>102</v>
      </c>
      <c r="F847" t="s">
        <v>1723</v>
      </c>
    </row>
    <row r="848" spans="1:6" x14ac:dyDescent="0.3">
      <c r="A848" t="s">
        <v>1724</v>
      </c>
      <c r="B848" t="str" cm="1">
        <f t="array" ref="B848">_xlfn.XLOOKUP(C848, INDEX([1]!카테고리매핑,,2), INDEX([1]!카테고리매핑,,1), "미등록 카테고리")</f>
        <v>간식류</v>
      </c>
      <c r="C848" t="s">
        <v>11</v>
      </c>
      <c r="D848" t="str">
        <f>VLOOKUP(C848, '[1]VLOOKUP 함수용 카테고리'!$A$1:$B$59, 2, 0)</f>
        <v>SNACK</v>
      </c>
      <c r="E848" t="s">
        <v>1482</v>
      </c>
      <c r="F848" t="s">
        <v>154</v>
      </c>
    </row>
    <row r="849" spans="1:6" x14ac:dyDescent="0.3">
      <c r="A849" t="s">
        <v>1725</v>
      </c>
      <c r="B849" t="str" cm="1">
        <f t="array" ref="B849">_xlfn.XLOOKUP(C849, INDEX([1]!카테고리매핑,,2), INDEX([1]!카테고리매핑,,1), "미등록 카테고리")</f>
        <v>조미료</v>
      </c>
      <c r="C849" t="s">
        <v>117</v>
      </c>
      <c r="D849" t="str">
        <f>VLOOKUP(C849, '[1]VLOOKUP 함수용 카테고리'!$A$1:$B$59, 2, 0)</f>
        <v>SAUCE_SEASONING</v>
      </c>
      <c r="E849" t="s">
        <v>1726</v>
      </c>
      <c r="F849" t="s">
        <v>7732</v>
      </c>
    </row>
    <row r="850" spans="1:6" x14ac:dyDescent="0.3">
      <c r="A850" t="s">
        <v>1727</v>
      </c>
      <c r="B850" t="str" cm="1">
        <f t="array" ref="B850">_xlfn.XLOOKUP(C850, INDEX([1]!카테고리매핑,,2), INDEX([1]!카테고리매핑,,1), "미등록 카테고리")</f>
        <v>간식류</v>
      </c>
      <c r="C850" t="s">
        <v>11</v>
      </c>
      <c r="D850" t="str">
        <f>VLOOKUP(C850, '[1]VLOOKUP 함수용 카테고리'!$A$1:$B$59, 2, 0)</f>
        <v>SNACK</v>
      </c>
      <c r="E850" t="s">
        <v>1728</v>
      </c>
      <c r="F850" t="s">
        <v>13</v>
      </c>
    </row>
    <row r="851" spans="1:6" x14ac:dyDescent="0.3">
      <c r="A851" t="s">
        <v>1729</v>
      </c>
      <c r="B851" t="str" cm="1">
        <f t="array" ref="B851">_xlfn.XLOOKUP(C851, INDEX([1]!카테고리매핑,,2), INDEX([1]!카테고리매핑,,1), "미등록 카테고리")</f>
        <v>간식류</v>
      </c>
      <c r="C851" t="s">
        <v>109</v>
      </c>
      <c r="D851" t="str">
        <f>VLOOKUP(C851, '[1]VLOOKUP 함수용 카테고리'!$A$1:$B$59, 2, 0)</f>
        <v>SNACK</v>
      </c>
      <c r="E851" t="s">
        <v>109</v>
      </c>
      <c r="F851" t="s">
        <v>1730</v>
      </c>
    </row>
    <row r="852" spans="1:6" x14ac:dyDescent="0.3">
      <c r="A852" t="s">
        <v>1731</v>
      </c>
      <c r="B852" t="str" cm="1">
        <f t="array" ref="B852">_xlfn.XLOOKUP(C852, INDEX([1]!카테고리매핑,,2), INDEX([1]!카테고리매핑,,1), "미등록 카테고리")</f>
        <v>조미료</v>
      </c>
      <c r="C852" t="s">
        <v>117</v>
      </c>
      <c r="D852" t="str">
        <f>VLOOKUP(C852, '[1]VLOOKUP 함수용 카테고리'!$A$1:$B$59, 2, 0)</f>
        <v>SAUCE_SEASONING</v>
      </c>
      <c r="E852" t="s">
        <v>895</v>
      </c>
      <c r="F852" t="s">
        <v>1732</v>
      </c>
    </row>
    <row r="853" spans="1:6" x14ac:dyDescent="0.3">
      <c r="A853" t="s">
        <v>1733</v>
      </c>
      <c r="B853" t="str" cm="1">
        <f t="array" ref="B853">_xlfn.XLOOKUP(C853, INDEX([1]!카테고리매핑,,2), INDEX([1]!카테고리매핑,,1), "미등록 카테고리")</f>
        <v>조미료</v>
      </c>
      <c r="C853" t="s">
        <v>127</v>
      </c>
      <c r="D853" t="str">
        <f>VLOOKUP(C853, '[1]VLOOKUP 함수용 카테고리'!$A$1:$B$59, 2, 0)</f>
        <v>SAUCE_SEASONING</v>
      </c>
      <c r="E853" t="s">
        <v>340</v>
      </c>
      <c r="F853" t="s">
        <v>1734</v>
      </c>
    </row>
    <row r="854" spans="1:6" x14ac:dyDescent="0.3">
      <c r="A854" t="s">
        <v>1735</v>
      </c>
      <c r="B854" t="str" cm="1">
        <f t="array" ref="B854">_xlfn.XLOOKUP(C854, INDEX([1]!카테고리매핑,,2), INDEX([1]!카테고리매핑,,1), "미등록 카테고리")</f>
        <v>채소/곡물류</v>
      </c>
      <c r="C854" t="s">
        <v>7</v>
      </c>
      <c r="D854" t="str">
        <f>VLOOKUP(C854, '[1]VLOOKUP 함수용 카테고리'!$A$1:$B$59, 2, 0)</f>
        <v>RAW_PRODUCE</v>
      </c>
      <c r="E854" t="s">
        <v>50</v>
      </c>
      <c r="F854" t="s">
        <v>51</v>
      </c>
    </row>
    <row r="855" spans="1:6" x14ac:dyDescent="0.3">
      <c r="A855" t="s">
        <v>1736</v>
      </c>
      <c r="B855" t="str" cm="1">
        <f t="array" ref="B855">_xlfn.XLOOKUP(C855, INDEX([1]!카테고리매핑,,2), INDEX([1]!카테고리매핑,,1), "미등록 카테고리")</f>
        <v>채소/곡물류</v>
      </c>
      <c r="C855" t="s">
        <v>301</v>
      </c>
      <c r="D855" t="str">
        <f>VLOOKUP(C855, '[1]VLOOKUP 함수용 카테고리'!$A$1:$B$59, 2, 0)</f>
        <v>GRAIN</v>
      </c>
      <c r="E855" t="s">
        <v>1737</v>
      </c>
      <c r="F855" t="s">
        <v>1738</v>
      </c>
    </row>
    <row r="856" spans="1:6" x14ac:dyDescent="0.3">
      <c r="A856" t="s">
        <v>1739</v>
      </c>
      <c r="B856" t="str" cm="1">
        <f t="array" ref="B856">_xlfn.XLOOKUP(C856, INDEX([1]!카테고리매핑,,2), INDEX([1]!카테고리매핑,,1), "미등록 카테고리")</f>
        <v>채소/곡물류</v>
      </c>
      <c r="C856" t="s">
        <v>7</v>
      </c>
      <c r="D856" t="str">
        <f>VLOOKUP(C856, '[1]VLOOKUP 함수용 카테고리'!$A$1:$B$59, 2, 0)</f>
        <v>RAW_PRODUCE</v>
      </c>
      <c r="E856" t="s">
        <v>50</v>
      </c>
      <c r="F856" t="s">
        <v>51</v>
      </c>
    </row>
    <row r="857" spans="1:6" x14ac:dyDescent="0.3">
      <c r="A857" t="s">
        <v>1740</v>
      </c>
      <c r="B857" t="str" cm="1">
        <f t="array" ref="B857">_xlfn.XLOOKUP(C857, INDEX([1]!카테고리매핑,,2), INDEX([1]!카테고리매핑,,1), "미등록 카테고리")</f>
        <v>과일/견과류</v>
      </c>
      <c r="C857" t="s">
        <v>654</v>
      </c>
      <c r="D857" t="str">
        <f>VLOOKUP(C857, '[1]VLOOKUP 함수용 카테고리'!$A$1:$B$59, 2, 0)</f>
        <v>RAW_FRUIT</v>
      </c>
      <c r="E857" t="s">
        <v>1741</v>
      </c>
      <c r="F857" t="s">
        <v>1628</v>
      </c>
    </row>
    <row r="858" spans="1:6" x14ac:dyDescent="0.3">
      <c r="A858" t="s">
        <v>1742</v>
      </c>
      <c r="B858" t="str" cm="1">
        <f t="array" ref="B858">_xlfn.XLOOKUP(C858, INDEX([1]!카테고리매핑,,2), INDEX([1]!카테고리매핑,,1), "미등록 카테고리")</f>
        <v>육류/계란</v>
      </c>
      <c r="C858" t="s">
        <v>298</v>
      </c>
      <c r="D858" t="str">
        <f>VLOOKUP(C858, '[1]VLOOKUP 함수용 카테고리'!$A$1:$B$59, 2, 0)</f>
        <v>RAW_MEAT</v>
      </c>
      <c r="E858" t="s">
        <v>751</v>
      </c>
      <c r="F858" t="s">
        <v>350</v>
      </c>
    </row>
    <row r="859" spans="1:6" x14ac:dyDescent="0.3">
      <c r="A859" t="s">
        <v>1743</v>
      </c>
      <c r="B859" t="str" cm="1">
        <f t="array" ref="B859">_xlfn.XLOOKUP(C859, INDEX([1]!카테고리매핑,,2), INDEX([1]!카테고리매핑,,1), "미등록 카테고리")</f>
        <v>과일/견과류</v>
      </c>
      <c r="C859" t="s">
        <v>654</v>
      </c>
      <c r="D859" t="str">
        <f>VLOOKUP(C859, '[1]VLOOKUP 함수용 카테고리'!$A$1:$B$59, 2, 0)</f>
        <v>RAW_FRUIT</v>
      </c>
      <c r="E859" t="s">
        <v>1744</v>
      </c>
      <c r="F859" t="s">
        <v>1745</v>
      </c>
    </row>
    <row r="860" spans="1:6" x14ac:dyDescent="0.3">
      <c r="A860" t="s">
        <v>1746</v>
      </c>
      <c r="B860" t="str" cm="1">
        <f t="array" ref="B860">_xlfn.XLOOKUP(C860, INDEX([1]!카테고리매핑,,2), INDEX([1]!카테고리매핑,,1), "미등록 카테고리")</f>
        <v>유제품</v>
      </c>
      <c r="C860" t="s">
        <v>123</v>
      </c>
      <c r="D860" t="str">
        <f>VLOOKUP(C860, '[1]VLOOKUP 함수용 카테고리'!$A$1:$B$59, 2, 0)</f>
        <v>DAIRY</v>
      </c>
      <c r="E860" t="s">
        <v>949</v>
      </c>
      <c r="F860" t="s">
        <v>7701</v>
      </c>
    </row>
    <row r="861" spans="1:6" x14ac:dyDescent="0.3">
      <c r="A861" t="s">
        <v>1747</v>
      </c>
      <c r="B861" t="str" cm="1">
        <f t="array" ref="B861">_xlfn.XLOOKUP(C861, INDEX([1]!카테고리매핑,,2), INDEX([1]!카테고리매핑,,1), "미등록 카테고리")</f>
        <v>음료</v>
      </c>
      <c r="C861" t="s">
        <v>23</v>
      </c>
      <c r="D861" t="str">
        <f>VLOOKUP(C861, '[1]VLOOKUP 함수용 카테고리'!$A$1:$B$59, 2, 0)</f>
        <v>BEVERAGE</v>
      </c>
      <c r="E861" t="s">
        <v>1748</v>
      </c>
      <c r="F861" t="s">
        <v>375</v>
      </c>
    </row>
    <row r="862" spans="1:6" x14ac:dyDescent="0.3">
      <c r="A862" t="s">
        <v>1749</v>
      </c>
      <c r="B862" t="str" cm="1">
        <f t="array" ref="B862">_xlfn.XLOOKUP(C862, INDEX([1]!카테고리매핑,,2), INDEX([1]!카테고리매핑,,1), "미등록 카테고리")</f>
        <v>상온식품</v>
      </c>
      <c r="C862" t="s">
        <v>835</v>
      </c>
      <c r="D862" t="str">
        <f>VLOOKUP(C862, '[1]VLOOKUP 함수용 카테고리'!$A$1:$B$59, 2, 0)</f>
        <v>SAUCE_SEASONING</v>
      </c>
      <c r="E862" t="s">
        <v>1750</v>
      </c>
      <c r="F862" t="s">
        <v>1751</v>
      </c>
    </row>
    <row r="863" spans="1:6" x14ac:dyDescent="0.3">
      <c r="A863" t="s">
        <v>1752</v>
      </c>
      <c r="B863" t="str" cm="1">
        <f t="array" ref="B863">_xlfn.XLOOKUP(C863, INDEX([1]!카테고리매핑,,2), INDEX([1]!카테고리매핑,,1), "미등록 카테고리")</f>
        <v>술</v>
      </c>
      <c r="C863" t="s">
        <v>411</v>
      </c>
      <c r="D863" t="str">
        <f>VLOOKUP(C863, '[1]VLOOKUP 함수용 카테고리'!$A$1:$B$59, 2, 0)</f>
        <v>ALCOHOL</v>
      </c>
      <c r="E863" t="s">
        <v>1753</v>
      </c>
      <c r="F863" t="s">
        <v>411</v>
      </c>
    </row>
    <row r="864" spans="1:6" x14ac:dyDescent="0.3">
      <c r="A864" t="s">
        <v>1754</v>
      </c>
      <c r="B864" t="str" cm="1">
        <f t="array" ref="B864">_xlfn.XLOOKUP(C864, INDEX([1]!카테고리매핑,,2), INDEX([1]!카테고리매핑,,1), "미등록 카테고리")</f>
        <v>유제품</v>
      </c>
      <c r="C864" t="s">
        <v>98</v>
      </c>
      <c r="D864" t="str">
        <f>VLOOKUP(C864, '[1]VLOOKUP 함수용 카테고리'!$A$1:$B$59, 2, 0)</f>
        <v>DAIRY</v>
      </c>
      <c r="E864" t="s">
        <v>98</v>
      </c>
      <c r="F864" t="s">
        <v>1755</v>
      </c>
    </row>
    <row r="865" spans="1:6" x14ac:dyDescent="0.3">
      <c r="A865" t="s">
        <v>1756</v>
      </c>
      <c r="B865" t="str" cm="1">
        <f t="array" ref="B865">_xlfn.XLOOKUP(C865, INDEX([1]!카테고리매핑,,2), INDEX([1]!카테고리매핑,,1), "미등록 카테고리")</f>
        <v>상온식품</v>
      </c>
      <c r="C865" t="s">
        <v>276</v>
      </c>
      <c r="D865" t="str">
        <f>VLOOKUP(C865, '[1]VLOOKUP 함수용 카테고리'!$A$1:$B$59, 2, 0)</f>
        <v>DRIED_SEAFOOD</v>
      </c>
      <c r="E865" t="s">
        <v>277</v>
      </c>
      <c r="F865" t="s">
        <v>704</v>
      </c>
    </row>
    <row r="866" spans="1:6" x14ac:dyDescent="0.3">
      <c r="A866" t="s">
        <v>1757</v>
      </c>
      <c r="B866" t="str" cm="1">
        <f t="array" ref="B866">_xlfn.XLOOKUP(C866, INDEX([1]!카테고리매핑,,2), INDEX([1]!카테고리매핑,,1), "미등록 카테고리")</f>
        <v>간식류</v>
      </c>
      <c r="C866" t="s">
        <v>63</v>
      </c>
      <c r="D866" t="str">
        <f>VLOOKUP(C866, '[1]VLOOKUP 함수용 카테고리'!$A$1:$B$59, 2, 0)</f>
        <v>BAKERY</v>
      </c>
      <c r="E866" t="s">
        <v>1758</v>
      </c>
      <c r="F866" t="s">
        <v>1759</v>
      </c>
    </row>
    <row r="867" spans="1:6" x14ac:dyDescent="0.3">
      <c r="A867" t="s">
        <v>1760</v>
      </c>
      <c r="B867" t="str" cm="1">
        <f t="array" ref="B867">_xlfn.XLOOKUP(C867, INDEX([1]!카테고리매핑,,2), INDEX([1]!카테고리매핑,,1), "미등록 카테고리")</f>
        <v>수산물</v>
      </c>
      <c r="C867" t="s">
        <v>101</v>
      </c>
      <c r="D867" t="str">
        <f>VLOOKUP(C867, '[1]VLOOKUP 함수용 카테고리'!$A$1:$B$59, 2, 0)</f>
        <v>DRIED_SEAFOOD</v>
      </c>
      <c r="E867" t="s">
        <v>693</v>
      </c>
      <c r="F867" t="s">
        <v>1761</v>
      </c>
    </row>
    <row r="868" spans="1:6" x14ac:dyDescent="0.3">
      <c r="A868" t="s">
        <v>1762</v>
      </c>
      <c r="B868" t="str" cm="1">
        <f t="array" ref="B868">_xlfn.XLOOKUP(C868, INDEX([1]!카테고리매핑,,2), INDEX([1]!카테고리매핑,,1), "미등록 카테고리")</f>
        <v>수산물</v>
      </c>
      <c r="C868" t="s">
        <v>101</v>
      </c>
      <c r="D868" t="str">
        <f>VLOOKUP(C868, '[1]VLOOKUP 함수용 카테고리'!$A$1:$B$59, 2, 0)</f>
        <v>DRIED_SEAFOOD</v>
      </c>
      <c r="E868" t="s">
        <v>693</v>
      </c>
      <c r="F868" t="s">
        <v>7733</v>
      </c>
    </row>
    <row r="869" spans="1:6" x14ac:dyDescent="0.3">
      <c r="A869" t="s">
        <v>1763</v>
      </c>
      <c r="B869" t="str" cm="1">
        <f t="array" ref="B869">_xlfn.XLOOKUP(C869, INDEX([1]!카테고리매핑,,2), INDEX([1]!카테고리매핑,,1), "미등록 카테고리")</f>
        <v>간식류</v>
      </c>
      <c r="C869" t="s">
        <v>63</v>
      </c>
      <c r="D869" t="str">
        <f>VLOOKUP(C869, '[1]VLOOKUP 함수용 카테고리'!$A$1:$B$59, 2, 0)</f>
        <v>BAKERY</v>
      </c>
      <c r="E869" t="s">
        <v>1764</v>
      </c>
      <c r="F869" t="s">
        <v>1765</v>
      </c>
    </row>
    <row r="870" spans="1:6" x14ac:dyDescent="0.3">
      <c r="A870" t="s">
        <v>1766</v>
      </c>
      <c r="B870" t="str" cm="1">
        <f t="array" ref="B870">_xlfn.XLOOKUP(C870, INDEX([1]!카테고리매핑,,2), INDEX([1]!카테고리매핑,,1), "미등록 카테고리")</f>
        <v>수산물</v>
      </c>
      <c r="C870" t="s">
        <v>101</v>
      </c>
      <c r="D870" t="str">
        <f>VLOOKUP(C870, '[1]VLOOKUP 함수용 카테고리'!$A$1:$B$59, 2, 0)</f>
        <v>DRIED_SEAFOOD</v>
      </c>
      <c r="E870" t="s">
        <v>1767</v>
      </c>
    </row>
    <row r="871" spans="1:6" x14ac:dyDescent="0.3">
      <c r="A871" t="s">
        <v>1768</v>
      </c>
      <c r="B871" t="str" cm="1">
        <f t="array" ref="B871">_xlfn.XLOOKUP(C871, INDEX([1]!카테고리매핑,,2), INDEX([1]!카테고리매핑,,1), "미등록 카테고리")</f>
        <v>간편식</v>
      </c>
      <c r="C871" t="s">
        <v>19</v>
      </c>
      <c r="D871" t="str">
        <f>VLOOKUP(C871, '[1]VLOOKUP 함수용 카테고리'!$A$1:$B$59, 2, 0)</f>
        <v>FROZEN_MEAL</v>
      </c>
      <c r="E871" t="s">
        <v>20</v>
      </c>
      <c r="F871" t="s">
        <v>632</v>
      </c>
    </row>
    <row r="872" spans="1:6" x14ac:dyDescent="0.3">
      <c r="A872" t="s">
        <v>1769</v>
      </c>
      <c r="B872" t="str" cm="1">
        <f t="array" ref="B872">_xlfn.XLOOKUP(C872, INDEX([1]!카테고리매핑,,2), INDEX([1]!카테고리매핑,,1), "미등록 카테고리")</f>
        <v>조미료</v>
      </c>
      <c r="C872" t="s">
        <v>127</v>
      </c>
      <c r="D872" t="str">
        <f>VLOOKUP(C872, '[1]VLOOKUP 함수용 카테고리'!$A$1:$B$59, 2, 0)</f>
        <v>SAUCE_SEASONING</v>
      </c>
      <c r="E872" t="s">
        <v>171</v>
      </c>
      <c r="F872" t="s">
        <v>1770</v>
      </c>
    </row>
    <row r="873" spans="1:6" x14ac:dyDescent="0.3">
      <c r="A873" t="s">
        <v>1771</v>
      </c>
      <c r="B873" t="str" cm="1">
        <f t="array" ref="B873">_xlfn.XLOOKUP(C873, INDEX([1]!카테고리매핑,,2), INDEX([1]!카테고리매핑,,1), "미등록 카테고리")</f>
        <v>수산물</v>
      </c>
      <c r="C873" t="s">
        <v>140</v>
      </c>
      <c r="D873" t="str">
        <f>VLOOKUP(C873, '[1]VLOOKUP 함수용 카테고리'!$A$1:$B$59, 2, 0)</f>
        <v>SIMPLE_PROCESSED</v>
      </c>
      <c r="E873" t="s">
        <v>1138</v>
      </c>
      <c r="F873" t="s">
        <v>1772</v>
      </c>
    </row>
    <row r="874" spans="1:6" x14ac:dyDescent="0.3">
      <c r="A874" t="s">
        <v>1773</v>
      </c>
      <c r="B874" t="str" cm="1">
        <f t="array" ref="B874">_xlfn.XLOOKUP(C874, INDEX([1]!카테고리매핑,,2), INDEX([1]!카테고리매핑,,1), "미등록 카테고리")</f>
        <v>육류/계란</v>
      </c>
      <c r="C874" t="s">
        <v>428</v>
      </c>
      <c r="D874" t="str">
        <f>VLOOKUP(C874, '[1]VLOOKUP 함수용 카테고리'!$A$1:$B$59, 2, 0)</f>
        <v>PROCESSED_MEAT</v>
      </c>
      <c r="E874" t="s">
        <v>776</v>
      </c>
      <c r="F874" t="s">
        <v>151</v>
      </c>
    </row>
    <row r="875" spans="1:6" x14ac:dyDescent="0.3">
      <c r="A875" t="s">
        <v>1774</v>
      </c>
      <c r="B875" t="str" cm="1">
        <f t="array" ref="B875">_xlfn.XLOOKUP(C875, INDEX([1]!카테고리매핑,,2), INDEX([1]!카테고리매핑,,1), "미등록 카테고리")</f>
        <v>간식류</v>
      </c>
      <c r="C875" t="s">
        <v>11</v>
      </c>
      <c r="D875" t="str">
        <f>VLOOKUP(C875, '[1]VLOOKUP 함수용 카테고리'!$A$1:$B$59, 2, 0)</f>
        <v>SNACK</v>
      </c>
      <c r="E875" t="s">
        <v>1775</v>
      </c>
      <c r="F875" t="s">
        <v>691</v>
      </c>
    </row>
    <row r="876" spans="1:6" x14ac:dyDescent="0.3">
      <c r="A876" t="s">
        <v>1776</v>
      </c>
      <c r="B876" t="str" cm="1">
        <f t="array" ref="B876">_xlfn.XLOOKUP(C876, INDEX([1]!카테고리매핑,,2), INDEX([1]!카테고리매핑,,1), "미등록 카테고리")</f>
        <v>과일/견과류</v>
      </c>
      <c r="C876" t="s">
        <v>654</v>
      </c>
      <c r="D876" t="str">
        <f>VLOOKUP(C876, '[1]VLOOKUP 함수용 카테고리'!$A$1:$B$59, 2, 0)</f>
        <v>RAW_FRUIT</v>
      </c>
      <c r="E876" t="s">
        <v>1744</v>
      </c>
    </row>
    <row r="877" spans="1:6" x14ac:dyDescent="0.3">
      <c r="A877" t="s">
        <v>1777</v>
      </c>
      <c r="B877" t="str" cm="1">
        <f t="array" ref="B877">_xlfn.XLOOKUP(C877, INDEX([1]!카테고리매핑,,2), INDEX([1]!카테고리매핑,,1), "미등록 카테고리")</f>
        <v>음료</v>
      </c>
      <c r="C877" t="s">
        <v>23</v>
      </c>
      <c r="D877" t="str">
        <f>VLOOKUP(C877, '[1]VLOOKUP 함수용 카테고리'!$A$1:$B$59, 2, 0)</f>
        <v>BEVERAGE</v>
      </c>
      <c r="E877" t="s">
        <v>1778</v>
      </c>
      <c r="F877" t="s">
        <v>1439</v>
      </c>
    </row>
    <row r="878" spans="1:6" x14ac:dyDescent="0.3">
      <c r="A878" t="s">
        <v>1779</v>
      </c>
      <c r="B878" t="str" cm="1">
        <f t="array" ref="B878">_xlfn.XLOOKUP(C878, INDEX([1]!카테고리매핑,,2), INDEX([1]!카테고리매핑,,1), "미등록 카테고리")</f>
        <v>조미료</v>
      </c>
      <c r="C878" t="s">
        <v>127</v>
      </c>
      <c r="D878" t="str">
        <f>VLOOKUP(C878, '[1]VLOOKUP 함수용 카테고리'!$A$1:$B$59, 2, 0)</f>
        <v>SAUCE_SEASONING</v>
      </c>
      <c r="E878" t="s">
        <v>1780</v>
      </c>
      <c r="F878" t="s">
        <v>310</v>
      </c>
    </row>
    <row r="879" spans="1:6" x14ac:dyDescent="0.3">
      <c r="A879" t="s">
        <v>1781</v>
      </c>
      <c r="B879" t="str" cm="1">
        <f t="array" ref="B879">_xlfn.XLOOKUP(C879, INDEX([1]!카테고리매핑,,2), INDEX([1]!카테고리매핑,,1), "미등록 카테고리")</f>
        <v>조미료</v>
      </c>
      <c r="C879" t="s">
        <v>127</v>
      </c>
      <c r="D879" t="str">
        <f>VLOOKUP(C879, '[1]VLOOKUP 함수용 카테고리'!$A$1:$B$59, 2, 0)</f>
        <v>SAUCE_SEASONING</v>
      </c>
      <c r="E879" t="s">
        <v>1782</v>
      </c>
      <c r="F879" t="s">
        <v>182</v>
      </c>
    </row>
    <row r="880" spans="1:6" x14ac:dyDescent="0.3">
      <c r="A880" t="s">
        <v>1783</v>
      </c>
      <c r="B880" t="str" cm="1">
        <f t="array" ref="B880">_xlfn.XLOOKUP(C880, INDEX([1]!카테고리매핑,,2), INDEX([1]!카테고리매핑,,1), "미등록 카테고리")</f>
        <v>간편식</v>
      </c>
      <c r="C880" t="s">
        <v>46</v>
      </c>
      <c r="D880" t="str">
        <f>VLOOKUP(C880, '[1]VLOOKUP 함수용 카테고리'!$A$1:$B$59, 2, 0)</f>
        <v>RTC_MEAL</v>
      </c>
      <c r="E880" t="s">
        <v>46</v>
      </c>
      <c r="F880" t="s">
        <v>1784</v>
      </c>
    </row>
    <row r="881" spans="1:6" x14ac:dyDescent="0.3">
      <c r="A881" t="s">
        <v>1785</v>
      </c>
      <c r="B881" t="str" cm="1">
        <f t="array" ref="B881">_xlfn.XLOOKUP(C881, INDEX([1]!카테고리매핑,,2), INDEX([1]!카테고리매핑,,1), "미등록 카테고리")</f>
        <v>간편식</v>
      </c>
      <c r="C881" t="s">
        <v>46</v>
      </c>
      <c r="D881" t="str">
        <f>VLOOKUP(C881, '[1]VLOOKUP 함수용 카테고리'!$A$1:$B$59, 2, 0)</f>
        <v>RTC_MEAL</v>
      </c>
      <c r="E881" t="s">
        <v>46</v>
      </c>
      <c r="F881" t="s">
        <v>1695</v>
      </c>
    </row>
    <row r="882" spans="1:6" x14ac:dyDescent="0.3">
      <c r="A882" t="s">
        <v>1786</v>
      </c>
      <c r="B882" t="str" cm="1">
        <f t="array" ref="B882">_xlfn.XLOOKUP(C882, INDEX([1]!카테고리매핑,,2), INDEX([1]!카테고리매핑,,1), "미등록 카테고리")</f>
        <v>간식류</v>
      </c>
      <c r="C882" t="s">
        <v>15</v>
      </c>
      <c r="D882" t="str">
        <f>VLOOKUP(C882, '[1]VLOOKUP 함수용 카테고리'!$A$1:$B$59, 2, 0)</f>
        <v>BAKERY</v>
      </c>
      <c r="E882" t="s">
        <v>1787</v>
      </c>
      <c r="F882" t="s">
        <v>1788</v>
      </c>
    </row>
    <row r="883" spans="1:6" x14ac:dyDescent="0.3">
      <c r="A883" t="s">
        <v>1789</v>
      </c>
      <c r="B883" t="str" cm="1">
        <f t="array" ref="B883">_xlfn.XLOOKUP(C883, INDEX([1]!카테고리매핑,,2), INDEX([1]!카테고리매핑,,1), "미등록 카테고리")</f>
        <v>음료</v>
      </c>
      <c r="C883" t="s">
        <v>23</v>
      </c>
      <c r="D883" t="str">
        <f>VLOOKUP(C883, '[1]VLOOKUP 함수용 카테고리'!$A$1:$B$59, 2, 0)</f>
        <v>BEVERAGE</v>
      </c>
      <c r="E883" t="s">
        <v>355</v>
      </c>
      <c r="F883" t="s">
        <v>1600</v>
      </c>
    </row>
    <row r="884" spans="1:6" x14ac:dyDescent="0.3">
      <c r="A884" t="s">
        <v>1790</v>
      </c>
      <c r="B884" t="str" cm="1">
        <f t="array" ref="B884">_xlfn.XLOOKUP(C884, INDEX([1]!카테고리매핑,,2), INDEX([1]!카테고리매핑,,1), "미등록 카테고리")</f>
        <v>채소/곡물류</v>
      </c>
      <c r="C884" t="s">
        <v>7</v>
      </c>
      <c r="D884" t="str">
        <f>VLOOKUP(C884, '[1]VLOOKUP 함수용 카테고리'!$A$1:$B$59, 2, 0)</f>
        <v>RAW_PRODUCE</v>
      </c>
      <c r="E884" t="s">
        <v>723</v>
      </c>
    </row>
    <row r="885" spans="1:6" x14ac:dyDescent="0.3">
      <c r="A885" t="s">
        <v>1791</v>
      </c>
      <c r="B885" t="str" cm="1">
        <f t="array" ref="B885">_xlfn.XLOOKUP(C885, INDEX([1]!카테고리매핑,,2), INDEX([1]!카테고리매핑,,1), "미등록 카테고리")</f>
        <v>육류/계란</v>
      </c>
      <c r="C885" t="s">
        <v>105</v>
      </c>
      <c r="D885" t="str">
        <f>VLOOKUP(C885, '[1]VLOOKUP 함수용 카테고리'!$A$1:$B$59, 2, 0)</f>
        <v>RAW_MEAT</v>
      </c>
      <c r="E885" t="s">
        <v>1792</v>
      </c>
      <c r="F885" t="s">
        <v>1708</v>
      </c>
    </row>
    <row r="886" spans="1:6" x14ac:dyDescent="0.3">
      <c r="A886" t="s">
        <v>1793</v>
      </c>
      <c r="B886" t="str" cm="1">
        <f t="array" ref="B886">_xlfn.XLOOKUP(C886, INDEX([1]!카테고리매핑,,2), INDEX([1]!카테고리매핑,,1), "미등록 카테고리")</f>
        <v>조미료</v>
      </c>
      <c r="C886" t="s">
        <v>83</v>
      </c>
      <c r="D886" t="str">
        <f>VLOOKUP(C886, '[1]VLOOKUP 함수용 카테고리'!$A$1:$B$59, 2, 0)</f>
        <v>SAUCE_SEASONING</v>
      </c>
      <c r="E886" t="s">
        <v>1794</v>
      </c>
    </row>
    <row r="887" spans="1:6" x14ac:dyDescent="0.3">
      <c r="A887" t="s">
        <v>1795</v>
      </c>
      <c r="B887" t="str" cm="1">
        <f t="array" ref="B887">_xlfn.XLOOKUP(C887, INDEX([1]!카테고리매핑,,2), INDEX([1]!카테고리매핑,,1), "미등록 카테고리")</f>
        <v>수산물</v>
      </c>
      <c r="C887" t="s">
        <v>183</v>
      </c>
      <c r="D887" t="str">
        <f>VLOOKUP(C887, '[1]VLOOKUP 함수용 카테고리'!$A$1:$B$59, 2, 0)</f>
        <v>DRIED_SEAFOOD</v>
      </c>
      <c r="E887" t="s">
        <v>184</v>
      </c>
      <c r="F887" t="s">
        <v>1796</v>
      </c>
    </row>
    <row r="888" spans="1:6" x14ac:dyDescent="0.3">
      <c r="A888" t="s">
        <v>1797</v>
      </c>
      <c r="B888" t="str" cm="1">
        <f t="array" ref="B888">_xlfn.XLOOKUP(C888, INDEX([1]!카테고리매핑,,2), INDEX([1]!카테고리매핑,,1), "미등록 카테고리")</f>
        <v>조미료</v>
      </c>
      <c r="C888" t="s">
        <v>127</v>
      </c>
      <c r="D888" t="str">
        <f>VLOOKUP(C888, '[1]VLOOKUP 함수용 카테고리'!$A$1:$B$59, 2, 0)</f>
        <v>SAUCE_SEASONING</v>
      </c>
      <c r="E888" t="s">
        <v>989</v>
      </c>
      <c r="F888" t="s">
        <v>1770</v>
      </c>
    </row>
    <row r="889" spans="1:6" x14ac:dyDescent="0.3">
      <c r="A889" t="s">
        <v>1798</v>
      </c>
      <c r="B889" t="str" cm="1">
        <f t="array" ref="B889">_xlfn.XLOOKUP(C889, INDEX([1]!카테고리매핑,,2), INDEX([1]!카테고리매핑,,1), "미등록 카테고리")</f>
        <v>유제품</v>
      </c>
      <c r="C889" t="s">
        <v>123</v>
      </c>
      <c r="D889" t="str">
        <f>VLOOKUP(C889, '[1]VLOOKUP 함수용 카테고리'!$A$1:$B$59, 2, 0)</f>
        <v>DAIRY</v>
      </c>
      <c r="E889" t="s">
        <v>1799</v>
      </c>
      <c r="F889" t="s">
        <v>191</v>
      </c>
    </row>
    <row r="890" spans="1:6" x14ac:dyDescent="0.3">
      <c r="A890" t="s">
        <v>1800</v>
      </c>
      <c r="B890" t="str" cm="1">
        <f t="array" ref="B890">_xlfn.XLOOKUP(C890, INDEX([1]!카테고리매핑,,2), INDEX([1]!카테고리매핑,,1), "미등록 카테고리")</f>
        <v>수산물</v>
      </c>
      <c r="C890" t="s">
        <v>203</v>
      </c>
      <c r="D890" t="str">
        <f>VLOOKUP(C890, '[1]VLOOKUP 함수용 카테고리'!$A$1:$B$59, 2, 0)</f>
        <v>RAW_SEAFOOD</v>
      </c>
      <c r="E890" t="s">
        <v>1801</v>
      </c>
      <c r="F890" t="s">
        <v>1802</v>
      </c>
    </row>
    <row r="891" spans="1:6" x14ac:dyDescent="0.3">
      <c r="A891" t="s">
        <v>1803</v>
      </c>
      <c r="B891" t="str" cm="1">
        <f t="array" ref="B891">_xlfn.XLOOKUP(C891, INDEX([1]!카테고리매핑,,2), INDEX([1]!카테고리매핑,,1), "미등록 카테고리")</f>
        <v>수산물</v>
      </c>
      <c r="C891" t="s">
        <v>203</v>
      </c>
      <c r="D891" t="str">
        <f>VLOOKUP(C891, '[1]VLOOKUP 함수용 카테고리'!$A$1:$B$59, 2, 0)</f>
        <v>RAW_SEAFOOD</v>
      </c>
      <c r="E891" t="s">
        <v>204</v>
      </c>
      <c r="F891" t="s">
        <v>1804</v>
      </c>
    </row>
    <row r="892" spans="1:6" x14ac:dyDescent="0.3">
      <c r="A892" t="s">
        <v>1805</v>
      </c>
      <c r="B892" t="str" cm="1">
        <f t="array" ref="B892">_xlfn.XLOOKUP(C892, INDEX([1]!카테고리매핑,,2), INDEX([1]!카테고리매핑,,1), "미등록 카테고리")</f>
        <v>간편식</v>
      </c>
      <c r="C892" t="s">
        <v>256</v>
      </c>
      <c r="D892" t="str">
        <f>VLOOKUP(C892, '[1]VLOOKUP 함수용 카테고리'!$A$1:$B$59, 2, 0)</f>
        <v>RTC_MEAL</v>
      </c>
      <c r="E892" t="s">
        <v>256</v>
      </c>
      <c r="F892" t="s">
        <v>1806</v>
      </c>
    </row>
    <row r="893" spans="1:6" x14ac:dyDescent="0.3">
      <c r="A893" t="s">
        <v>1807</v>
      </c>
      <c r="B893" t="str" cm="1">
        <f t="array" ref="B893">_xlfn.XLOOKUP(C893, INDEX([1]!카테고리매핑,,2), INDEX([1]!카테고리매핑,,1), "미등록 카테고리")</f>
        <v>육류/계란</v>
      </c>
      <c r="C893" t="s">
        <v>149</v>
      </c>
      <c r="D893" t="str">
        <f>VLOOKUP(C893, '[1]VLOOKUP 함수용 카테고리'!$A$1:$B$59, 2, 0)</f>
        <v>RAW_MEAT</v>
      </c>
      <c r="E893" t="s">
        <v>1647</v>
      </c>
      <c r="F893" t="s">
        <v>7734</v>
      </c>
    </row>
    <row r="894" spans="1:6" x14ac:dyDescent="0.3">
      <c r="A894" t="s">
        <v>1809</v>
      </c>
      <c r="B894" t="str" cm="1">
        <f t="array" ref="B894">_xlfn.XLOOKUP(C894, INDEX([1]!카테고리매핑,,2), INDEX([1]!카테고리매핑,,1), "미등록 카테고리")</f>
        <v>유제품</v>
      </c>
      <c r="C894" t="s">
        <v>211</v>
      </c>
      <c r="D894" t="str">
        <f>VLOOKUP(C894, '[1]VLOOKUP 함수용 카테고리'!$A$1:$B$59, 2, 0)</f>
        <v>DAIRY</v>
      </c>
      <c r="E894" t="s">
        <v>1810</v>
      </c>
      <c r="F894" t="s">
        <v>475</v>
      </c>
    </row>
    <row r="895" spans="1:6" x14ac:dyDescent="0.3">
      <c r="A895" t="s">
        <v>1811</v>
      </c>
      <c r="B895" t="str" cm="1">
        <f t="array" ref="B895">_xlfn.XLOOKUP(C895, INDEX([1]!카테고리매핑,,2), INDEX([1]!카테고리매핑,,1), "미등록 카테고리")</f>
        <v>유제품</v>
      </c>
      <c r="C895" t="s">
        <v>123</v>
      </c>
      <c r="D895" t="str">
        <f>VLOOKUP(C895, '[1]VLOOKUP 함수용 카테고리'!$A$1:$B$59, 2, 0)</f>
        <v>DAIRY</v>
      </c>
      <c r="E895" t="s">
        <v>190</v>
      </c>
      <c r="F895" t="s">
        <v>543</v>
      </c>
    </row>
    <row r="896" spans="1:6" x14ac:dyDescent="0.3">
      <c r="A896" t="s">
        <v>1812</v>
      </c>
      <c r="B896" t="str" cm="1">
        <f t="array" ref="B896">_xlfn.XLOOKUP(C896, INDEX([1]!카테고리매핑,,2), INDEX([1]!카테고리매핑,,1), "미등록 카테고리")</f>
        <v>채소/곡물류</v>
      </c>
      <c r="C896" t="s">
        <v>27</v>
      </c>
      <c r="D896" t="str">
        <f>VLOOKUP(C896, '[1]VLOOKUP 함수용 카테고리'!$A$1:$B$59, 2, 0)</f>
        <v>SIMPLE_PROCESSED</v>
      </c>
      <c r="E896" t="s">
        <v>28</v>
      </c>
      <c r="F896" t="s">
        <v>72</v>
      </c>
    </row>
    <row r="897" spans="1:6" x14ac:dyDescent="0.3">
      <c r="A897" t="s">
        <v>1813</v>
      </c>
      <c r="B897" t="str" cm="1">
        <f t="array" ref="B897">_xlfn.XLOOKUP(C897, INDEX([1]!카테고리매핑,,2), INDEX([1]!카테고리매핑,,1), "미등록 카테고리")</f>
        <v>간식류</v>
      </c>
      <c r="C897" t="s">
        <v>15</v>
      </c>
      <c r="D897" t="str">
        <f>VLOOKUP(C897, '[1]VLOOKUP 함수용 카테고리'!$A$1:$B$59, 2, 0)</f>
        <v>BAKERY</v>
      </c>
      <c r="E897" t="s">
        <v>1814</v>
      </c>
      <c r="F897" t="s">
        <v>1815</v>
      </c>
    </row>
    <row r="898" spans="1:6" x14ac:dyDescent="0.3">
      <c r="A898" t="s">
        <v>1816</v>
      </c>
      <c r="B898" t="str" cm="1">
        <f t="array" ref="B898">_xlfn.XLOOKUP(C898, INDEX([1]!카테고리매핑,,2), INDEX([1]!카테고리매핑,,1), "미등록 카테고리")</f>
        <v>간편식</v>
      </c>
      <c r="C898" t="s">
        <v>131</v>
      </c>
      <c r="D898" t="str">
        <f>VLOOKUP(C898, '[1]VLOOKUP 함수용 카테고리'!$A$1:$B$59, 2, 0)</f>
        <v>SIMPLE_PROCESSED</v>
      </c>
      <c r="E898" t="s">
        <v>1817</v>
      </c>
      <c r="F898" t="s">
        <v>1818</v>
      </c>
    </row>
    <row r="899" spans="1:6" x14ac:dyDescent="0.3">
      <c r="A899" t="s">
        <v>1819</v>
      </c>
      <c r="B899" t="str" cm="1">
        <f t="array" ref="B899">_xlfn.XLOOKUP(C899, INDEX([1]!카테고리매핑,,2), INDEX([1]!카테고리매핑,,1), "미등록 카테고리")</f>
        <v>간식류</v>
      </c>
      <c r="C899" t="s">
        <v>11</v>
      </c>
      <c r="D899" t="str">
        <f>VLOOKUP(C899, '[1]VLOOKUP 함수용 카테고리'!$A$1:$B$59, 2, 0)</f>
        <v>SNACK</v>
      </c>
      <c r="E899" t="s">
        <v>1820</v>
      </c>
      <c r="F899" t="s">
        <v>1821</v>
      </c>
    </row>
    <row r="900" spans="1:6" x14ac:dyDescent="0.3">
      <c r="A900" t="s">
        <v>1822</v>
      </c>
      <c r="B900" t="str" cm="1">
        <f t="array" ref="B900">_xlfn.XLOOKUP(C900, INDEX([1]!카테고리매핑,,2), INDEX([1]!카테고리매핑,,1), "미등록 카테고리")</f>
        <v>간편식</v>
      </c>
      <c r="C900" t="s">
        <v>46</v>
      </c>
      <c r="D900" t="str">
        <f>VLOOKUP(C900, '[1]VLOOKUP 함수용 카테고리'!$A$1:$B$59, 2, 0)</f>
        <v>RTC_MEAL</v>
      </c>
      <c r="E900" t="s">
        <v>46</v>
      </c>
      <c r="F900" t="s">
        <v>156</v>
      </c>
    </row>
    <row r="901" spans="1:6" x14ac:dyDescent="0.3">
      <c r="A901" t="s">
        <v>1823</v>
      </c>
      <c r="B901" t="str" cm="1">
        <f t="array" ref="B901">_xlfn.XLOOKUP(C901, INDEX([1]!카테고리매핑,,2), INDEX([1]!카테고리매핑,,1), "미등록 카테고리")</f>
        <v>유제품</v>
      </c>
      <c r="C901" t="s">
        <v>98</v>
      </c>
      <c r="D901" t="str">
        <f>VLOOKUP(C901, '[1]VLOOKUP 함수용 카테고리'!$A$1:$B$59, 2, 0)</f>
        <v>DAIRY</v>
      </c>
      <c r="E901" t="s">
        <v>98</v>
      </c>
      <c r="F901" t="s">
        <v>1824</v>
      </c>
    </row>
    <row r="902" spans="1:6" x14ac:dyDescent="0.3">
      <c r="A902" t="s">
        <v>1825</v>
      </c>
      <c r="B902" t="str" cm="1">
        <f t="array" ref="B902">_xlfn.XLOOKUP(C902, INDEX([1]!카테고리매핑,,2), INDEX([1]!카테고리매핑,,1), "미등록 카테고리")</f>
        <v>음료</v>
      </c>
      <c r="C902" t="s">
        <v>23</v>
      </c>
      <c r="D902" t="str">
        <f>VLOOKUP(C902, '[1]VLOOKUP 함수용 카테고리'!$A$1:$B$59, 2, 0)</f>
        <v>BEVERAGE</v>
      </c>
      <c r="E902" t="s">
        <v>502</v>
      </c>
      <c r="F902" t="s">
        <v>1826</v>
      </c>
    </row>
    <row r="903" spans="1:6" x14ac:dyDescent="0.3">
      <c r="A903" t="s">
        <v>1827</v>
      </c>
      <c r="B903" t="str" cm="1">
        <f t="array" ref="B903">_xlfn.XLOOKUP(C903, INDEX([1]!카테고리매핑,,2), INDEX([1]!카테고리매핑,,1), "미등록 카테고리")</f>
        <v>상온식품</v>
      </c>
      <c r="C903" t="s">
        <v>276</v>
      </c>
      <c r="D903" t="str">
        <f>VLOOKUP(C903, '[1]VLOOKUP 함수용 카테고리'!$A$1:$B$59, 2, 0)</f>
        <v>DRIED_SEAFOOD</v>
      </c>
      <c r="E903" t="s">
        <v>277</v>
      </c>
      <c r="F903" t="s">
        <v>704</v>
      </c>
    </row>
    <row r="904" spans="1:6" x14ac:dyDescent="0.3">
      <c r="A904" t="s">
        <v>1828</v>
      </c>
      <c r="B904" t="str" cm="1">
        <f t="array" ref="B904">_xlfn.XLOOKUP(C904, INDEX([1]!카테고리매핑,,2), INDEX([1]!카테고리매핑,,1), "미등록 카테고리")</f>
        <v>술</v>
      </c>
      <c r="C904" t="s">
        <v>56</v>
      </c>
      <c r="D904" t="str">
        <f>VLOOKUP(C904, '[1]VLOOKUP 함수용 카테고리'!$A$1:$B$59, 2, 0)</f>
        <v>ALCOHOL</v>
      </c>
      <c r="E904" t="s">
        <v>57</v>
      </c>
    </row>
    <row r="905" spans="1:6" x14ac:dyDescent="0.3">
      <c r="A905" t="s">
        <v>1830</v>
      </c>
      <c r="B905" t="str" cm="1">
        <f t="array" ref="B905">_xlfn.XLOOKUP(C905, INDEX([1]!카테고리매핑,,2), INDEX([1]!카테고리매핑,,1), "미등록 카테고리")</f>
        <v>채소/곡물류</v>
      </c>
      <c r="C905" t="s">
        <v>7</v>
      </c>
      <c r="D905" t="str">
        <f>VLOOKUP(C905, '[1]VLOOKUP 함수용 카테고리'!$A$1:$B$59, 2, 0)</f>
        <v>RAW_PRODUCE</v>
      </c>
      <c r="E905" t="s">
        <v>405</v>
      </c>
      <c r="F905" t="s">
        <v>327</v>
      </c>
    </row>
    <row r="906" spans="1:6" x14ac:dyDescent="0.3">
      <c r="A906" t="s">
        <v>1831</v>
      </c>
      <c r="B906" t="str" cm="1">
        <f t="array" ref="B906">_xlfn.XLOOKUP(C906, INDEX([1]!카테고리매핑,,2), INDEX([1]!카테고리매핑,,1), "미등록 카테고리")</f>
        <v>채소/곡물류</v>
      </c>
      <c r="C906" t="s">
        <v>7</v>
      </c>
      <c r="D906" t="str">
        <f>VLOOKUP(C906, '[1]VLOOKUP 함수용 카테고리'!$A$1:$B$59, 2, 0)</f>
        <v>RAW_PRODUCE</v>
      </c>
      <c r="E906" t="s">
        <v>1832</v>
      </c>
    </row>
    <row r="907" spans="1:6" x14ac:dyDescent="0.3">
      <c r="A907" t="s">
        <v>1833</v>
      </c>
      <c r="B907" t="str" cm="1">
        <f t="array" ref="B907">_xlfn.XLOOKUP(C907, INDEX([1]!카테고리매핑,,2), INDEX([1]!카테고리매핑,,1), "미등록 카테고리")</f>
        <v>육류/계란</v>
      </c>
      <c r="C907" t="s">
        <v>428</v>
      </c>
      <c r="D907" t="str">
        <f>VLOOKUP(C907, '[1]VLOOKUP 함수용 카테고리'!$A$1:$B$59, 2, 0)</f>
        <v>PROCESSED_MEAT</v>
      </c>
      <c r="E907" t="s">
        <v>943</v>
      </c>
      <c r="F907" t="s">
        <v>1834</v>
      </c>
    </row>
    <row r="908" spans="1:6" x14ac:dyDescent="0.3">
      <c r="A908" t="s">
        <v>1835</v>
      </c>
      <c r="B908" t="str" cm="1">
        <f t="array" ref="B908">_xlfn.XLOOKUP(C908, INDEX([1]!카테고리매핑,,2), INDEX([1]!카테고리매핑,,1), "미등록 카테고리")</f>
        <v>간식류</v>
      </c>
      <c r="C908" t="s">
        <v>11</v>
      </c>
      <c r="D908" t="str">
        <f>VLOOKUP(C908, '[1]VLOOKUP 함수용 카테고리'!$A$1:$B$59, 2, 0)</f>
        <v>SNACK</v>
      </c>
      <c r="E908" t="s">
        <v>1836</v>
      </c>
      <c r="F908" t="s">
        <v>1837</v>
      </c>
    </row>
    <row r="909" spans="1:6" x14ac:dyDescent="0.3">
      <c r="A909" t="s">
        <v>1838</v>
      </c>
      <c r="B909" t="str" cm="1">
        <f t="array" ref="B909">_xlfn.XLOOKUP(C909, INDEX([1]!카테고리매핑,,2), INDEX([1]!카테고리매핑,,1), "미등록 카테고리")</f>
        <v>상온식품</v>
      </c>
      <c r="C909" t="s">
        <v>276</v>
      </c>
      <c r="D909" t="str">
        <f>VLOOKUP(C909, '[1]VLOOKUP 함수용 카테고리'!$A$1:$B$59, 2, 0)</f>
        <v>DRIED_SEAFOOD</v>
      </c>
      <c r="E909" t="s">
        <v>277</v>
      </c>
      <c r="F909" t="s">
        <v>704</v>
      </c>
    </row>
    <row r="910" spans="1:6" x14ac:dyDescent="0.3">
      <c r="A910" t="s">
        <v>1839</v>
      </c>
      <c r="B910" t="str" cm="1">
        <f t="array" ref="B910">_xlfn.XLOOKUP(C910, INDEX([1]!카테고리매핑,,2), INDEX([1]!카테고리매핑,,1), "미등록 카테고리")</f>
        <v>조미료</v>
      </c>
      <c r="C910" t="s">
        <v>117</v>
      </c>
      <c r="D910" t="str">
        <f>VLOOKUP(C910, '[1]VLOOKUP 함수용 카테고리'!$A$1:$B$59, 2, 0)</f>
        <v>SAUCE_SEASONING</v>
      </c>
      <c r="E910" t="s">
        <v>1840</v>
      </c>
      <c r="F910" t="s">
        <v>65</v>
      </c>
    </row>
    <row r="911" spans="1:6" x14ac:dyDescent="0.3">
      <c r="A911" t="s">
        <v>1841</v>
      </c>
      <c r="B911" t="str" cm="1">
        <f t="array" ref="B911">_xlfn.XLOOKUP(C911, INDEX([1]!카테고리매핑,,2), INDEX([1]!카테고리매핑,,1), "미등록 카테고리")</f>
        <v>간편식</v>
      </c>
      <c r="C911" t="s">
        <v>19</v>
      </c>
      <c r="D911" t="str">
        <f>VLOOKUP(C911, '[1]VLOOKUP 함수용 카테고리'!$A$1:$B$59, 2, 0)</f>
        <v>FROZEN_MEAL</v>
      </c>
      <c r="E911" t="s">
        <v>1842</v>
      </c>
      <c r="F911" t="s">
        <v>156</v>
      </c>
    </row>
    <row r="912" spans="1:6" x14ac:dyDescent="0.3">
      <c r="A912" t="s">
        <v>1843</v>
      </c>
      <c r="B912" t="str" cm="1">
        <f t="array" ref="B912">_xlfn.XLOOKUP(C912, INDEX([1]!카테고리매핑,,2), INDEX([1]!카테고리매핑,,1), "미등록 카테고리")</f>
        <v>간식류</v>
      </c>
      <c r="C912" t="s">
        <v>63</v>
      </c>
      <c r="D912" t="str">
        <f>VLOOKUP(C912, '[1]VLOOKUP 함수용 카테고리'!$A$1:$B$59, 2, 0)</f>
        <v>BAKERY</v>
      </c>
      <c r="E912" t="s">
        <v>1844</v>
      </c>
      <c r="F912" t="s">
        <v>1845</v>
      </c>
    </row>
    <row r="913" spans="1:6" x14ac:dyDescent="0.3">
      <c r="A913" t="s">
        <v>1846</v>
      </c>
      <c r="B913" t="str" cm="1">
        <f t="array" ref="B913">_xlfn.XLOOKUP(C913, INDEX([1]!카테고리매핑,,2), INDEX([1]!카테고리매핑,,1), "미등록 카테고리")</f>
        <v>미등록 카테고리</v>
      </c>
      <c r="C913" t="s">
        <v>334</v>
      </c>
      <c r="D913" t="str">
        <f>VLOOKUP(C913, '[1]VLOOKUP 함수용 카테고리'!$A$1:$B$59, 2, 0)</f>
        <v>UNKNOWN</v>
      </c>
      <c r="E913" t="s">
        <v>334</v>
      </c>
      <c r="F913" t="s">
        <v>7735</v>
      </c>
    </row>
    <row r="914" spans="1:6" x14ac:dyDescent="0.3">
      <c r="A914" t="s">
        <v>1848</v>
      </c>
      <c r="B914" t="str" cm="1">
        <f t="array" ref="B914">_xlfn.XLOOKUP(C914, INDEX([1]!카테고리매핑,,2), INDEX([1]!카테고리매핑,,1), "미등록 카테고리")</f>
        <v>조미료</v>
      </c>
      <c r="C914" t="s">
        <v>127</v>
      </c>
      <c r="D914" t="str">
        <f>VLOOKUP(C914, '[1]VLOOKUP 함수용 카테고리'!$A$1:$B$59, 2, 0)</f>
        <v>SAUCE_SEASONING</v>
      </c>
      <c r="E914" t="s">
        <v>773</v>
      </c>
      <c r="F914" t="s">
        <v>1849</v>
      </c>
    </row>
    <row r="915" spans="1:6" x14ac:dyDescent="0.3">
      <c r="A915" t="s">
        <v>1850</v>
      </c>
      <c r="B915" t="str" cm="1">
        <f t="array" ref="B915">_xlfn.XLOOKUP(C915, INDEX([1]!카테고리매핑,,2), INDEX([1]!카테고리매핑,,1), "미등록 카테고리")</f>
        <v>미등록 카테고리</v>
      </c>
      <c r="C915" t="s">
        <v>334</v>
      </c>
      <c r="D915" t="str">
        <f>VLOOKUP(C915, '[1]VLOOKUP 함수용 카테고리'!$A$1:$B$59, 2, 0)</f>
        <v>UNKNOWN</v>
      </c>
      <c r="E915" t="s">
        <v>334</v>
      </c>
      <c r="F915" t="s">
        <v>7735</v>
      </c>
    </row>
    <row r="916" spans="1:6" x14ac:dyDescent="0.3">
      <c r="A916" t="s">
        <v>1851</v>
      </c>
      <c r="B916" t="str" cm="1">
        <f t="array" ref="B916">_xlfn.XLOOKUP(C916, INDEX([1]!카테고리매핑,,2), INDEX([1]!카테고리매핑,,1), "미등록 카테고리")</f>
        <v>수산물</v>
      </c>
      <c r="C916" t="s">
        <v>101</v>
      </c>
      <c r="D916" t="str">
        <f>VLOOKUP(C916, '[1]VLOOKUP 함수용 카테고리'!$A$1:$B$59, 2, 0)</f>
        <v>DRIED_SEAFOOD</v>
      </c>
      <c r="E916" t="s">
        <v>102</v>
      </c>
      <c r="F916" t="s">
        <v>977</v>
      </c>
    </row>
    <row r="917" spans="1:6" x14ac:dyDescent="0.3">
      <c r="A917" t="s">
        <v>1852</v>
      </c>
      <c r="B917" t="str" cm="1">
        <f t="array" ref="B917">_xlfn.XLOOKUP(C917, INDEX([1]!카테고리매핑,,2), INDEX([1]!카테고리매핑,,1), "미등록 카테고리")</f>
        <v>간식류</v>
      </c>
      <c r="C917" t="s">
        <v>15</v>
      </c>
      <c r="D917" t="str">
        <f>VLOOKUP(C917, '[1]VLOOKUP 함수용 카테고리'!$A$1:$B$59, 2, 0)</f>
        <v>BAKERY</v>
      </c>
      <c r="E917" t="s">
        <v>16</v>
      </c>
      <c r="F917" t="s">
        <v>17</v>
      </c>
    </row>
    <row r="918" spans="1:6" x14ac:dyDescent="0.3">
      <c r="A918" t="s">
        <v>1853</v>
      </c>
      <c r="B918" t="str" cm="1">
        <f t="array" ref="B918">_xlfn.XLOOKUP(C918, INDEX([1]!카테고리매핑,,2), INDEX([1]!카테고리매핑,,1), "미등록 카테고리")</f>
        <v>간편식</v>
      </c>
      <c r="C918" t="s">
        <v>19</v>
      </c>
      <c r="D918" t="str">
        <f>VLOOKUP(C918, '[1]VLOOKUP 함수용 카테고리'!$A$1:$B$59, 2, 0)</f>
        <v>FROZEN_MEAL</v>
      </c>
      <c r="E918" t="s">
        <v>1854</v>
      </c>
      <c r="F918" t="s">
        <v>129</v>
      </c>
    </row>
    <row r="919" spans="1:6" x14ac:dyDescent="0.3">
      <c r="A919" t="s">
        <v>1855</v>
      </c>
      <c r="B919" t="str" cm="1">
        <f t="array" ref="B919">_xlfn.XLOOKUP(C919, INDEX([1]!카테고리매핑,,2), INDEX([1]!카테고리매핑,,1), "미등록 카테고리")</f>
        <v>미등록 카테고리</v>
      </c>
      <c r="C919" t="s">
        <v>334</v>
      </c>
      <c r="D919" t="str">
        <f>VLOOKUP(C919, '[1]VLOOKUP 함수용 카테고리'!$A$1:$B$59, 2, 0)</f>
        <v>UNKNOWN</v>
      </c>
      <c r="E919" t="s">
        <v>334</v>
      </c>
      <c r="F919" t="s">
        <v>7736</v>
      </c>
    </row>
    <row r="920" spans="1:6" x14ac:dyDescent="0.3">
      <c r="A920" t="s">
        <v>1856</v>
      </c>
      <c r="B920" t="str" cm="1">
        <f t="array" ref="B920">_xlfn.XLOOKUP(C920, INDEX([1]!카테고리매핑,,2), INDEX([1]!카테고리매핑,,1), "미등록 카테고리")</f>
        <v>간편식</v>
      </c>
      <c r="C920" t="s">
        <v>46</v>
      </c>
      <c r="D920" t="str">
        <f>VLOOKUP(C920, '[1]VLOOKUP 함수용 카테고리'!$A$1:$B$59, 2, 0)</f>
        <v>RTC_MEAL</v>
      </c>
      <c r="E920" t="s">
        <v>46</v>
      </c>
      <c r="F920" t="s">
        <v>1857</v>
      </c>
    </row>
    <row r="921" spans="1:6" x14ac:dyDescent="0.3">
      <c r="A921" t="s">
        <v>1858</v>
      </c>
      <c r="B921" t="str" cm="1">
        <f t="array" ref="B921">_xlfn.XLOOKUP(C921, INDEX([1]!카테고리매핑,,2), INDEX([1]!카테고리매핑,,1), "미등록 카테고리")</f>
        <v>과일/견과류</v>
      </c>
      <c r="C921" t="s">
        <v>654</v>
      </c>
      <c r="D921" t="str">
        <f>VLOOKUP(C921, '[1]VLOOKUP 함수용 카테고리'!$A$1:$B$59, 2, 0)</f>
        <v>RAW_FRUIT</v>
      </c>
      <c r="E921" t="s">
        <v>1859</v>
      </c>
      <c r="F921" t="s">
        <v>1860</v>
      </c>
    </row>
    <row r="922" spans="1:6" x14ac:dyDescent="0.3">
      <c r="A922" t="s">
        <v>1861</v>
      </c>
      <c r="B922" t="str" cm="1">
        <f t="array" ref="B922">_xlfn.XLOOKUP(C922, INDEX([1]!카테고리매핑,,2), INDEX([1]!카테고리매핑,,1), "미등록 카테고리")</f>
        <v>음료</v>
      </c>
      <c r="C922" t="s">
        <v>584</v>
      </c>
      <c r="D922" t="str">
        <f>VLOOKUP(C922, '[1]VLOOKUP 함수용 카테고리'!$A$1:$B$59, 2, 0)</f>
        <v>BEVERAGE</v>
      </c>
      <c r="E922" t="s">
        <v>1862</v>
      </c>
      <c r="F922" t="s">
        <v>1863</v>
      </c>
    </row>
    <row r="923" spans="1:6" x14ac:dyDescent="0.3">
      <c r="A923" t="s">
        <v>1864</v>
      </c>
      <c r="B923" t="str" cm="1">
        <f t="array" ref="B923">_xlfn.XLOOKUP(C923, INDEX([1]!카테고리매핑,,2), INDEX([1]!카테고리매핑,,1), "미등록 카테고리")</f>
        <v>조미료</v>
      </c>
      <c r="C923" t="s">
        <v>127</v>
      </c>
      <c r="D923" t="str">
        <f>VLOOKUP(C923, '[1]VLOOKUP 함수용 카테고리'!$A$1:$B$59, 2, 0)</f>
        <v>SAUCE_SEASONING</v>
      </c>
      <c r="E923" t="s">
        <v>1865</v>
      </c>
      <c r="F923" t="s">
        <v>1866</v>
      </c>
    </row>
    <row r="924" spans="1:6" x14ac:dyDescent="0.3">
      <c r="A924" t="s">
        <v>1867</v>
      </c>
      <c r="B924" t="str" cm="1">
        <f t="array" ref="B924">_xlfn.XLOOKUP(C924, INDEX([1]!카테고리매핑,,2), INDEX([1]!카테고리매핑,,1), "미등록 카테고리")</f>
        <v>음료</v>
      </c>
      <c r="C924" t="s">
        <v>584</v>
      </c>
      <c r="D924" t="str">
        <f>VLOOKUP(C924, '[1]VLOOKUP 함수용 카테고리'!$A$1:$B$59, 2, 0)</f>
        <v>BEVERAGE</v>
      </c>
      <c r="E924" t="s">
        <v>1868</v>
      </c>
      <c r="F924" t="s">
        <v>1869</v>
      </c>
    </row>
    <row r="925" spans="1:6" x14ac:dyDescent="0.3">
      <c r="A925" t="s">
        <v>1870</v>
      </c>
      <c r="B925" t="str" cm="1">
        <f t="array" ref="B925">_xlfn.XLOOKUP(C925, INDEX([1]!카테고리매핑,,2), INDEX([1]!카테고리매핑,,1), "미등록 카테고리")</f>
        <v>과일/견과류</v>
      </c>
      <c r="C925" t="s">
        <v>654</v>
      </c>
      <c r="D925" t="str">
        <f>VLOOKUP(C925, '[1]VLOOKUP 함수용 카테고리'!$A$1:$B$59, 2, 0)</f>
        <v>RAW_FRUIT</v>
      </c>
      <c r="E925" t="s">
        <v>1859</v>
      </c>
      <c r="F925" t="s">
        <v>1860</v>
      </c>
    </row>
    <row r="926" spans="1:6" x14ac:dyDescent="0.3">
      <c r="A926" t="s">
        <v>1871</v>
      </c>
      <c r="B926" t="str" cm="1">
        <f t="array" ref="B926">_xlfn.XLOOKUP(C926, INDEX([1]!카테고리매핑,,2), INDEX([1]!카테고리매핑,,1), "미등록 카테고리")</f>
        <v>미등록 카테고리</v>
      </c>
      <c r="C926" t="s">
        <v>334</v>
      </c>
      <c r="D926" t="str">
        <f>VLOOKUP(C926, '[1]VLOOKUP 함수용 카테고리'!$A$1:$B$59, 2, 0)</f>
        <v>UNKNOWN</v>
      </c>
      <c r="E926" t="s">
        <v>334</v>
      </c>
      <c r="F926" t="s">
        <v>1872</v>
      </c>
    </row>
    <row r="927" spans="1:6" x14ac:dyDescent="0.3">
      <c r="A927" t="s">
        <v>1873</v>
      </c>
      <c r="B927" t="str" cm="1">
        <f t="array" ref="B927">_xlfn.XLOOKUP(C927, INDEX([1]!카테고리매핑,,2), INDEX([1]!카테고리매핑,,1), "미등록 카테고리")</f>
        <v>간편식</v>
      </c>
      <c r="C927" t="s">
        <v>256</v>
      </c>
      <c r="D927" t="str">
        <f>VLOOKUP(C927, '[1]VLOOKUP 함수용 카테고리'!$A$1:$B$59, 2, 0)</f>
        <v>RTC_MEAL</v>
      </c>
      <c r="E927" t="s">
        <v>256</v>
      </c>
      <c r="F927" t="s">
        <v>1874</v>
      </c>
    </row>
    <row r="928" spans="1:6" x14ac:dyDescent="0.3">
      <c r="A928" t="s">
        <v>1875</v>
      </c>
      <c r="B928" t="str" cm="1">
        <f t="array" ref="B928">_xlfn.XLOOKUP(C928, INDEX([1]!카테고리매핑,,2), INDEX([1]!카테고리매핑,,1), "미등록 카테고리")</f>
        <v>간편식</v>
      </c>
      <c r="C928" t="s">
        <v>256</v>
      </c>
      <c r="D928" t="str">
        <f>VLOOKUP(C928, '[1]VLOOKUP 함수용 카테고리'!$A$1:$B$59, 2, 0)</f>
        <v>RTC_MEAL</v>
      </c>
      <c r="E928" t="s">
        <v>256</v>
      </c>
      <c r="F928" t="s">
        <v>1876</v>
      </c>
    </row>
    <row r="929" spans="1:6" x14ac:dyDescent="0.3">
      <c r="A929" t="s">
        <v>1877</v>
      </c>
      <c r="B929" t="str" cm="1">
        <f t="array" ref="B929">_xlfn.XLOOKUP(C929, INDEX([1]!카테고리매핑,,2), INDEX([1]!카테고리매핑,,1), "미등록 카테고리")</f>
        <v>상온식품</v>
      </c>
      <c r="C929" t="s">
        <v>769</v>
      </c>
      <c r="D929" t="str">
        <f>VLOOKUP(C929, '[1]VLOOKUP 함수용 카테고리'!$A$1:$B$59, 2, 0)</f>
        <v>GRAIN</v>
      </c>
      <c r="E929" t="s">
        <v>1878</v>
      </c>
      <c r="F929" t="s">
        <v>1879</v>
      </c>
    </row>
    <row r="930" spans="1:6" x14ac:dyDescent="0.3">
      <c r="A930" t="s">
        <v>1880</v>
      </c>
      <c r="B930" t="str" cm="1">
        <f t="array" ref="B930">_xlfn.XLOOKUP(C930, INDEX([1]!카테고리매핑,,2), INDEX([1]!카테고리매핑,,1), "미등록 카테고리")</f>
        <v>간편식</v>
      </c>
      <c r="C930" t="s">
        <v>19</v>
      </c>
      <c r="D930" t="str">
        <f>VLOOKUP(C930, '[1]VLOOKUP 함수용 카테고리'!$A$1:$B$59, 2, 0)</f>
        <v>FROZEN_MEAL</v>
      </c>
      <c r="E930" t="s">
        <v>1854</v>
      </c>
      <c r="F930" t="s">
        <v>151</v>
      </c>
    </row>
    <row r="931" spans="1:6" x14ac:dyDescent="0.3">
      <c r="A931" t="s">
        <v>1881</v>
      </c>
      <c r="B931" t="str" cm="1">
        <f t="array" ref="B931">_xlfn.XLOOKUP(C931, INDEX([1]!카테고리매핑,,2), INDEX([1]!카테고리매핑,,1), "미등록 카테고리")</f>
        <v>음료</v>
      </c>
      <c r="C931" t="s">
        <v>23</v>
      </c>
      <c r="D931" t="str">
        <f>VLOOKUP(C931, '[1]VLOOKUP 함수용 카테고리'!$A$1:$B$59, 2, 0)</f>
        <v>BEVERAGE</v>
      </c>
      <c r="E931" t="s">
        <v>355</v>
      </c>
      <c r="F931" t="s">
        <v>1882</v>
      </c>
    </row>
    <row r="932" spans="1:6" x14ac:dyDescent="0.3">
      <c r="A932" t="s">
        <v>1883</v>
      </c>
      <c r="B932" t="str" cm="1">
        <f t="array" ref="B932">_xlfn.XLOOKUP(C932, INDEX([1]!카테고리매핑,,2), INDEX([1]!카테고리매핑,,1), "미등록 카테고리")</f>
        <v>조미료</v>
      </c>
      <c r="C932" t="s">
        <v>117</v>
      </c>
      <c r="D932" t="str">
        <f>VLOOKUP(C932, '[1]VLOOKUP 함수용 카테고리'!$A$1:$B$59, 2, 0)</f>
        <v>SAUCE_SEASONING</v>
      </c>
      <c r="E932" t="s">
        <v>421</v>
      </c>
      <c r="F932" t="s">
        <v>1884</v>
      </c>
    </row>
    <row r="933" spans="1:6" x14ac:dyDescent="0.3">
      <c r="A933" t="s">
        <v>1885</v>
      </c>
      <c r="B933" t="str" cm="1">
        <f t="array" ref="B933">_xlfn.XLOOKUP(C933, INDEX([1]!카테고리매핑,,2), INDEX([1]!카테고리매핑,,1), "미등록 카테고리")</f>
        <v>간편식</v>
      </c>
      <c r="C933" t="s">
        <v>256</v>
      </c>
      <c r="D933" t="str">
        <f>VLOOKUP(C933, '[1]VLOOKUP 함수용 카테고리'!$A$1:$B$59, 2, 0)</f>
        <v>RTC_MEAL</v>
      </c>
      <c r="E933" t="s">
        <v>256</v>
      </c>
      <c r="F933" t="s">
        <v>1886</v>
      </c>
    </row>
    <row r="934" spans="1:6" x14ac:dyDescent="0.3">
      <c r="A934" t="s">
        <v>1887</v>
      </c>
      <c r="B934" t="str" cm="1">
        <f t="array" ref="B934">_xlfn.XLOOKUP(C934, INDEX([1]!카테고리매핑,,2), INDEX([1]!카테고리매핑,,1), "미등록 카테고리")</f>
        <v>간편식</v>
      </c>
      <c r="C934" t="s">
        <v>19</v>
      </c>
      <c r="D934" t="str">
        <f>VLOOKUP(C934, '[1]VLOOKUP 함수용 카테고리'!$A$1:$B$59, 2, 0)</f>
        <v>FROZEN_MEAL</v>
      </c>
      <c r="E934" t="s">
        <v>245</v>
      </c>
      <c r="F934" t="s">
        <v>1888</v>
      </c>
    </row>
    <row r="935" spans="1:6" x14ac:dyDescent="0.3">
      <c r="A935" t="s">
        <v>1889</v>
      </c>
      <c r="B935" t="str" cm="1">
        <f t="array" ref="B935">_xlfn.XLOOKUP(C935, INDEX([1]!카테고리매핑,,2), INDEX([1]!카테고리매핑,,1), "미등록 카테고리")</f>
        <v>음료</v>
      </c>
      <c r="C935" t="s">
        <v>708</v>
      </c>
      <c r="D935" t="str">
        <f>VLOOKUP(C935, '[1]VLOOKUP 함수용 카테고리'!$A$1:$B$59, 2, 0)</f>
        <v>BEVERAGE</v>
      </c>
      <c r="E935" t="s">
        <v>708</v>
      </c>
      <c r="F935" t="s">
        <v>1890</v>
      </c>
    </row>
    <row r="936" spans="1:6" x14ac:dyDescent="0.3">
      <c r="A936" t="s">
        <v>1891</v>
      </c>
      <c r="B936" t="str" cm="1">
        <f t="array" ref="B936">_xlfn.XLOOKUP(C936, INDEX([1]!카테고리매핑,,2), INDEX([1]!카테고리매핑,,1), "미등록 카테고리")</f>
        <v>과일/견과류</v>
      </c>
      <c r="C936" t="s">
        <v>1179</v>
      </c>
      <c r="D936" t="str">
        <f>VLOOKUP(C936, '[1]VLOOKUP 함수용 카테고리'!$A$1:$B$59, 2, 0)</f>
        <v>RAW_FRUIT</v>
      </c>
      <c r="E936" t="s">
        <v>1180</v>
      </c>
      <c r="F936" t="s">
        <v>1892</v>
      </c>
    </row>
    <row r="937" spans="1:6" x14ac:dyDescent="0.3">
      <c r="A937" t="s">
        <v>1893</v>
      </c>
      <c r="B937" t="str" cm="1">
        <f t="array" ref="B937">_xlfn.XLOOKUP(C937, INDEX([1]!카테고리매핑,,2), INDEX([1]!카테고리매핑,,1), "미등록 카테고리")</f>
        <v>조미료</v>
      </c>
      <c r="C937" t="s">
        <v>84</v>
      </c>
      <c r="D937" t="str">
        <f>VLOOKUP(C937, '[1]VLOOKUP 함수용 카테고리'!$A$1:$B$59, 2, 0)</f>
        <v>SAUCE_SEASONING</v>
      </c>
      <c r="E937" t="s">
        <v>85</v>
      </c>
      <c r="F937" t="s">
        <v>1894</v>
      </c>
    </row>
    <row r="938" spans="1:6" x14ac:dyDescent="0.3">
      <c r="A938" t="s">
        <v>1895</v>
      </c>
      <c r="B938" t="str" cm="1">
        <f t="array" ref="B938">_xlfn.XLOOKUP(C938, INDEX([1]!카테고리매핑,,2), INDEX([1]!카테고리매핑,,1), "미등록 카테고리")</f>
        <v>조미료</v>
      </c>
      <c r="C938" t="s">
        <v>127</v>
      </c>
      <c r="D938" t="str">
        <f>VLOOKUP(C938, '[1]VLOOKUP 함수용 카테고리'!$A$1:$B$59, 2, 0)</f>
        <v>SAUCE_SEASONING</v>
      </c>
      <c r="E938" t="s">
        <v>1896</v>
      </c>
      <c r="F938" t="s">
        <v>646</v>
      </c>
    </row>
    <row r="939" spans="1:6" x14ac:dyDescent="0.3">
      <c r="A939" t="s">
        <v>1897</v>
      </c>
      <c r="B939" t="str" cm="1">
        <f t="array" ref="B939">_xlfn.XLOOKUP(C939, INDEX([1]!카테고리매핑,,2), INDEX([1]!카테고리매핑,,1), "미등록 카테고리")</f>
        <v>채소/곡물류</v>
      </c>
      <c r="C939" t="s">
        <v>7</v>
      </c>
      <c r="D939" t="str">
        <f>VLOOKUP(C939, '[1]VLOOKUP 함수용 카테고리'!$A$1:$B$59, 2, 0)</f>
        <v>RAW_PRODUCE</v>
      </c>
      <c r="E939" t="s">
        <v>1898</v>
      </c>
    </row>
    <row r="940" spans="1:6" x14ac:dyDescent="0.3">
      <c r="A940" t="s">
        <v>1899</v>
      </c>
      <c r="B940" t="str" cm="1">
        <f t="array" ref="B940">_xlfn.XLOOKUP(C940, INDEX([1]!카테고리매핑,,2), INDEX([1]!카테고리매핑,,1), "미등록 카테고리")</f>
        <v>상온식품</v>
      </c>
      <c r="C940" t="s">
        <v>276</v>
      </c>
      <c r="D940" t="str">
        <f>VLOOKUP(C940, '[1]VLOOKUP 함수용 카테고리'!$A$1:$B$59, 2, 0)</f>
        <v>DRIED_SEAFOOD</v>
      </c>
      <c r="E940" t="s">
        <v>277</v>
      </c>
      <c r="F940" t="s">
        <v>736</v>
      </c>
    </row>
    <row r="941" spans="1:6" x14ac:dyDescent="0.3">
      <c r="A941" t="s">
        <v>1900</v>
      </c>
      <c r="B941" t="str" cm="1">
        <f t="array" ref="B941">_xlfn.XLOOKUP(C941, INDEX([1]!카테고리매핑,,2), INDEX([1]!카테고리매핑,,1), "미등록 카테고리")</f>
        <v>채소/곡물류</v>
      </c>
      <c r="C941" t="s">
        <v>7</v>
      </c>
      <c r="D941" t="str">
        <f>VLOOKUP(C941, '[1]VLOOKUP 함수용 카테고리'!$A$1:$B$59, 2, 0)</f>
        <v>RAW_PRODUCE</v>
      </c>
      <c r="E941" t="s">
        <v>8</v>
      </c>
      <c r="F941" t="s">
        <v>1901</v>
      </c>
    </row>
    <row r="942" spans="1:6" x14ac:dyDescent="0.3">
      <c r="A942" t="s">
        <v>1902</v>
      </c>
      <c r="B942" t="str" cm="1">
        <f t="array" ref="B942">_xlfn.XLOOKUP(C942, INDEX([1]!카테고리매핑,,2), INDEX([1]!카테고리매핑,,1), "미등록 카테고리")</f>
        <v>음료</v>
      </c>
      <c r="C942" t="s">
        <v>23</v>
      </c>
      <c r="D942" t="str">
        <f>VLOOKUP(C942, '[1]VLOOKUP 함수용 카테고리'!$A$1:$B$59, 2, 0)</f>
        <v>BEVERAGE</v>
      </c>
      <c r="E942" t="s">
        <v>135</v>
      </c>
      <c r="F942" t="s">
        <v>7685</v>
      </c>
    </row>
    <row r="943" spans="1:6" x14ac:dyDescent="0.3">
      <c r="A943" t="s">
        <v>1903</v>
      </c>
      <c r="B943" t="str" cm="1">
        <f t="array" ref="B943">_xlfn.XLOOKUP(C943, INDEX([1]!카테고리매핑,,2), INDEX([1]!카테고리매핑,,1), "미등록 카테고리")</f>
        <v>육류/계란</v>
      </c>
      <c r="C943" t="s">
        <v>149</v>
      </c>
      <c r="D943" t="str">
        <f>VLOOKUP(C943, '[1]VLOOKUP 함수용 카테고리'!$A$1:$B$59, 2, 0)</f>
        <v>RAW_MEAT</v>
      </c>
      <c r="E943" t="s">
        <v>573</v>
      </c>
      <c r="F943" t="s">
        <v>1141</v>
      </c>
    </row>
    <row r="944" spans="1:6" x14ac:dyDescent="0.3">
      <c r="A944" t="s">
        <v>1904</v>
      </c>
      <c r="B944" t="str" cm="1">
        <f t="array" ref="B944">_xlfn.XLOOKUP(C944, INDEX([1]!카테고리매핑,,2), INDEX([1]!카테고리매핑,,1), "미등록 카테고리")</f>
        <v>수산물</v>
      </c>
      <c r="C944" t="s">
        <v>229</v>
      </c>
      <c r="D944" t="str">
        <f>VLOOKUP(C944, '[1]VLOOKUP 함수용 카테고리'!$A$1:$B$59, 2, 0)</f>
        <v>RAW_SEAFOOD</v>
      </c>
      <c r="E944" t="s">
        <v>230</v>
      </c>
      <c r="F944" t="s">
        <v>538</v>
      </c>
    </row>
    <row r="945" spans="1:6" x14ac:dyDescent="0.3">
      <c r="A945" t="s">
        <v>1905</v>
      </c>
      <c r="B945" t="str" cm="1">
        <f t="array" ref="B945">_xlfn.XLOOKUP(C945, INDEX([1]!카테고리매핑,,2), INDEX([1]!카테고리매핑,,1), "미등록 카테고리")</f>
        <v>술</v>
      </c>
      <c r="C945" t="s">
        <v>411</v>
      </c>
      <c r="D945" t="str">
        <f>VLOOKUP(C945, '[1]VLOOKUP 함수용 카테고리'!$A$1:$B$59, 2, 0)</f>
        <v>ALCOHOL</v>
      </c>
      <c r="E945" t="s">
        <v>1159</v>
      </c>
      <c r="F945" t="s">
        <v>411</v>
      </c>
    </row>
    <row r="946" spans="1:6" x14ac:dyDescent="0.3">
      <c r="A946" t="s">
        <v>1906</v>
      </c>
      <c r="B946" t="str" cm="1">
        <f t="array" ref="B946">_xlfn.XLOOKUP(C946, INDEX([1]!카테고리매핑,,2), INDEX([1]!카테고리매핑,,1), "미등록 카테고리")</f>
        <v>채소/곡물류</v>
      </c>
      <c r="C946" t="s">
        <v>27</v>
      </c>
      <c r="D946" t="str">
        <f>VLOOKUP(C946, '[1]VLOOKUP 함수용 카테고리'!$A$1:$B$59, 2, 0)</f>
        <v>SIMPLE_PROCESSED</v>
      </c>
      <c r="E946" t="s">
        <v>28</v>
      </c>
      <c r="F946" t="s">
        <v>350</v>
      </c>
    </row>
    <row r="947" spans="1:6" x14ac:dyDescent="0.3">
      <c r="A947" t="s">
        <v>1907</v>
      </c>
      <c r="B947" t="str" cm="1">
        <f t="array" ref="B947">_xlfn.XLOOKUP(C947, INDEX([1]!카테고리매핑,,2), INDEX([1]!카테고리매핑,,1), "미등록 카테고리")</f>
        <v>음료</v>
      </c>
      <c r="C947" t="s">
        <v>23</v>
      </c>
      <c r="D947" t="str">
        <f>VLOOKUP(C947, '[1]VLOOKUP 함수용 카테고리'!$A$1:$B$59, 2, 0)</f>
        <v>BEVERAGE</v>
      </c>
      <c r="E947" t="s">
        <v>355</v>
      </c>
      <c r="F947" t="s">
        <v>356</v>
      </c>
    </row>
    <row r="948" spans="1:6" x14ac:dyDescent="0.3">
      <c r="A948" t="s">
        <v>1908</v>
      </c>
      <c r="B948" t="str" cm="1">
        <f t="array" ref="B948">_xlfn.XLOOKUP(C948, INDEX([1]!카테고리매핑,,2), INDEX([1]!카테고리매핑,,1), "미등록 카테고리")</f>
        <v>육류/계란</v>
      </c>
      <c r="C948" t="s">
        <v>428</v>
      </c>
      <c r="D948" t="str">
        <f>VLOOKUP(C948, '[1]VLOOKUP 함수용 카테고리'!$A$1:$B$59, 2, 0)</f>
        <v>PROCESSED_MEAT</v>
      </c>
      <c r="E948" t="s">
        <v>804</v>
      </c>
      <c r="F948" t="s">
        <v>1909</v>
      </c>
    </row>
    <row r="949" spans="1:6" x14ac:dyDescent="0.3">
      <c r="A949" t="s">
        <v>1910</v>
      </c>
      <c r="B949" t="str" cm="1">
        <f t="array" ref="B949">_xlfn.XLOOKUP(C949, INDEX([1]!카테고리매핑,,2), INDEX([1]!카테고리매핑,,1), "미등록 카테고리")</f>
        <v>조미료</v>
      </c>
      <c r="C949" t="s">
        <v>117</v>
      </c>
      <c r="D949" t="str">
        <f>VLOOKUP(C949, '[1]VLOOKUP 함수용 카테고리'!$A$1:$B$59, 2, 0)</f>
        <v>SAUCE_SEASONING</v>
      </c>
      <c r="E949" t="s">
        <v>421</v>
      </c>
      <c r="F949" t="s">
        <v>7686</v>
      </c>
    </row>
    <row r="950" spans="1:6" x14ac:dyDescent="0.3">
      <c r="A950" t="s">
        <v>1911</v>
      </c>
      <c r="B950" t="str" cm="1">
        <f t="array" ref="B950">_xlfn.XLOOKUP(C950, INDEX([1]!카테고리매핑,,2), INDEX([1]!카테고리매핑,,1), "미등록 카테고리")</f>
        <v>술</v>
      </c>
      <c r="C950" t="s">
        <v>42</v>
      </c>
      <c r="D950" t="str">
        <f>VLOOKUP(C950, '[1]VLOOKUP 함수용 카테고리'!$A$1:$B$59, 2, 0)</f>
        <v>ALCOHOL</v>
      </c>
      <c r="E950" t="s">
        <v>43</v>
      </c>
    </row>
    <row r="951" spans="1:6" x14ac:dyDescent="0.3">
      <c r="A951" t="s">
        <v>1912</v>
      </c>
      <c r="B951" t="str" cm="1">
        <f t="array" ref="B951">_xlfn.XLOOKUP(C951, INDEX([1]!카테고리매핑,,2), INDEX([1]!카테고리매핑,,1), "미등록 카테고리")</f>
        <v>채소/곡물류</v>
      </c>
      <c r="C951" t="s">
        <v>7</v>
      </c>
      <c r="D951" t="str">
        <f>VLOOKUP(C951, '[1]VLOOKUP 함수용 카테고리'!$A$1:$B$59, 2, 0)</f>
        <v>RAW_PRODUCE</v>
      </c>
      <c r="E951" t="s">
        <v>1913</v>
      </c>
    </row>
    <row r="952" spans="1:6" x14ac:dyDescent="0.3">
      <c r="A952" t="s">
        <v>1914</v>
      </c>
      <c r="B952" t="str" cm="1">
        <f t="array" ref="B952">_xlfn.XLOOKUP(C952, INDEX([1]!카테고리매핑,,2), INDEX([1]!카테고리매핑,,1), "미등록 카테고리")</f>
        <v>조미료</v>
      </c>
      <c r="C952" t="s">
        <v>83</v>
      </c>
      <c r="D952" t="str">
        <f>VLOOKUP(C952, '[1]VLOOKUP 함수용 카테고리'!$A$1:$B$59, 2, 0)</f>
        <v>SAUCE_SEASONING</v>
      </c>
      <c r="E952" t="s">
        <v>886</v>
      </c>
      <c r="F952" t="s">
        <v>1915</v>
      </c>
    </row>
    <row r="953" spans="1:6" x14ac:dyDescent="0.3">
      <c r="A953" t="s">
        <v>1916</v>
      </c>
      <c r="B953" t="str" cm="1">
        <f t="array" ref="B953">_xlfn.XLOOKUP(C953, INDEX([1]!카테고리매핑,,2), INDEX([1]!카테고리매핑,,1), "미등록 카테고리")</f>
        <v>술</v>
      </c>
      <c r="C953" t="s">
        <v>56</v>
      </c>
      <c r="D953" t="str">
        <f>VLOOKUP(C953, '[1]VLOOKUP 함수용 카테고리'!$A$1:$B$59, 2, 0)</f>
        <v>ALCOHOL</v>
      </c>
      <c r="E953" t="s">
        <v>721</v>
      </c>
    </row>
    <row r="954" spans="1:6" x14ac:dyDescent="0.3">
      <c r="A954" t="s">
        <v>1917</v>
      </c>
      <c r="B954" t="str" cm="1">
        <f t="array" ref="B954">_xlfn.XLOOKUP(C954, INDEX([1]!카테고리매핑,,2), INDEX([1]!카테고리매핑,,1), "미등록 카테고리")</f>
        <v>조미료</v>
      </c>
      <c r="C954" t="s">
        <v>83</v>
      </c>
      <c r="D954" t="str">
        <f>VLOOKUP(C954, '[1]VLOOKUP 함수용 카테고리'!$A$1:$B$59, 2, 0)</f>
        <v>SAUCE_SEASONING</v>
      </c>
      <c r="E954" t="s">
        <v>1918</v>
      </c>
    </row>
    <row r="955" spans="1:6" x14ac:dyDescent="0.3">
      <c r="A955" t="s">
        <v>1920</v>
      </c>
      <c r="B955" t="str" cm="1">
        <f t="array" ref="B955">_xlfn.XLOOKUP(C955, INDEX([1]!카테고리매핑,,2), INDEX([1]!카테고리매핑,,1), "미등록 카테고리")</f>
        <v>과일/견과류</v>
      </c>
      <c r="C955" t="s">
        <v>1179</v>
      </c>
      <c r="D955" t="str">
        <f>VLOOKUP(C955, '[1]VLOOKUP 함수용 카테고리'!$A$1:$B$59, 2, 0)</f>
        <v>RAW_FRUIT</v>
      </c>
      <c r="E955" t="s">
        <v>1921</v>
      </c>
      <c r="F955" t="s">
        <v>1892</v>
      </c>
    </row>
    <row r="956" spans="1:6" x14ac:dyDescent="0.3">
      <c r="A956" t="s">
        <v>1922</v>
      </c>
      <c r="B956" t="str" cm="1">
        <f t="array" ref="B956">_xlfn.XLOOKUP(C956, INDEX([1]!카테고리매핑,,2), INDEX([1]!카테고리매핑,,1), "미등록 카테고리")</f>
        <v>간편식</v>
      </c>
      <c r="C956" t="s">
        <v>19</v>
      </c>
      <c r="D956" t="str">
        <f>VLOOKUP(C956, '[1]VLOOKUP 함수용 카테고리'!$A$1:$B$59, 2, 0)</f>
        <v>FROZEN_MEAL</v>
      </c>
      <c r="E956" t="s">
        <v>1115</v>
      </c>
      <c r="F956" t="s">
        <v>1923</v>
      </c>
    </row>
    <row r="957" spans="1:6" x14ac:dyDescent="0.3">
      <c r="A957" t="s">
        <v>1924</v>
      </c>
      <c r="B957" t="str" cm="1">
        <f t="array" ref="B957">_xlfn.XLOOKUP(C957, INDEX([1]!카테고리매핑,,2), INDEX([1]!카테고리매핑,,1), "미등록 카테고리")</f>
        <v>유제품</v>
      </c>
      <c r="C957" t="s">
        <v>123</v>
      </c>
      <c r="D957" t="str">
        <f>VLOOKUP(C957, '[1]VLOOKUP 함수용 카테고리'!$A$1:$B$59, 2, 0)</f>
        <v>DAIRY</v>
      </c>
      <c r="E957" t="s">
        <v>124</v>
      </c>
      <c r="F957" t="s">
        <v>623</v>
      </c>
    </row>
    <row r="958" spans="1:6" x14ac:dyDescent="0.3">
      <c r="A958" t="s">
        <v>1925</v>
      </c>
      <c r="B958" t="str" cm="1">
        <f t="array" ref="B958">_xlfn.XLOOKUP(C958, INDEX([1]!카테고리매핑,,2), INDEX([1]!카테고리매핑,,1), "미등록 카테고리")</f>
        <v>간편식</v>
      </c>
      <c r="C958" t="s">
        <v>161</v>
      </c>
      <c r="D958" t="str">
        <f>VLOOKUP(C958, '[1]VLOOKUP 함수용 카테고리'!$A$1:$B$59, 2, 0)</f>
        <v>RTC_MEAL</v>
      </c>
      <c r="E958" t="s">
        <v>1645</v>
      </c>
      <c r="F958" t="s">
        <v>7737</v>
      </c>
    </row>
    <row r="959" spans="1:6" x14ac:dyDescent="0.3">
      <c r="A959" t="s">
        <v>1926</v>
      </c>
      <c r="B959" t="str" cm="1">
        <f t="array" ref="B959">_xlfn.XLOOKUP(C959, INDEX([1]!카테고리매핑,,2), INDEX([1]!카테고리매핑,,1), "미등록 카테고리")</f>
        <v>채소/곡물류</v>
      </c>
      <c r="C959" t="s">
        <v>7</v>
      </c>
      <c r="D959" t="str">
        <f>VLOOKUP(C959, '[1]VLOOKUP 함수용 카테고리'!$A$1:$B$59, 2, 0)</f>
        <v>RAW_PRODUCE</v>
      </c>
      <c r="E959" t="s">
        <v>1927</v>
      </c>
      <c r="F959" t="s">
        <v>406</v>
      </c>
    </row>
    <row r="960" spans="1:6" x14ac:dyDescent="0.3">
      <c r="A960" t="s">
        <v>1928</v>
      </c>
      <c r="B960" t="str" cm="1">
        <f t="array" ref="B960">_xlfn.XLOOKUP(C960, INDEX([1]!카테고리매핑,,2), INDEX([1]!카테고리매핑,,1), "미등록 카테고리")</f>
        <v>간식류</v>
      </c>
      <c r="C960" t="s">
        <v>11</v>
      </c>
      <c r="D960" t="str">
        <f>VLOOKUP(C960, '[1]VLOOKUP 함수용 카테고리'!$A$1:$B$59, 2, 0)</f>
        <v>SNACK</v>
      </c>
      <c r="E960" t="s">
        <v>1929</v>
      </c>
      <c r="F960" t="s">
        <v>1930</v>
      </c>
    </row>
    <row r="961" spans="1:6" x14ac:dyDescent="0.3">
      <c r="A961" t="s">
        <v>1931</v>
      </c>
      <c r="B961" t="str" cm="1">
        <f t="array" ref="B961">_xlfn.XLOOKUP(C961, INDEX([1]!카테고리매핑,,2), INDEX([1]!카테고리매핑,,1), "미등록 카테고리")</f>
        <v>과일/견과류</v>
      </c>
      <c r="C961" t="s">
        <v>1179</v>
      </c>
      <c r="D961" t="str">
        <f>VLOOKUP(C961, '[1]VLOOKUP 함수용 카테고리'!$A$1:$B$59, 2, 0)</f>
        <v>RAW_FRUIT</v>
      </c>
      <c r="E961" t="s">
        <v>1921</v>
      </c>
      <c r="F961" t="s">
        <v>1892</v>
      </c>
    </row>
    <row r="962" spans="1:6" x14ac:dyDescent="0.3">
      <c r="A962" t="s">
        <v>1932</v>
      </c>
      <c r="B962" t="str" cm="1">
        <f t="array" ref="B962">_xlfn.XLOOKUP(C962, INDEX([1]!카테고리매핑,,2), INDEX([1]!카테고리매핑,,1), "미등록 카테고리")</f>
        <v>간식류</v>
      </c>
      <c r="C962" t="s">
        <v>15</v>
      </c>
      <c r="D962" t="str">
        <f>VLOOKUP(C962, '[1]VLOOKUP 함수용 카테고리'!$A$1:$B$59, 2, 0)</f>
        <v>BAKERY</v>
      </c>
      <c r="E962" t="s">
        <v>1933</v>
      </c>
      <c r="F962" t="s">
        <v>1934</v>
      </c>
    </row>
    <row r="963" spans="1:6" x14ac:dyDescent="0.3">
      <c r="A963" t="s">
        <v>1935</v>
      </c>
      <c r="B963" t="str" cm="1">
        <f t="array" ref="B963">_xlfn.XLOOKUP(C963, INDEX([1]!카테고리매핑,,2), INDEX([1]!카테고리매핑,,1), "미등록 카테고리")</f>
        <v>채소/곡물류</v>
      </c>
      <c r="C963" t="s">
        <v>164</v>
      </c>
      <c r="D963" t="str">
        <f>VLOOKUP(C963, '[1]VLOOKUP 함수용 카테고리'!$A$1:$B$59, 2, 0)</f>
        <v>RAW_PRODUCE</v>
      </c>
      <c r="E963" t="s">
        <v>1412</v>
      </c>
    </row>
    <row r="964" spans="1:6" x14ac:dyDescent="0.3">
      <c r="A964" t="s">
        <v>1936</v>
      </c>
      <c r="B964" t="str" cm="1">
        <f t="array" ref="B964">_xlfn.XLOOKUP(C964, INDEX([1]!카테고리매핑,,2), INDEX([1]!카테고리매핑,,1), "미등록 카테고리")</f>
        <v>수산물</v>
      </c>
      <c r="C964" t="s">
        <v>101</v>
      </c>
      <c r="D964" t="str">
        <f>VLOOKUP(C964, '[1]VLOOKUP 함수용 카테고리'!$A$1:$B$59, 2, 0)</f>
        <v>DRIED_SEAFOOD</v>
      </c>
      <c r="E964" t="s">
        <v>601</v>
      </c>
      <c r="F964" t="s">
        <v>7738</v>
      </c>
    </row>
    <row r="965" spans="1:6" x14ac:dyDescent="0.3">
      <c r="A965" t="s">
        <v>1937</v>
      </c>
      <c r="B965" t="str" cm="1">
        <f t="array" ref="B965">_xlfn.XLOOKUP(C965, INDEX([1]!카테고리매핑,,2), INDEX([1]!카테고리매핑,,1), "미등록 카테고리")</f>
        <v>육류/계란</v>
      </c>
      <c r="C965" t="s">
        <v>105</v>
      </c>
      <c r="D965" t="str">
        <f>VLOOKUP(C965, '[1]VLOOKUP 함수용 카테고리'!$A$1:$B$59, 2, 0)</f>
        <v>RAW_MEAT</v>
      </c>
      <c r="E965" t="s">
        <v>1938</v>
      </c>
      <c r="F965" t="s">
        <v>1939</v>
      </c>
    </row>
    <row r="966" spans="1:6" x14ac:dyDescent="0.3">
      <c r="A966" t="s">
        <v>1940</v>
      </c>
      <c r="B966" t="str" cm="1">
        <f t="array" ref="B966">_xlfn.XLOOKUP(C966, INDEX([1]!카테고리매핑,,2), INDEX([1]!카테고리매핑,,1), "미등록 카테고리")</f>
        <v>조미료</v>
      </c>
      <c r="C966" t="s">
        <v>127</v>
      </c>
      <c r="D966" t="str">
        <f>VLOOKUP(C966, '[1]VLOOKUP 함수용 카테고리'!$A$1:$B$59, 2, 0)</f>
        <v>SAUCE_SEASONING</v>
      </c>
      <c r="E966" t="s">
        <v>1941</v>
      </c>
      <c r="F966" t="s">
        <v>7739</v>
      </c>
    </row>
    <row r="967" spans="1:6" x14ac:dyDescent="0.3">
      <c r="A967" t="s">
        <v>1942</v>
      </c>
      <c r="B967" t="str" cm="1">
        <f t="array" ref="B967">_xlfn.XLOOKUP(C967, INDEX([1]!카테고리매핑,,2), INDEX([1]!카테고리매핑,,1), "미등록 카테고리")</f>
        <v>간식류</v>
      </c>
      <c r="C967" t="s">
        <v>11</v>
      </c>
      <c r="D967" t="str">
        <f>VLOOKUP(C967, '[1]VLOOKUP 함수용 카테고리'!$A$1:$B$59, 2, 0)</f>
        <v>SNACK</v>
      </c>
      <c r="E967" t="s">
        <v>1943</v>
      </c>
      <c r="F967" t="s">
        <v>54</v>
      </c>
    </row>
    <row r="968" spans="1:6" x14ac:dyDescent="0.3">
      <c r="A968" t="s">
        <v>1944</v>
      </c>
      <c r="B968" t="str" cm="1">
        <f t="array" ref="B968">_xlfn.XLOOKUP(C968, INDEX([1]!카테고리매핑,,2), INDEX([1]!카테고리매핑,,1), "미등록 카테고리")</f>
        <v>조미료</v>
      </c>
      <c r="C968" t="s">
        <v>84</v>
      </c>
      <c r="D968" t="str">
        <f>VLOOKUP(C968, '[1]VLOOKUP 함수용 카테고리'!$A$1:$B$59, 2, 0)</f>
        <v>SAUCE_SEASONING</v>
      </c>
      <c r="E968" t="s">
        <v>90</v>
      </c>
      <c r="F968" t="s">
        <v>646</v>
      </c>
    </row>
    <row r="969" spans="1:6" x14ac:dyDescent="0.3">
      <c r="A969" t="s">
        <v>1945</v>
      </c>
      <c r="B969" t="str" cm="1">
        <f t="array" ref="B969">_xlfn.XLOOKUP(C969, INDEX([1]!카테고리매핑,,2), INDEX([1]!카테고리매핑,,1), "미등록 카테고리")</f>
        <v>상온식품</v>
      </c>
      <c r="C969" t="s">
        <v>769</v>
      </c>
      <c r="D969" t="str">
        <f>VLOOKUP(C969, '[1]VLOOKUP 함수용 카테고리'!$A$1:$B$59, 2, 0)</f>
        <v>GRAIN</v>
      </c>
      <c r="E969" t="s">
        <v>770</v>
      </c>
      <c r="F969" t="s">
        <v>1946</v>
      </c>
    </row>
    <row r="970" spans="1:6" x14ac:dyDescent="0.3">
      <c r="A970" t="s">
        <v>1947</v>
      </c>
      <c r="B970" t="str" cm="1">
        <f t="array" ref="B970">_xlfn.XLOOKUP(C970, INDEX([1]!카테고리매핑,,2), INDEX([1]!카테고리매핑,,1), "미등록 카테고리")</f>
        <v>술</v>
      </c>
      <c r="C970" t="s">
        <v>42</v>
      </c>
      <c r="D970" t="str">
        <f>VLOOKUP(C970, '[1]VLOOKUP 함수용 카테고리'!$A$1:$B$59, 2, 0)</f>
        <v>ALCOHOL</v>
      </c>
      <c r="E970" t="s">
        <v>43</v>
      </c>
    </row>
    <row r="971" spans="1:6" x14ac:dyDescent="0.3">
      <c r="A971" t="s">
        <v>1948</v>
      </c>
      <c r="B971" t="str" cm="1">
        <f t="array" ref="B971">_xlfn.XLOOKUP(C971, INDEX([1]!카테고리매핑,,2), INDEX([1]!카테고리매핑,,1), "미등록 카테고리")</f>
        <v>간편식</v>
      </c>
      <c r="C971" t="s">
        <v>167</v>
      </c>
      <c r="D971" t="str">
        <f>VLOOKUP(C971, '[1]VLOOKUP 함수용 카테고리'!$A$1:$B$59, 2, 0)</f>
        <v>INSTANT</v>
      </c>
      <c r="E971" t="s">
        <v>1949</v>
      </c>
      <c r="F971" t="s">
        <v>1387</v>
      </c>
    </row>
    <row r="972" spans="1:6" x14ac:dyDescent="0.3">
      <c r="A972" t="s">
        <v>1950</v>
      </c>
      <c r="B972" t="str" cm="1">
        <f t="array" ref="B972">_xlfn.XLOOKUP(C972, INDEX([1]!카테고리매핑,,2), INDEX([1]!카테고리매핑,,1), "미등록 카테고리")</f>
        <v>유제품</v>
      </c>
      <c r="C972" t="s">
        <v>123</v>
      </c>
      <c r="D972" t="str">
        <f>VLOOKUP(C972, '[1]VLOOKUP 함수용 카테고리'!$A$1:$B$59, 2, 0)</f>
        <v>DAIRY</v>
      </c>
      <c r="E972" t="s">
        <v>367</v>
      </c>
      <c r="F972" t="s">
        <v>350</v>
      </c>
    </row>
    <row r="973" spans="1:6" x14ac:dyDescent="0.3">
      <c r="A973" t="s">
        <v>1951</v>
      </c>
      <c r="B973" t="str" cm="1">
        <f t="array" ref="B973">_xlfn.XLOOKUP(C973, INDEX([1]!카테고리매핑,,2), INDEX([1]!카테고리매핑,,1), "미등록 카테고리")</f>
        <v>음료</v>
      </c>
      <c r="C973" t="s">
        <v>23</v>
      </c>
      <c r="D973" t="str">
        <f>VLOOKUP(C973, '[1]VLOOKUP 함수용 카테고리'!$A$1:$B$59, 2, 0)</f>
        <v>BEVERAGE</v>
      </c>
      <c r="E973" t="s">
        <v>355</v>
      </c>
      <c r="F973" t="s">
        <v>356</v>
      </c>
    </row>
    <row r="974" spans="1:6" x14ac:dyDescent="0.3">
      <c r="A974" t="s">
        <v>1952</v>
      </c>
      <c r="B974" t="str" cm="1">
        <f t="array" ref="B974">_xlfn.XLOOKUP(C974, INDEX([1]!카테고리매핑,,2), INDEX([1]!카테고리매핑,,1), "미등록 카테고리")</f>
        <v>조미료</v>
      </c>
      <c r="C974" t="s">
        <v>127</v>
      </c>
      <c r="D974" t="str">
        <f>VLOOKUP(C974, '[1]VLOOKUP 함수용 카테고리'!$A$1:$B$59, 2, 0)</f>
        <v>SAUCE_SEASONING</v>
      </c>
      <c r="E974" t="s">
        <v>1953</v>
      </c>
      <c r="F974" t="s">
        <v>182</v>
      </c>
    </row>
    <row r="975" spans="1:6" x14ac:dyDescent="0.3">
      <c r="A975" t="s">
        <v>1954</v>
      </c>
      <c r="B975" t="str" cm="1">
        <f t="array" ref="B975">_xlfn.XLOOKUP(C975, INDEX([1]!카테고리매핑,,2), INDEX([1]!카테고리매핑,,1), "미등록 카테고리")</f>
        <v>육류/계란</v>
      </c>
      <c r="C975" t="s">
        <v>105</v>
      </c>
      <c r="D975" t="str">
        <f>VLOOKUP(C975, '[1]VLOOKUP 함수용 카테고리'!$A$1:$B$59, 2, 0)</f>
        <v>RAW_MEAT</v>
      </c>
      <c r="E975" t="s">
        <v>1955</v>
      </c>
      <c r="F975" t="s">
        <v>1956</v>
      </c>
    </row>
    <row r="976" spans="1:6" x14ac:dyDescent="0.3">
      <c r="A976" t="s">
        <v>1957</v>
      </c>
      <c r="B976" t="str" cm="1">
        <f t="array" ref="B976">_xlfn.XLOOKUP(C976, INDEX([1]!카테고리매핑,,2), INDEX([1]!카테고리매핑,,1), "미등록 카테고리")</f>
        <v>육류/계란</v>
      </c>
      <c r="C976" t="s">
        <v>105</v>
      </c>
      <c r="D976" t="str">
        <f>VLOOKUP(C976, '[1]VLOOKUP 함수용 카테고리'!$A$1:$B$59, 2, 0)</f>
        <v>RAW_MEAT</v>
      </c>
      <c r="E976" t="s">
        <v>176</v>
      </c>
      <c r="F976" t="s">
        <v>1665</v>
      </c>
    </row>
    <row r="977" spans="1:6" x14ac:dyDescent="0.3">
      <c r="A977" t="s">
        <v>1958</v>
      </c>
      <c r="B977" t="str" cm="1">
        <f t="array" ref="B977">_xlfn.XLOOKUP(C977, INDEX([1]!카테고리매핑,,2), INDEX([1]!카테고리매핑,,1), "미등록 카테고리")</f>
        <v>술</v>
      </c>
      <c r="C977" t="s">
        <v>56</v>
      </c>
      <c r="D977" t="str">
        <f>VLOOKUP(C977, '[1]VLOOKUP 함수용 카테고리'!$A$1:$B$59, 2, 0)</f>
        <v>ALCOHOL</v>
      </c>
      <c r="E977" t="s">
        <v>505</v>
      </c>
      <c r="F977" t="s">
        <v>795</v>
      </c>
    </row>
    <row r="978" spans="1:6" x14ac:dyDescent="0.3">
      <c r="A978" t="s">
        <v>1959</v>
      </c>
      <c r="B978" t="str" cm="1">
        <f t="array" ref="B978">_xlfn.XLOOKUP(C978, INDEX([1]!카테고리매핑,,2), INDEX([1]!카테고리매핑,,1), "미등록 카테고리")</f>
        <v>간편식</v>
      </c>
      <c r="C978" t="s">
        <v>161</v>
      </c>
      <c r="D978" t="str">
        <f>VLOOKUP(C978, '[1]VLOOKUP 함수용 카테고리'!$A$1:$B$59, 2, 0)</f>
        <v>RTC_MEAL</v>
      </c>
      <c r="E978" t="s">
        <v>162</v>
      </c>
      <c r="F978" t="s">
        <v>1960</v>
      </c>
    </row>
    <row r="979" spans="1:6" x14ac:dyDescent="0.3">
      <c r="A979" t="s">
        <v>1961</v>
      </c>
      <c r="B979" t="str" cm="1">
        <f t="array" ref="B979">_xlfn.XLOOKUP(C979, INDEX([1]!카테고리매핑,,2), INDEX([1]!카테고리매핑,,1), "미등록 카테고리")</f>
        <v>간식류</v>
      </c>
      <c r="C979" t="s">
        <v>11</v>
      </c>
      <c r="D979" t="str">
        <f>VLOOKUP(C979, '[1]VLOOKUP 함수용 카테고리'!$A$1:$B$59, 2, 0)</f>
        <v>SNACK</v>
      </c>
      <c r="E979" t="s">
        <v>371</v>
      </c>
      <c r="F979" t="s">
        <v>816</v>
      </c>
    </row>
    <row r="980" spans="1:6" x14ac:dyDescent="0.3">
      <c r="A980" t="s">
        <v>1962</v>
      </c>
      <c r="B980" t="str" cm="1">
        <f t="array" ref="B980">_xlfn.XLOOKUP(C980, INDEX([1]!카테고리매핑,,2), INDEX([1]!카테고리매핑,,1), "미등록 카테고리")</f>
        <v>상온식품</v>
      </c>
      <c r="C980" t="s">
        <v>769</v>
      </c>
      <c r="D980" t="str">
        <f>VLOOKUP(C980, '[1]VLOOKUP 함수용 카테고리'!$A$1:$B$59, 2, 0)</f>
        <v>GRAIN</v>
      </c>
      <c r="E980" t="s">
        <v>770</v>
      </c>
      <c r="F980" t="s">
        <v>1963</v>
      </c>
    </row>
    <row r="981" spans="1:6" x14ac:dyDescent="0.3">
      <c r="A981" t="s">
        <v>1964</v>
      </c>
      <c r="B981" t="str" cm="1">
        <f t="array" ref="B981">_xlfn.XLOOKUP(C981, INDEX([1]!카테고리매핑,,2), INDEX([1]!카테고리매핑,,1), "미등록 카테고리")</f>
        <v>간식류</v>
      </c>
      <c r="C981" t="s">
        <v>63</v>
      </c>
      <c r="D981" t="str">
        <f>VLOOKUP(C981, '[1]VLOOKUP 함수용 카테고리'!$A$1:$B$59, 2, 0)</f>
        <v>BAKERY</v>
      </c>
      <c r="E981" t="s">
        <v>1965</v>
      </c>
      <c r="F981" t="s">
        <v>1966</v>
      </c>
    </row>
    <row r="982" spans="1:6" x14ac:dyDescent="0.3">
      <c r="A982" t="s">
        <v>1967</v>
      </c>
      <c r="B982" t="str" cm="1">
        <f t="array" ref="B982">_xlfn.XLOOKUP(C982, INDEX([1]!카테고리매핑,,2), INDEX([1]!카테고리매핑,,1), "미등록 카테고리")</f>
        <v>간식류</v>
      </c>
      <c r="C982" t="s">
        <v>15</v>
      </c>
      <c r="D982" t="str">
        <f>VLOOKUP(C982, '[1]VLOOKUP 함수용 카테고리'!$A$1:$B$59, 2, 0)</f>
        <v>BAKERY</v>
      </c>
      <c r="E982" t="s">
        <v>1968</v>
      </c>
      <c r="F982" t="s">
        <v>1969</v>
      </c>
    </row>
    <row r="983" spans="1:6" x14ac:dyDescent="0.3">
      <c r="A983" t="s">
        <v>1970</v>
      </c>
      <c r="B983" t="str" cm="1">
        <f t="array" ref="B983">_xlfn.XLOOKUP(C983, INDEX([1]!카테고리매핑,,2), INDEX([1]!카테고리매핑,,1), "미등록 카테고리")</f>
        <v>유제품</v>
      </c>
      <c r="C983" t="s">
        <v>123</v>
      </c>
      <c r="D983" t="str">
        <f>VLOOKUP(C983, '[1]VLOOKUP 함수용 카테고리'!$A$1:$B$59, 2, 0)</f>
        <v>DAIRY</v>
      </c>
      <c r="E983" t="s">
        <v>1971</v>
      </c>
      <c r="F983" t="s">
        <v>7710</v>
      </c>
    </row>
    <row r="984" spans="1:6" x14ac:dyDescent="0.3">
      <c r="A984" t="s">
        <v>1972</v>
      </c>
      <c r="B984" t="str" cm="1">
        <f t="array" ref="B984">_xlfn.XLOOKUP(C984, INDEX([1]!카테고리매핑,,2), INDEX([1]!카테고리매핑,,1), "미등록 카테고리")</f>
        <v>간편식</v>
      </c>
      <c r="C984" t="s">
        <v>256</v>
      </c>
      <c r="D984" t="str">
        <f>VLOOKUP(C984, '[1]VLOOKUP 함수용 카테고리'!$A$1:$B$59, 2, 0)</f>
        <v>RTC_MEAL</v>
      </c>
      <c r="E984" t="s">
        <v>256</v>
      </c>
      <c r="F984" t="s">
        <v>568</v>
      </c>
    </row>
    <row r="985" spans="1:6" x14ac:dyDescent="0.3">
      <c r="A985" t="s">
        <v>1973</v>
      </c>
      <c r="B985" t="str" cm="1">
        <f t="array" ref="B985">_xlfn.XLOOKUP(C985, INDEX([1]!카테고리매핑,,2), INDEX([1]!카테고리매핑,,1), "미등록 카테고리")</f>
        <v>간편식</v>
      </c>
      <c r="C985" t="s">
        <v>158</v>
      </c>
      <c r="D985" t="str">
        <f>VLOOKUP(C985, '[1]VLOOKUP 함수용 카테고리'!$A$1:$B$59, 2, 0)</f>
        <v>INSTANT</v>
      </c>
      <c r="E985" t="s">
        <v>1974</v>
      </c>
      <c r="F985" t="s">
        <v>129</v>
      </c>
    </row>
    <row r="986" spans="1:6" x14ac:dyDescent="0.3">
      <c r="A986" t="s">
        <v>1975</v>
      </c>
      <c r="B986" t="str" cm="1">
        <f t="array" ref="B986">_xlfn.XLOOKUP(C986, INDEX([1]!카테고리매핑,,2), INDEX([1]!카테고리매핑,,1), "미등록 카테고리")</f>
        <v>과일/견과류</v>
      </c>
      <c r="C986" t="s">
        <v>1179</v>
      </c>
      <c r="D986" t="str">
        <f>VLOOKUP(C986, '[1]VLOOKUP 함수용 카테고리'!$A$1:$B$59, 2, 0)</f>
        <v>RAW_FRUIT</v>
      </c>
      <c r="E986" t="s">
        <v>1180</v>
      </c>
      <c r="F986" t="s">
        <v>1892</v>
      </c>
    </row>
    <row r="987" spans="1:6" x14ac:dyDescent="0.3">
      <c r="A987" t="s">
        <v>1976</v>
      </c>
      <c r="B987" t="str" cm="1">
        <f t="array" ref="B987">_xlfn.XLOOKUP(C987, INDEX([1]!카테고리매핑,,2), INDEX([1]!카테고리매핑,,1), "미등록 카테고리")</f>
        <v>간식류</v>
      </c>
      <c r="C987" t="s">
        <v>38</v>
      </c>
      <c r="D987" t="str">
        <f>VLOOKUP(C987, '[1]VLOOKUP 함수용 카테고리'!$A$1:$B$59, 2, 0)</f>
        <v>SNACK</v>
      </c>
      <c r="E987" t="s">
        <v>1977</v>
      </c>
      <c r="F987" t="s">
        <v>1978</v>
      </c>
    </row>
    <row r="988" spans="1:6" x14ac:dyDescent="0.3">
      <c r="A988" t="s">
        <v>1979</v>
      </c>
      <c r="B988" t="str" cm="1">
        <f t="array" ref="B988">_xlfn.XLOOKUP(C988, INDEX([1]!카테고리매핑,,2), INDEX([1]!카테고리매핑,,1), "미등록 카테고리")</f>
        <v>술</v>
      </c>
      <c r="C988" t="s">
        <v>42</v>
      </c>
      <c r="D988" t="str">
        <f>VLOOKUP(C988, '[1]VLOOKUP 함수용 카테고리'!$A$1:$B$59, 2, 0)</f>
        <v>ALCOHOL</v>
      </c>
      <c r="E988" t="s">
        <v>1074</v>
      </c>
    </row>
    <row r="989" spans="1:6" x14ac:dyDescent="0.3">
      <c r="A989" t="s">
        <v>1980</v>
      </c>
      <c r="B989" t="str" cm="1">
        <f t="array" ref="B989">_xlfn.XLOOKUP(C989, INDEX([1]!카테고리매핑,,2), INDEX([1]!카테고리매핑,,1), "미등록 카테고리")</f>
        <v>음료</v>
      </c>
      <c r="C989" t="s">
        <v>708</v>
      </c>
      <c r="D989" t="str">
        <f>VLOOKUP(C989, '[1]VLOOKUP 함수용 카테고리'!$A$1:$B$59, 2, 0)</f>
        <v>BEVERAGE</v>
      </c>
      <c r="E989" t="s">
        <v>708</v>
      </c>
      <c r="F989" t="s">
        <v>7740</v>
      </c>
    </row>
    <row r="990" spans="1:6" x14ac:dyDescent="0.3">
      <c r="A990" t="s">
        <v>1981</v>
      </c>
      <c r="B990" t="str" cm="1">
        <f t="array" ref="B990">_xlfn.XLOOKUP(C990, INDEX([1]!카테고리매핑,,2), INDEX([1]!카테고리매핑,,1), "미등록 카테고리")</f>
        <v>육류/계란</v>
      </c>
      <c r="C990" t="s">
        <v>34</v>
      </c>
      <c r="D990" t="str">
        <f>VLOOKUP(C990, '[1]VLOOKUP 함수용 카테고리'!$A$1:$B$59, 2, 0)</f>
        <v>RAW_MEAT</v>
      </c>
      <c r="E990" t="s">
        <v>35</v>
      </c>
      <c r="F990" t="s">
        <v>1982</v>
      </c>
    </row>
    <row r="991" spans="1:6" x14ac:dyDescent="0.3">
      <c r="A991" t="s">
        <v>1983</v>
      </c>
      <c r="B991" t="str" cm="1">
        <f t="array" ref="B991">_xlfn.XLOOKUP(C991, INDEX([1]!카테고리매핑,,2), INDEX([1]!카테고리매핑,,1), "미등록 카테고리")</f>
        <v>간식류</v>
      </c>
      <c r="C991" t="s">
        <v>63</v>
      </c>
      <c r="D991" t="str">
        <f>VLOOKUP(C991, '[1]VLOOKUP 함수용 카테고리'!$A$1:$B$59, 2, 0)</f>
        <v>BAKERY</v>
      </c>
      <c r="E991" t="s">
        <v>1984</v>
      </c>
      <c r="F991" t="s">
        <v>1985</v>
      </c>
    </row>
    <row r="992" spans="1:6" x14ac:dyDescent="0.3">
      <c r="A992" t="s">
        <v>1986</v>
      </c>
      <c r="B992" t="str" cm="1">
        <f t="array" ref="B992">_xlfn.XLOOKUP(C992, INDEX([1]!카테고리매핑,,2), INDEX([1]!카테고리매핑,,1), "미등록 카테고리")</f>
        <v>조미료</v>
      </c>
      <c r="C992" t="s">
        <v>117</v>
      </c>
      <c r="D992" t="str">
        <f>VLOOKUP(C992, '[1]VLOOKUP 함수용 카테고리'!$A$1:$B$59, 2, 0)</f>
        <v>SAUCE_SEASONING</v>
      </c>
      <c r="E992" t="s">
        <v>1987</v>
      </c>
      <c r="F992" t="s">
        <v>129</v>
      </c>
    </row>
    <row r="993" spans="1:6" x14ac:dyDescent="0.3">
      <c r="A993" t="s">
        <v>1988</v>
      </c>
      <c r="B993" t="str" cm="1">
        <f t="array" ref="B993">_xlfn.XLOOKUP(C993, INDEX([1]!카테고리매핑,,2), INDEX([1]!카테고리매핑,,1), "미등록 카테고리")</f>
        <v>간식류</v>
      </c>
      <c r="C993" t="s">
        <v>63</v>
      </c>
      <c r="D993" t="str">
        <f>VLOOKUP(C993, '[1]VLOOKUP 함수용 카테고리'!$A$1:$B$59, 2, 0)</f>
        <v>BAKERY</v>
      </c>
      <c r="E993" t="s">
        <v>1594</v>
      </c>
      <c r="F993" t="s">
        <v>169</v>
      </c>
    </row>
    <row r="994" spans="1:6" x14ac:dyDescent="0.3">
      <c r="A994" t="s">
        <v>1989</v>
      </c>
      <c r="B994" t="str" cm="1">
        <f t="array" ref="B994">_xlfn.XLOOKUP(C994, INDEX([1]!카테고리매핑,,2), INDEX([1]!카테고리매핑,,1), "미등록 카테고리")</f>
        <v>과일/견과류</v>
      </c>
      <c r="C994" t="s">
        <v>1179</v>
      </c>
      <c r="D994" t="str">
        <f>VLOOKUP(C994, '[1]VLOOKUP 함수용 카테고리'!$A$1:$B$59, 2, 0)</f>
        <v>RAW_FRUIT</v>
      </c>
      <c r="E994" t="s">
        <v>1990</v>
      </c>
      <c r="F994" t="s">
        <v>1892</v>
      </c>
    </row>
    <row r="995" spans="1:6" x14ac:dyDescent="0.3">
      <c r="A995" t="s">
        <v>1991</v>
      </c>
      <c r="B995" t="str" cm="1">
        <f t="array" ref="B995">_xlfn.XLOOKUP(C995, INDEX([1]!카테고리매핑,,2), INDEX([1]!카테고리매핑,,1), "미등록 카테고리")</f>
        <v>간편식</v>
      </c>
      <c r="C995" t="s">
        <v>131</v>
      </c>
      <c r="D995" t="str">
        <f>VLOOKUP(C995, '[1]VLOOKUP 함수용 카테고리'!$A$1:$B$59, 2, 0)</f>
        <v>SIMPLE_PROCESSED</v>
      </c>
      <c r="E995" t="s">
        <v>132</v>
      </c>
      <c r="F995" t="s">
        <v>133</v>
      </c>
    </row>
    <row r="996" spans="1:6" x14ac:dyDescent="0.3">
      <c r="A996" t="s">
        <v>1992</v>
      </c>
      <c r="B996" t="str" cm="1">
        <f t="array" ref="B996">_xlfn.XLOOKUP(C996, INDEX([1]!카테고리매핑,,2), INDEX([1]!카테고리매핑,,1), "미등록 카테고리")</f>
        <v>간식류</v>
      </c>
      <c r="C996" t="s">
        <v>11</v>
      </c>
      <c r="D996" t="str">
        <f>VLOOKUP(C996, '[1]VLOOKUP 함수용 카테고리'!$A$1:$B$59, 2, 0)</f>
        <v>SNACK</v>
      </c>
      <c r="E996" t="s">
        <v>594</v>
      </c>
      <c r="F996" t="s">
        <v>1892</v>
      </c>
    </row>
    <row r="997" spans="1:6" x14ac:dyDescent="0.3">
      <c r="A997" t="s">
        <v>1993</v>
      </c>
      <c r="B997" t="str" cm="1">
        <f t="array" ref="B997">_xlfn.XLOOKUP(C997, INDEX([1]!카테고리매핑,,2), INDEX([1]!카테고리매핑,,1), "미등록 카테고리")</f>
        <v>음료</v>
      </c>
      <c r="C997" t="s">
        <v>584</v>
      </c>
      <c r="D997" t="str">
        <f>VLOOKUP(C997, '[1]VLOOKUP 함수용 카테고리'!$A$1:$B$59, 2, 0)</f>
        <v>BEVERAGE</v>
      </c>
      <c r="E997" t="s">
        <v>1257</v>
      </c>
      <c r="F997" t="s">
        <v>1994</v>
      </c>
    </row>
    <row r="998" spans="1:6" x14ac:dyDescent="0.3">
      <c r="A998" t="s">
        <v>1995</v>
      </c>
      <c r="B998" t="str" cm="1">
        <f t="array" ref="B998">_xlfn.XLOOKUP(C998, INDEX([1]!카테고리매핑,,2), INDEX([1]!카테고리매핑,,1), "미등록 카테고리")</f>
        <v>간편식</v>
      </c>
      <c r="C998" t="s">
        <v>256</v>
      </c>
      <c r="D998" t="str">
        <f>VLOOKUP(C998, '[1]VLOOKUP 함수용 카테고리'!$A$1:$B$59, 2, 0)</f>
        <v>RTC_MEAL</v>
      </c>
      <c r="E998" t="s">
        <v>256</v>
      </c>
      <c r="F998" t="s">
        <v>1996</v>
      </c>
    </row>
    <row r="999" spans="1:6" x14ac:dyDescent="0.3">
      <c r="A999" t="s">
        <v>1997</v>
      </c>
      <c r="B999" t="str" cm="1">
        <f t="array" ref="B999">_xlfn.XLOOKUP(C999, INDEX([1]!카테고리매핑,,2), INDEX([1]!카테고리매핑,,1), "미등록 카테고리")</f>
        <v>간편식</v>
      </c>
      <c r="C999" t="s">
        <v>46</v>
      </c>
      <c r="D999" t="str">
        <f>VLOOKUP(C999, '[1]VLOOKUP 함수용 카테고리'!$A$1:$B$59, 2, 0)</f>
        <v>RTC_MEAL</v>
      </c>
      <c r="E999" t="s">
        <v>46</v>
      </c>
      <c r="F999" t="s">
        <v>760</v>
      </c>
    </row>
    <row r="1000" spans="1:6" x14ac:dyDescent="0.3">
      <c r="A1000" t="s">
        <v>1998</v>
      </c>
      <c r="B1000" t="str" cm="1">
        <f t="array" ref="B1000">_xlfn.XLOOKUP(C1000, INDEX([1]!카테고리매핑,,2), INDEX([1]!카테고리매핑,,1), "미등록 카테고리")</f>
        <v>수산물</v>
      </c>
      <c r="C1000" t="s">
        <v>1673</v>
      </c>
      <c r="D1000" t="str">
        <f>VLOOKUP(C1000, '[1]VLOOKUP 함수용 카테고리'!$A$1:$B$59, 2, 0)</f>
        <v>RAW_SEAFOOD</v>
      </c>
      <c r="E1000" t="s">
        <v>1674</v>
      </c>
      <c r="F1000" t="s">
        <v>1675</v>
      </c>
    </row>
    <row r="1001" spans="1:6" x14ac:dyDescent="0.3">
      <c r="A1001" t="s">
        <v>1999</v>
      </c>
      <c r="B1001" t="str" cm="1">
        <f t="array" ref="B1001">_xlfn.XLOOKUP(C1001, INDEX([1]!카테고리매핑,,2), INDEX([1]!카테고리매핑,,1), "미등록 카테고리")</f>
        <v>간편식</v>
      </c>
      <c r="C1001" t="s">
        <v>131</v>
      </c>
      <c r="D1001" t="str">
        <f>VLOOKUP(C1001, '[1]VLOOKUP 함수용 카테고리'!$A$1:$B$59, 2, 0)</f>
        <v>SIMPLE_PROCESSED</v>
      </c>
      <c r="E1001" t="s">
        <v>2000</v>
      </c>
      <c r="F1001" t="s">
        <v>2001</v>
      </c>
    </row>
    <row r="1002" spans="1:6" x14ac:dyDescent="0.3">
      <c r="A1002" t="s">
        <v>2002</v>
      </c>
      <c r="B1002" t="str" cm="1">
        <f t="array" ref="B1002">_xlfn.XLOOKUP(C1002, INDEX([1]!카테고리매핑,,2), INDEX([1]!카테고리매핑,,1), "미등록 카테고리")</f>
        <v>음료</v>
      </c>
      <c r="C1002" t="s">
        <v>23</v>
      </c>
      <c r="D1002" t="str">
        <f>VLOOKUP(C1002, '[1]VLOOKUP 함수용 카테고리'!$A$1:$B$59, 2, 0)</f>
        <v>BEVERAGE</v>
      </c>
      <c r="E1002" t="s">
        <v>1156</v>
      </c>
      <c r="F1002" t="s">
        <v>306</v>
      </c>
    </row>
    <row r="1003" spans="1:6" x14ac:dyDescent="0.3">
      <c r="A1003" t="s">
        <v>2003</v>
      </c>
      <c r="B1003" t="str" cm="1">
        <f t="array" ref="B1003">_xlfn.XLOOKUP(C1003, INDEX([1]!카테고리매핑,,2), INDEX([1]!카테고리매핑,,1), "미등록 카테고리")</f>
        <v>상온식품</v>
      </c>
      <c r="C1003" t="s">
        <v>769</v>
      </c>
      <c r="D1003" t="str">
        <f>VLOOKUP(C1003, '[1]VLOOKUP 함수용 카테고리'!$A$1:$B$59, 2, 0)</f>
        <v>GRAIN</v>
      </c>
      <c r="E1003" t="s">
        <v>1296</v>
      </c>
      <c r="F1003" t="s">
        <v>32</v>
      </c>
    </row>
    <row r="1004" spans="1:6" x14ac:dyDescent="0.3">
      <c r="A1004" t="s">
        <v>2004</v>
      </c>
      <c r="B1004" t="str" cm="1">
        <f t="array" ref="B1004">_xlfn.XLOOKUP(C1004, INDEX([1]!카테고리매핑,,2), INDEX([1]!카테고리매핑,,1), "미등록 카테고리")</f>
        <v>간편식</v>
      </c>
      <c r="C1004" t="s">
        <v>46</v>
      </c>
      <c r="D1004" t="str">
        <f>VLOOKUP(C1004, '[1]VLOOKUP 함수용 카테고리'!$A$1:$B$59, 2, 0)</f>
        <v>RTC_MEAL</v>
      </c>
      <c r="E1004" t="s">
        <v>46</v>
      </c>
      <c r="F1004" t="s">
        <v>2005</v>
      </c>
    </row>
    <row r="1005" spans="1:6" x14ac:dyDescent="0.3">
      <c r="A1005" t="s">
        <v>2006</v>
      </c>
      <c r="B1005" t="str" cm="1">
        <f t="array" ref="B1005">_xlfn.XLOOKUP(C1005, INDEX([1]!카테고리매핑,,2), INDEX([1]!카테고리매핑,,1), "미등록 카테고리")</f>
        <v>조미료</v>
      </c>
      <c r="C1005" t="s">
        <v>558</v>
      </c>
      <c r="D1005" t="str">
        <f>VLOOKUP(C1005, '[1]VLOOKUP 함수용 카테고리'!$A$1:$B$59, 2, 0)</f>
        <v>SAUCE_SEASONING</v>
      </c>
      <c r="E1005" t="s">
        <v>956</v>
      </c>
      <c r="F1005" t="s">
        <v>2007</v>
      </c>
    </row>
    <row r="1006" spans="1:6" x14ac:dyDescent="0.3">
      <c r="A1006" t="s">
        <v>2008</v>
      </c>
      <c r="B1006" t="str" cm="1">
        <f t="array" ref="B1006">_xlfn.XLOOKUP(C1006, INDEX([1]!카테고리매핑,,2), INDEX([1]!카테고리매핑,,1), "미등록 카테고리")</f>
        <v>육류/계란</v>
      </c>
      <c r="C1006" t="s">
        <v>298</v>
      </c>
      <c r="D1006" t="str">
        <f>VLOOKUP(C1006, '[1]VLOOKUP 함수용 카테고리'!$A$1:$B$59, 2, 0)</f>
        <v>RAW_MEAT</v>
      </c>
      <c r="E1006" t="s">
        <v>298</v>
      </c>
      <c r="F1006" t="s">
        <v>151</v>
      </c>
    </row>
    <row r="1007" spans="1:6" x14ac:dyDescent="0.3">
      <c r="A1007" t="s">
        <v>2009</v>
      </c>
      <c r="B1007" t="str" cm="1">
        <f t="array" ref="B1007">_xlfn.XLOOKUP(C1007, INDEX([1]!카테고리매핑,,2), INDEX([1]!카테고리매핑,,1), "미등록 카테고리")</f>
        <v>육류/계란</v>
      </c>
      <c r="C1007" t="s">
        <v>34</v>
      </c>
      <c r="D1007" t="str">
        <f>VLOOKUP(C1007, '[1]VLOOKUP 함수용 카테고리'!$A$1:$B$59, 2, 0)</f>
        <v>RAW_MEAT</v>
      </c>
      <c r="E1007" t="s">
        <v>35</v>
      </c>
      <c r="F1007" t="s">
        <v>36</v>
      </c>
    </row>
    <row r="1008" spans="1:6" x14ac:dyDescent="0.3">
      <c r="A1008" t="s">
        <v>2010</v>
      </c>
      <c r="B1008" t="str" cm="1">
        <f t="array" ref="B1008">_xlfn.XLOOKUP(C1008, INDEX([1]!카테고리매핑,,2), INDEX([1]!카테고리매핑,,1), "미등록 카테고리")</f>
        <v>조미료</v>
      </c>
      <c r="C1008" t="s">
        <v>127</v>
      </c>
      <c r="D1008" t="str">
        <f>VLOOKUP(C1008, '[1]VLOOKUP 함수용 카테고리'!$A$1:$B$59, 2, 0)</f>
        <v>SAUCE_SEASONING</v>
      </c>
      <c r="E1008" t="s">
        <v>340</v>
      </c>
      <c r="F1008" t="s">
        <v>341</v>
      </c>
    </row>
    <row r="1009" spans="1:6" x14ac:dyDescent="0.3">
      <c r="A1009" t="s">
        <v>2011</v>
      </c>
      <c r="B1009" t="str" cm="1">
        <f t="array" ref="B1009">_xlfn.XLOOKUP(C1009, INDEX([1]!카테고리매핑,,2), INDEX([1]!카테고리매핑,,1), "미등록 카테고리")</f>
        <v>간편식</v>
      </c>
      <c r="C1009" t="s">
        <v>19</v>
      </c>
      <c r="D1009" t="str">
        <f>VLOOKUP(C1009, '[1]VLOOKUP 함수용 카테고리'!$A$1:$B$59, 2, 0)</f>
        <v>FROZEN_MEAL</v>
      </c>
      <c r="E1009" t="s">
        <v>1115</v>
      </c>
      <c r="F1009" t="s">
        <v>72</v>
      </c>
    </row>
    <row r="1010" spans="1:6" x14ac:dyDescent="0.3">
      <c r="A1010" t="s">
        <v>2012</v>
      </c>
      <c r="B1010" t="str" cm="1">
        <f t="array" ref="B1010">_xlfn.XLOOKUP(C1010, INDEX([1]!카테고리매핑,,2), INDEX([1]!카테고리매핑,,1), "미등록 카테고리")</f>
        <v>간식류</v>
      </c>
      <c r="C1010" t="s">
        <v>11</v>
      </c>
      <c r="D1010" t="str">
        <f>VLOOKUP(C1010, '[1]VLOOKUP 함수용 카테고리'!$A$1:$B$59, 2, 0)</f>
        <v>SNACK</v>
      </c>
      <c r="E1010" t="s">
        <v>1775</v>
      </c>
      <c r="F1010" t="s">
        <v>2013</v>
      </c>
    </row>
    <row r="1011" spans="1:6" x14ac:dyDescent="0.3">
      <c r="A1011" t="s">
        <v>2014</v>
      </c>
      <c r="B1011" t="str" cm="1">
        <f t="array" ref="B1011">_xlfn.XLOOKUP(C1011, INDEX([1]!카테고리매핑,,2), INDEX([1]!카테고리매핑,,1), "미등록 카테고리")</f>
        <v>음료</v>
      </c>
      <c r="C1011" t="s">
        <v>23</v>
      </c>
      <c r="D1011" t="str">
        <f>VLOOKUP(C1011, '[1]VLOOKUP 함수용 카테고리'!$A$1:$B$59, 2, 0)</f>
        <v>BEVERAGE</v>
      </c>
      <c r="E1011" t="s">
        <v>288</v>
      </c>
      <c r="F1011" t="s">
        <v>2015</v>
      </c>
    </row>
    <row r="1012" spans="1:6" x14ac:dyDescent="0.3">
      <c r="A1012" t="s">
        <v>2016</v>
      </c>
      <c r="B1012" t="str" cm="1">
        <f t="array" ref="B1012">_xlfn.XLOOKUP(C1012, INDEX([1]!카테고리매핑,,2), INDEX([1]!카테고리매핑,,1), "미등록 카테고리")</f>
        <v>간식류</v>
      </c>
      <c r="C1012" t="s">
        <v>38</v>
      </c>
      <c r="D1012" t="str">
        <f>VLOOKUP(C1012, '[1]VLOOKUP 함수용 카테고리'!$A$1:$B$59, 2, 0)</f>
        <v>SNACK</v>
      </c>
      <c r="E1012" t="s">
        <v>2017</v>
      </c>
      <c r="F1012" t="s">
        <v>2017</v>
      </c>
    </row>
    <row r="1013" spans="1:6" x14ac:dyDescent="0.3">
      <c r="A1013" t="s">
        <v>2018</v>
      </c>
      <c r="B1013" t="str" cm="1">
        <f t="array" ref="B1013">_xlfn.XLOOKUP(C1013, INDEX([1]!카테고리매핑,,2), INDEX([1]!카테고리매핑,,1), "미등록 카테고리")</f>
        <v>간식류</v>
      </c>
      <c r="C1013" t="s">
        <v>63</v>
      </c>
      <c r="D1013" t="str">
        <f>VLOOKUP(C1013, '[1]VLOOKUP 함수용 카테고리'!$A$1:$B$59, 2, 0)</f>
        <v>BAKERY</v>
      </c>
      <c r="E1013" t="s">
        <v>2019</v>
      </c>
      <c r="F1013" t="s">
        <v>7741</v>
      </c>
    </row>
    <row r="1014" spans="1:6" x14ac:dyDescent="0.3">
      <c r="A1014" t="s">
        <v>2020</v>
      </c>
      <c r="B1014" t="str" cm="1">
        <f t="array" ref="B1014">_xlfn.XLOOKUP(C1014, INDEX([1]!카테고리매핑,,2), INDEX([1]!카테고리매핑,,1), "미등록 카테고리")</f>
        <v>상온식품</v>
      </c>
      <c r="C1014" t="s">
        <v>276</v>
      </c>
      <c r="D1014" t="str">
        <f>VLOOKUP(C1014, '[1]VLOOKUP 함수용 카테고리'!$A$1:$B$59, 2, 0)</f>
        <v>DRIED_SEAFOOD</v>
      </c>
      <c r="E1014" t="s">
        <v>277</v>
      </c>
      <c r="F1014" t="s">
        <v>7742</v>
      </c>
    </row>
    <row r="1015" spans="1:6" x14ac:dyDescent="0.3">
      <c r="A1015" t="s">
        <v>2021</v>
      </c>
      <c r="B1015" t="str" cm="1">
        <f t="array" ref="B1015">_xlfn.XLOOKUP(C1015, INDEX([1]!카테고리매핑,,2), INDEX([1]!카테고리매핑,,1), "미등록 카테고리")</f>
        <v>유제품</v>
      </c>
      <c r="C1015" t="s">
        <v>123</v>
      </c>
      <c r="D1015" t="str">
        <f>VLOOKUP(C1015, '[1]VLOOKUP 함수용 카테고리'!$A$1:$B$59, 2, 0)</f>
        <v>DAIRY</v>
      </c>
      <c r="E1015" t="s">
        <v>190</v>
      </c>
      <c r="F1015" t="s">
        <v>191</v>
      </c>
    </row>
    <row r="1016" spans="1:6" x14ac:dyDescent="0.3">
      <c r="A1016" t="s">
        <v>2022</v>
      </c>
      <c r="B1016" t="str" cm="1">
        <f t="array" ref="B1016">_xlfn.XLOOKUP(C1016, INDEX([1]!카테고리매핑,,2), INDEX([1]!카테고리매핑,,1), "미등록 카테고리")</f>
        <v>채소/곡물류</v>
      </c>
      <c r="C1016" t="s">
        <v>301</v>
      </c>
      <c r="D1016" t="str">
        <f>VLOOKUP(C1016, '[1]VLOOKUP 함수용 카테고리'!$A$1:$B$59, 2, 0)</f>
        <v>GRAIN</v>
      </c>
      <c r="E1016" t="s">
        <v>2023</v>
      </c>
      <c r="F1016" t="s">
        <v>1043</v>
      </c>
    </row>
    <row r="1017" spans="1:6" x14ac:dyDescent="0.3">
      <c r="A1017" t="s">
        <v>2024</v>
      </c>
      <c r="B1017" t="str" cm="1">
        <f t="array" ref="B1017">_xlfn.XLOOKUP(C1017, INDEX([1]!카테고리매핑,,2), INDEX([1]!카테고리매핑,,1), "미등록 카테고리")</f>
        <v>조미료</v>
      </c>
      <c r="C1017" t="s">
        <v>117</v>
      </c>
      <c r="D1017" t="str">
        <f>VLOOKUP(C1017, '[1]VLOOKUP 함수용 카테고리'!$A$1:$B$59, 2, 0)</f>
        <v>SAUCE_SEASONING</v>
      </c>
      <c r="E1017" t="s">
        <v>2025</v>
      </c>
      <c r="F1017" t="s">
        <v>1892</v>
      </c>
    </row>
    <row r="1018" spans="1:6" x14ac:dyDescent="0.3">
      <c r="A1018" t="s">
        <v>2026</v>
      </c>
      <c r="B1018" t="str" cm="1">
        <f t="array" ref="B1018">_xlfn.XLOOKUP(C1018, INDEX([1]!카테고리매핑,,2), INDEX([1]!카테고리매핑,,1), "미등록 카테고리")</f>
        <v>육류/계란</v>
      </c>
      <c r="C1018" t="s">
        <v>149</v>
      </c>
      <c r="D1018" t="str">
        <f>VLOOKUP(C1018, '[1]VLOOKUP 함수용 카테고리'!$A$1:$B$59, 2, 0)</f>
        <v>RAW_MEAT</v>
      </c>
      <c r="E1018" t="s">
        <v>1151</v>
      </c>
      <c r="F1018" t="s">
        <v>994</v>
      </c>
    </row>
    <row r="1019" spans="1:6" x14ac:dyDescent="0.3">
      <c r="A1019" t="s">
        <v>2027</v>
      </c>
      <c r="B1019" t="str" cm="1">
        <f t="array" ref="B1019">_xlfn.XLOOKUP(C1019, INDEX([1]!카테고리매핑,,2), INDEX([1]!카테고리매핑,,1), "미등록 카테고리")</f>
        <v>채소/곡물류</v>
      </c>
      <c r="C1019" t="s">
        <v>7</v>
      </c>
      <c r="D1019" t="str">
        <f>VLOOKUP(C1019, '[1]VLOOKUP 함수용 카테고리'!$A$1:$B$59, 2, 0)</f>
        <v>RAW_PRODUCE</v>
      </c>
      <c r="E1019" t="s">
        <v>1177</v>
      </c>
    </row>
    <row r="1020" spans="1:6" x14ac:dyDescent="0.3">
      <c r="A1020" t="s">
        <v>2028</v>
      </c>
      <c r="B1020" t="str" cm="1">
        <f t="array" ref="B1020">_xlfn.XLOOKUP(C1020, INDEX([1]!카테고리매핑,,2), INDEX([1]!카테고리매핑,,1), "미등록 카테고리")</f>
        <v>육류/계란</v>
      </c>
      <c r="C1020" t="s">
        <v>428</v>
      </c>
      <c r="D1020" t="str">
        <f>VLOOKUP(C1020, '[1]VLOOKUP 함수용 카테고리'!$A$1:$B$59, 2, 0)</f>
        <v>PROCESSED_MEAT</v>
      </c>
      <c r="E1020" t="s">
        <v>2029</v>
      </c>
      <c r="F1020" t="s">
        <v>1003</v>
      </c>
    </row>
    <row r="1021" spans="1:6" x14ac:dyDescent="0.3">
      <c r="A1021" t="s">
        <v>2030</v>
      </c>
      <c r="B1021" t="str" cm="1">
        <f t="array" ref="B1021">_xlfn.XLOOKUP(C1021, INDEX([1]!카테고리매핑,,2), INDEX([1]!카테고리매핑,,1), "미등록 카테고리")</f>
        <v>상온식품</v>
      </c>
      <c r="C1021" t="s">
        <v>1104</v>
      </c>
      <c r="D1021" t="str">
        <f>VLOOKUP(C1021, '[1]VLOOKUP 함수용 카테고리'!$A$1:$B$59, 2, 0)</f>
        <v>CANNED</v>
      </c>
      <c r="E1021" t="s">
        <v>1105</v>
      </c>
      <c r="F1021" t="s">
        <v>1106</v>
      </c>
    </row>
    <row r="1022" spans="1:6" x14ac:dyDescent="0.3">
      <c r="A1022" t="s">
        <v>2031</v>
      </c>
      <c r="B1022" t="str" cm="1">
        <f t="array" ref="B1022">_xlfn.XLOOKUP(C1022, INDEX([1]!카테고리매핑,,2), INDEX([1]!카테고리매핑,,1), "미등록 카테고리")</f>
        <v>간식류</v>
      </c>
      <c r="C1022" t="s">
        <v>15</v>
      </c>
      <c r="D1022" t="str">
        <f>VLOOKUP(C1022, '[1]VLOOKUP 함수용 카테고리'!$A$1:$B$59, 2, 0)</f>
        <v>BAKERY</v>
      </c>
      <c r="E1022" t="s">
        <v>53</v>
      </c>
      <c r="F1022" t="s">
        <v>125</v>
      </c>
    </row>
    <row r="1023" spans="1:6" x14ac:dyDescent="0.3">
      <c r="A1023" t="s">
        <v>2032</v>
      </c>
      <c r="B1023" t="str" cm="1">
        <f t="array" ref="B1023">_xlfn.XLOOKUP(C1023, INDEX([1]!카테고리매핑,,2), INDEX([1]!카테고리매핑,,1), "미등록 카테고리")</f>
        <v>상온식품</v>
      </c>
      <c r="C1023" t="s">
        <v>1104</v>
      </c>
      <c r="D1023" t="str">
        <f>VLOOKUP(C1023, '[1]VLOOKUP 함수용 카테고리'!$A$1:$B$59, 2, 0)</f>
        <v>CANNED</v>
      </c>
      <c r="E1023" t="s">
        <v>2033</v>
      </c>
    </row>
    <row r="1024" spans="1:6" x14ac:dyDescent="0.3">
      <c r="A1024" t="s">
        <v>2034</v>
      </c>
      <c r="B1024" t="str" cm="1">
        <f t="array" ref="B1024">_xlfn.XLOOKUP(C1024, INDEX([1]!카테고리매핑,,2), INDEX([1]!카테고리매핑,,1), "미등록 카테고리")</f>
        <v>미등록 카테고리</v>
      </c>
      <c r="C1024" t="s">
        <v>334</v>
      </c>
      <c r="D1024" t="str">
        <f>VLOOKUP(C1024, '[1]VLOOKUP 함수용 카테고리'!$A$1:$B$59, 2, 0)</f>
        <v>UNKNOWN</v>
      </c>
      <c r="E1024" t="s">
        <v>334</v>
      </c>
      <c r="F1024" t="s">
        <v>1188</v>
      </c>
    </row>
    <row r="1025" spans="1:6" x14ac:dyDescent="0.3">
      <c r="A1025" t="s">
        <v>2035</v>
      </c>
      <c r="B1025" t="str" cm="1">
        <f t="array" ref="B1025">_xlfn.XLOOKUP(C1025, INDEX([1]!카테고리매핑,,2), INDEX([1]!카테고리매핑,,1), "미등록 카테고리")</f>
        <v>음료</v>
      </c>
      <c r="C1025" t="s">
        <v>23</v>
      </c>
      <c r="D1025" t="str">
        <f>VLOOKUP(C1025, '[1]VLOOKUP 함수용 카테고리'!$A$1:$B$59, 2, 0)</f>
        <v>BEVERAGE</v>
      </c>
      <c r="E1025" t="s">
        <v>288</v>
      </c>
      <c r="F1025" t="s">
        <v>1600</v>
      </c>
    </row>
    <row r="1026" spans="1:6" x14ac:dyDescent="0.3">
      <c r="A1026" t="s">
        <v>2036</v>
      </c>
      <c r="B1026" t="str" cm="1">
        <f t="array" ref="B1026">_xlfn.XLOOKUP(C1026, INDEX([1]!카테고리매핑,,2), INDEX([1]!카테고리매핑,,1), "미등록 카테고리")</f>
        <v>수산물</v>
      </c>
      <c r="C1026" t="s">
        <v>140</v>
      </c>
      <c r="D1026" t="str">
        <f>VLOOKUP(C1026, '[1]VLOOKUP 함수용 카테고리'!$A$1:$B$59, 2, 0)</f>
        <v>SIMPLE_PROCESSED</v>
      </c>
      <c r="E1026" t="s">
        <v>141</v>
      </c>
      <c r="F1026" t="s">
        <v>391</v>
      </c>
    </row>
    <row r="1027" spans="1:6" x14ac:dyDescent="0.3">
      <c r="A1027" t="s">
        <v>2037</v>
      </c>
      <c r="B1027" t="str" cm="1">
        <f t="array" ref="B1027">_xlfn.XLOOKUP(C1027, INDEX([1]!카테고리매핑,,2), INDEX([1]!카테고리매핑,,1), "미등록 카테고리")</f>
        <v>조미료</v>
      </c>
      <c r="C1027" t="s">
        <v>117</v>
      </c>
      <c r="D1027" t="str">
        <f>VLOOKUP(C1027, '[1]VLOOKUP 함수용 카테고리'!$A$1:$B$59, 2, 0)</f>
        <v>SAUCE_SEASONING</v>
      </c>
      <c r="E1027" t="s">
        <v>2038</v>
      </c>
      <c r="F1027" t="s">
        <v>1892</v>
      </c>
    </row>
    <row r="1028" spans="1:6" x14ac:dyDescent="0.3">
      <c r="A1028" t="s">
        <v>2039</v>
      </c>
      <c r="B1028" t="str" cm="1">
        <f t="array" ref="B1028">_xlfn.XLOOKUP(C1028, INDEX([1]!카테고리매핑,,2), INDEX([1]!카테고리매핑,,1), "미등록 카테고리")</f>
        <v>간식류</v>
      </c>
      <c r="C1028" t="s">
        <v>63</v>
      </c>
      <c r="D1028" t="str">
        <f>VLOOKUP(C1028, '[1]VLOOKUP 함수용 카테고리'!$A$1:$B$59, 2, 0)</f>
        <v>BAKERY</v>
      </c>
      <c r="E1028" t="s">
        <v>2040</v>
      </c>
      <c r="F1028" t="s">
        <v>2041</v>
      </c>
    </row>
    <row r="1029" spans="1:6" x14ac:dyDescent="0.3">
      <c r="A1029" t="s">
        <v>2042</v>
      </c>
      <c r="B1029" t="str" cm="1">
        <f t="array" ref="B1029">_xlfn.XLOOKUP(C1029, INDEX([1]!카테고리매핑,,2), INDEX([1]!카테고리매핑,,1), "미등록 카테고리")</f>
        <v>수산물</v>
      </c>
      <c r="C1029" t="s">
        <v>203</v>
      </c>
      <c r="D1029" t="str">
        <f>VLOOKUP(C1029, '[1]VLOOKUP 함수용 카테고리'!$A$1:$B$59, 2, 0)</f>
        <v>RAW_SEAFOOD</v>
      </c>
      <c r="E1029" t="s">
        <v>2043</v>
      </c>
      <c r="F1029" t="s">
        <v>1399</v>
      </c>
    </row>
    <row r="1030" spans="1:6" x14ac:dyDescent="0.3">
      <c r="A1030" t="s">
        <v>2044</v>
      </c>
      <c r="B1030" t="str" cm="1">
        <f t="array" ref="B1030">_xlfn.XLOOKUP(C1030, INDEX([1]!카테고리매핑,,2), INDEX([1]!카테고리매핑,,1), "미등록 카테고리")</f>
        <v>수산물</v>
      </c>
      <c r="C1030" t="s">
        <v>101</v>
      </c>
      <c r="D1030" t="str">
        <f>VLOOKUP(C1030, '[1]VLOOKUP 함수용 카테고리'!$A$1:$B$59, 2, 0)</f>
        <v>DRIED_SEAFOOD</v>
      </c>
      <c r="E1030" t="s">
        <v>601</v>
      </c>
      <c r="F1030" t="s">
        <v>182</v>
      </c>
    </row>
    <row r="1031" spans="1:6" x14ac:dyDescent="0.3">
      <c r="A1031" t="s">
        <v>2045</v>
      </c>
      <c r="B1031" t="str" cm="1">
        <f t="array" ref="B1031">_xlfn.XLOOKUP(C1031, INDEX([1]!카테고리매핑,,2), INDEX([1]!카테고리매핑,,1), "미등록 카테고리")</f>
        <v>간식류</v>
      </c>
      <c r="C1031" t="s">
        <v>63</v>
      </c>
      <c r="D1031" t="str">
        <f>VLOOKUP(C1031, '[1]VLOOKUP 함수용 카테고리'!$A$1:$B$59, 2, 0)</f>
        <v>BAKERY</v>
      </c>
      <c r="E1031" t="s">
        <v>513</v>
      </c>
      <c r="F1031" t="s">
        <v>497</v>
      </c>
    </row>
    <row r="1032" spans="1:6" x14ac:dyDescent="0.3">
      <c r="A1032" t="s">
        <v>2046</v>
      </c>
      <c r="B1032" t="str" cm="1">
        <f t="array" ref="B1032">_xlfn.XLOOKUP(C1032, INDEX([1]!카테고리매핑,,2), INDEX([1]!카테고리매핑,,1), "미등록 카테고리")</f>
        <v>간편식</v>
      </c>
      <c r="C1032" t="s">
        <v>19</v>
      </c>
      <c r="D1032" t="str">
        <f>VLOOKUP(C1032, '[1]VLOOKUP 함수용 카테고리'!$A$1:$B$59, 2, 0)</f>
        <v>FROZEN_MEAL</v>
      </c>
      <c r="E1032" t="s">
        <v>245</v>
      </c>
      <c r="F1032" t="s">
        <v>1888</v>
      </c>
    </row>
    <row r="1033" spans="1:6" x14ac:dyDescent="0.3">
      <c r="A1033" t="s">
        <v>2047</v>
      </c>
      <c r="B1033" t="str" cm="1">
        <f t="array" ref="B1033">_xlfn.XLOOKUP(C1033, INDEX([1]!카테고리매핑,,2), INDEX([1]!카테고리매핑,,1), "미등록 카테고리")</f>
        <v>간식류</v>
      </c>
      <c r="C1033" t="s">
        <v>11</v>
      </c>
      <c r="D1033" t="str">
        <f>VLOOKUP(C1033, '[1]VLOOKUP 함수용 카테고리'!$A$1:$B$59, 2, 0)</f>
        <v>SNACK</v>
      </c>
      <c r="E1033" t="s">
        <v>2048</v>
      </c>
      <c r="F1033" t="s">
        <v>2049</v>
      </c>
    </row>
    <row r="1034" spans="1:6" x14ac:dyDescent="0.3">
      <c r="A1034" t="s">
        <v>2050</v>
      </c>
      <c r="B1034" t="str" cm="1">
        <f t="array" ref="B1034">_xlfn.XLOOKUP(C1034, INDEX([1]!카테고리매핑,,2), INDEX([1]!카테고리매핑,,1), "미등록 카테고리")</f>
        <v>음료</v>
      </c>
      <c r="C1034" t="s">
        <v>23</v>
      </c>
      <c r="D1034" t="str">
        <f>VLOOKUP(C1034, '[1]VLOOKUP 함수용 카테고리'!$A$1:$B$59, 2, 0)</f>
        <v>BEVERAGE</v>
      </c>
      <c r="E1034" t="s">
        <v>2051</v>
      </c>
      <c r="F1034" t="s">
        <v>1381</v>
      </c>
    </row>
    <row r="1035" spans="1:6" x14ac:dyDescent="0.3">
      <c r="A1035" t="s">
        <v>2052</v>
      </c>
      <c r="B1035" t="str" cm="1">
        <f t="array" ref="B1035">_xlfn.XLOOKUP(C1035, INDEX([1]!카테고리매핑,,2), INDEX([1]!카테고리매핑,,1), "미등록 카테고리")</f>
        <v>채소/곡물류</v>
      </c>
      <c r="C1035" t="s">
        <v>7</v>
      </c>
      <c r="D1035" t="str">
        <f>VLOOKUP(C1035, '[1]VLOOKUP 함수용 카테고리'!$A$1:$B$59, 2, 0)</f>
        <v>RAW_PRODUCE</v>
      </c>
      <c r="E1035" t="s">
        <v>2053</v>
      </c>
      <c r="F1035" t="s">
        <v>2054</v>
      </c>
    </row>
    <row r="1036" spans="1:6" x14ac:dyDescent="0.3">
      <c r="A1036" t="s">
        <v>2055</v>
      </c>
      <c r="B1036" t="str" cm="1">
        <f t="array" ref="B1036">_xlfn.XLOOKUP(C1036, INDEX([1]!카테고리매핑,,2), INDEX([1]!카테고리매핑,,1), "미등록 카테고리")</f>
        <v>조미료</v>
      </c>
      <c r="C1036" t="s">
        <v>83</v>
      </c>
      <c r="D1036" t="str">
        <f>VLOOKUP(C1036, '[1]VLOOKUP 함수용 카테고리'!$A$1:$B$59, 2, 0)</f>
        <v>SAUCE_SEASONING</v>
      </c>
      <c r="E1036" t="s">
        <v>2056</v>
      </c>
      <c r="F1036" t="s">
        <v>2057</v>
      </c>
    </row>
    <row r="1037" spans="1:6" x14ac:dyDescent="0.3">
      <c r="A1037" t="s">
        <v>2058</v>
      </c>
      <c r="B1037" t="str" cm="1">
        <f t="array" ref="B1037">_xlfn.XLOOKUP(C1037, INDEX([1]!카테고리매핑,,2), INDEX([1]!카테고리매핑,,1), "미등록 카테고리")</f>
        <v>채소/곡물류</v>
      </c>
      <c r="C1037" t="s">
        <v>301</v>
      </c>
      <c r="D1037" t="str">
        <f>VLOOKUP(C1037, '[1]VLOOKUP 함수용 카테고리'!$A$1:$B$59, 2, 0)</f>
        <v>GRAIN</v>
      </c>
      <c r="E1037" t="s">
        <v>611</v>
      </c>
      <c r="F1037" t="s">
        <v>2059</v>
      </c>
    </row>
    <row r="1038" spans="1:6" x14ac:dyDescent="0.3">
      <c r="A1038" t="s">
        <v>2060</v>
      </c>
      <c r="B1038" t="str" cm="1">
        <f t="array" ref="B1038">_xlfn.XLOOKUP(C1038, INDEX([1]!카테고리매핑,,2), INDEX([1]!카테고리매핑,,1), "미등록 카테고리")</f>
        <v>간식류</v>
      </c>
      <c r="C1038" t="s">
        <v>63</v>
      </c>
      <c r="D1038" t="str">
        <f>VLOOKUP(C1038, '[1]VLOOKUP 함수용 카테고리'!$A$1:$B$59, 2, 0)</f>
        <v>BAKERY</v>
      </c>
      <c r="E1038" t="s">
        <v>64</v>
      </c>
      <c r="F1038" t="s">
        <v>7743</v>
      </c>
    </row>
    <row r="1039" spans="1:6" x14ac:dyDescent="0.3">
      <c r="A1039" t="s">
        <v>2061</v>
      </c>
      <c r="B1039" t="str" cm="1">
        <f t="array" ref="B1039">_xlfn.XLOOKUP(C1039, INDEX([1]!카테고리매핑,,2), INDEX([1]!카테고리매핑,,1), "미등록 카테고리")</f>
        <v>수산물</v>
      </c>
      <c r="C1039" t="s">
        <v>101</v>
      </c>
      <c r="D1039" t="str">
        <f>VLOOKUP(C1039, '[1]VLOOKUP 함수용 카테고리'!$A$1:$B$59, 2, 0)</f>
        <v>DRIED_SEAFOOD</v>
      </c>
      <c r="E1039" t="s">
        <v>665</v>
      </c>
      <c r="F1039" t="s">
        <v>666</v>
      </c>
    </row>
    <row r="1040" spans="1:6" x14ac:dyDescent="0.3">
      <c r="A1040" t="s">
        <v>2062</v>
      </c>
      <c r="B1040" t="str" cm="1">
        <f t="array" ref="B1040">_xlfn.XLOOKUP(C1040, INDEX([1]!카테고리매핑,,2), INDEX([1]!카테고리매핑,,1), "미등록 카테고리")</f>
        <v>간식류</v>
      </c>
      <c r="C1040" t="s">
        <v>63</v>
      </c>
      <c r="D1040" t="str">
        <f>VLOOKUP(C1040, '[1]VLOOKUP 함수용 카테고리'!$A$1:$B$59, 2, 0)</f>
        <v>BAKERY</v>
      </c>
      <c r="E1040" t="s">
        <v>496</v>
      </c>
      <c r="F1040" t="s">
        <v>2063</v>
      </c>
    </row>
    <row r="1041" spans="1:6" x14ac:dyDescent="0.3">
      <c r="A1041" t="s">
        <v>2064</v>
      </c>
      <c r="B1041" t="str" cm="1">
        <f t="array" ref="B1041">_xlfn.XLOOKUP(C1041, INDEX([1]!카테고리매핑,,2), INDEX([1]!카테고리매핑,,1), "미등록 카테고리")</f>
        <v>간식류</v>
      </c>
      <c r="C1041" t="s">
        <v>63</v>
      </c>
      <c r="D1041" t="str">
        <f>VLOOKUP(C1041, '[1]VLOOKUP 함수용 카테고리'!$A$1:$B$59, 2, 0)</f>
        <v>BAKERY</v>
      </c>
      <c r="E1041" t="s">
        <v>1594</v>
      </c>
      <c r="F1041" t="s">
        <v>2065</v>
      </c>
    </row>
    <row r="1042" spans="1:6" x14ac:dyDescent="0.3">
      <c r="A1042" t="s">
        <v>2066</v>
      </c>
      <c r="B1042" t="str" cm="1">
        <f t="array" ref="B1042">_xlfn.XLOOKUP(C1042, INDEX([1]!카테고리매핑,,2), INDEX([1]!카테고리매핑,,1), "미등록 카테고리")</f>
        <v>유제품</v>
      </c>
      <c r="C1042" t="s">
        <v>98</v>
      </c>
      <c r="D1042" t="str">
        <f>VLOOKUP(C1042, '[1]VLOOKUP 함수용 카테고리'!$A$1:$B$59, 2, 0)</f>
        <v>DAIRY</v>
      </c>
      <c r="E1042" t="s">
        <v>98</v>
      </c>
      <c r="F1042" t="s">
        <v>7744</v>
      </c>
    </row>
    <row r="1043" spans="1:6" x14ac:dyDescent="0.3">
      <c r="A1043" t="s">
        <v>2067</v>
      </c>
      <c r="B1043" t="str" cm="1">
        <f t="array" ref="B1043">_xlfn.XLOOKUP(C1043, INDEX([1]!카테고리매핑,,2), INDEX([1]!카테고리매핑,,1), "미등록 카테고리")</f>
        <v>채소/곡물류</v>
      </c>
      <c r="C1043" t="s">
        <v>7</v>
      </c>
      <c r="D1043" t="str">
        <f>VLOOKUP(C1043, '[1]VLOOKUP 함수용 카테고리'!$A$1:$B$59, 2, 0)</f>
        <v>RAW_PRODUCE</v>
      </c>
      <c r="E1043" t="s">
        <v>2068</v>
      </c>
      <c r="F1043" t="s">
        <v>7745</v>
      </c>
    </row>
    <row r="1044" spans="1:6" x14ac:dyDescent="0.3">
      <c r="A1044" t="s">
        <v>2069</v>
      </c>
      <c r="B1044" t="str" cm="1">
        <f t="array" ref="B1044">_xlfn.XLOOKUP(C1044, INDEX([1]!카테고리매핑,,2), INDEX([1]!카테고리매핑,,1), "미등록 카테고리")</f>
        <v>채소/곡물류</v>
      </c>
      <c r="C1044" t="s">
        <v>207</v>
      </c>
      <c r="D1044" t="str">
        <f>VLOOKUP(C1044, '[1]VLOOKUP 함수용 카테고리'!$A$1:$B$59, 2, 0)</f>
        <v>GRAIN</v>
      </c>
      <c r="E1044" t="s">
        <v>1343</v>
      </c>
      <c r="F1044" t="s">
        <v>2070</v>
      </c>
    </row>
    <row r="1045" spans="1:6" x14ac:dyDescent="0.3">
      <c r="A1045" t="s">
        <v>2071</v>
      </c>
      <c r="B1045" t="str" cm="1">
        <f t="array" ref="B1045">_xlfn.XLOOKUP(C1045, INDEX([1]!카테고리매핑,,2), INDEX([1]!카테고리매핑,,1), "미등록 카테고리")</f>
        <v>육류/계란</v>
      </c>
      <c r="C1045" t="s">
        <v>105</v>
      </c>
      <c r="D1045" t="str">
        <f>VLOOKUP(C1045, '[1]VLOOKUP 함수용 카테고리'!$A$1:$B$59, 2, 0)</f>
        <v>RAW_MEAT</v>
      </c>
      <c r="E1045" t="s">
        <v>176</v>
      </c>
      <c r="F1045" t="s">
        <v>2072</v>
      </c>
    </row>
    <row r="1046" spans="1:6" x14ac:dyDescent="0.3">
      <c r="A1046" t="s">
        <v>2073</v>
      </c>
      <c r="B1046" t="str" cm="1">
        <f t="array" ref="B1046">_xlfn.XLOOKUP(C1046, INDEX([1]!카테고리매핑,,2), INDEX([1]!카테고리매핑,,1), "미등록 카테고리")</f>
        <v>조미료</v>
      </c>
      <c r="C1046" t="s">
        <v>117</v>
      </c>
      <c r="D1046" t="str">
        <f>VLOOKUP(C1046, '[1]VLOOKUP 함수용 카테고리'!$A$1:$B$59, 2, 0)</f>
        <v>SAUCE_SEASONING</v>
      </c>
      <c r="E1046" t="s">
        <v>2074</v>
      </c>
      <c r="F1046" t="s">
        <v>7746</v>
      </c>
    </row>
    <row r="1047" spans="1:6" x14ac:dyDescent="0.3">
      <c r="A1047" t="s">
        <v>2075</v>
      </c>
      <c r="B1047" t="str" cm="1">
        <f t="array" ref="B1047">_xlfn.XLOOKUP(C1047, INDEX([1]!카테고리매핑,,2), INDEX([1]!카테고리매핑,,1), "미등록 카테고리")</f>
        <v>과일/견과류</v>
      </c>
      <c r="C1047" t="s">
        <v>1179</v>
      </c>
      <c r="D1047" t="str">
        <f>VLOOKUP(C1047, '[1]VLOOKUP 함수용 카테고리'!$A$1:$B$59, 2, 0)</f>
        <v>RAW_FRUIT</v>
      </c>
      <c r="E1047" t="s">
        <v>2076</v>
      </c>
      <c r="F1047" t="s">
        <v>1892</v>
      </c>
    </row>
    <row r="1048" spans="1:6" x14ac:dyDescent="0.3">
      <c r="A1048" t="s">
        <v>2077</v>
      </c>
      <c r="B1048" t="str" cm="1">
        <f t="array" ref="B1048">_xlfn.XLOOKUP(C1048, INDEX([1]!카테고리매핑,,2), INDEX([1]!카테고리매핑,,1), "미등록 카테고리")</f>
        <v>간편식</v>
      </c>
      <c r="C1048" t="s">
        <v>46</v>
      </c>
      <c r="D1048" t="str">
        <f>VLOOKUP(C1048, '[1]VLOOKUP 함수용 카테고리'!$A$1:$B$59, 2, 0)</f>
        <v>RTC_MEAL</v>
      </c>
      <c r="E1048" t="s">
        <v>46</v>
      </c>
      <c r="F1048" t="s">
        <v>2078</v>
      </c>
    </row>
    <row r="1049" spans="1:6" x14ac:dyDescent="0.3">
      <c r="A1049" t="s">
        <v>2079</v>
      </c>
      <c r="B1049" t="str" cm="1">
        <f t="array" ref="B1049">_xlfn.XLOOKUP(C1049, INDEX([1]!카테고리매핑,,2), INDEX([1]!카테고리매핑,,1), "미등록 카테고리")</f>
        <v>수산물</v>
      </c>
      <c r="C1049" t="s">
        <v>183</v>
      </c>
      <c r="D1049" t="str">
        <f>VLOOKUP(C1049, '[1]VLOOKUP 함수용 카테고리'!$A$1:$B$59, 2, 0)</f>
        <v>DRIED_SEAFOOD</v>
      </c>
      <c r="E1049" t="s">
        <v>466</v>
      </c>
    </row>
    <row r="1050" spans="1:6" x14ac:dyDescent="0.3">
      <c r="A1050" t="s">
        <v>2080</v>
      </c>
      <c r="B1050" t="str" cm="1">
        <f t="array" ref="B1050">_xlfn.XLOOKUP(C1050, INDEX([1]!카테고리매핑,,2), INDEX([1]!카테고리매핑,,1), "미등록 카테고리")</f>
        <v>유제품</v>
      </c>
      <c r="C1050" t="s">
        <v>211</v>
      </c>
      <c r="D1050" t="str">
        <f>VLOOKUP(C1050, '[1]VLOOKUP 함수용 카테고리'!$A$1:$B$59, 2, 0)</f>
        <v>DAIRY</v>
      </c>
      <c r="E1050" t="s">
        <v>211</v>
      </c>
      <c r="F1050" t="s">
        <v>191</v>
      </c>
    </row>
    <row r="1051" spans="1:6" x14ac:dyDescent="0.3">
      <c r="A1051" t="s">
        <v>2081</v>
      </c>
      <c r="B1051" t="str" cm="1">
        <f t="array" ref="B1051">_xlfn.XLOOKUP(C1051, INDEX([1]!카테고리매핑,,2), INDEX([1]!카테고리매핑,,1), "미등록 카테고리")</f>
        <v>채소/곡물류</v>
      </c>
      <c r="C1051" t="s">
        <v>27</v>
      </c>
      <c r="D1051" t="str">
        <f>VLOOKUP(C1051, '[1]VLOOKUP 함수용 카테고리'!$A$1:$B$59, 2, 0)</f>
        <v>SIMPLE_PROCESSED</v>
      </c>
      <c r="E1051" t="s">
        <v>28</v>
      </c>
      <c r="F1051" t="s">
        <v>350</v>
      </c>
    </row>
    <row r="1052" spans="1:6" x14ac:dyDescent="0.3">
      <c r="A1052" t="s">
        <v>2082</v>
      </c>
      <c r="B1052" t="str" cm="1">
        <f t="array" ref="B1052">_xlfn.XLOOKUP(C1052, INDEX([1]!카테고리매핑,,2), INDEX([1]!카테고리매핑,,1), "미등록 카테고리")</f>
        <v>조미료</v>
      </c>
      <c r="C1052" t="s">
        <v>127</v>
      </c>
      <c r="D1052" t="str">
        <f>VLOOKUP(C1052, '[1]VLOOKUP 함수용 카테고리'!$A$1:$B$59, 2, 0)</f>
        <v>SAUCE_SEASONING</v>
      </c>
      <c r="E1052" t="s">
        <v>248</v>
      </c>
      <c r="F1052" t="s">
        <v>2083</v>
      </c>
    </row>
    <row r="1053" spans="1:6" x14ac:dyDescent="0.3">
      <c r="A1053" t="s">
        <v>2084</v>
      </c>
      <c r="B1053" t="str" cm="1">
        <f t="array" ref="B1053">_xlfn.XLOOKUP(C1053, INDEX([1]!카테고리매핑,,2), INDEX([1]!카테고리매핑,,1), "미등록 카테고리")</f>
        <v>육류/계란</v>
      </c>
      <c r="C1053" t="s">
        <v>105</v>
      </c>
      <c r="D1053" t="str">
        <f>VLOOKUP(C1053, '[1]VLOOKUP 함수용 카테고리'!$A$1:$B$59, 2, 0)</f>
        <v>RAW_MEAT</v>
      </c>
      <c r="E1053" t="s">
        <v>2085</v>
      </c>
    </row>
    <row r="1054" spans="1:6" x14ac:dyDescent="0.3">
      <c r="A1054" t="s">
        <v>2086</v>
      </c>
      <c r="B1054" t="str" cm="1">
        <f t="array" ref="B1054">_xlfn.XLOOKUP(C1054, INDEX([1]!카테고리매핑,,2), INDEX([1]!카테고리매핑,,1), "미등록 카테고리")</f>
        <v>간식류</v>
      </c>
      <c r="C1054" t="s">
        <v>11</v>
      </c>
      <c r="D1054" t="str">
        <f>VLOOKUP(C1054, '[1]VLOOKUP 함수용 카테고리'!$A$1:$B$59, 2, 0)</f>
        <v>SNACK</v>
      </c>
      <c r="E1054" t="s">
        <v>371</v>
      </c>
      <c r="F1054" t="s">
        <v>2087</v>
      </c>
    </row>
    <row r="1055" spans="1:6" x14ac:dyDescent="0.3">
      <c r="A1055" t="s">
        <v>2088</v>
      </c>
      <c r="B1055" t="str" cm="1">
        <f t="array" ref="B1055">_xlfn.XLOOKUP(C1055, INDEX([1]!카테고리매핑,,2), INDEX([1]!카테고리매핑,,1), "미등록 카테고리")</f>
        <v>유제품</v>
      </c>
      <c r="C1055" t="s">
        <v>211</v>
      </c>
      <c r="D1055" t="str">
        <f>VLOOKUP(C1055, '[1]VLOOKUP 함수용 카테고리'!$A$1:$B$59, 2, 0)</f>
        <v>DAIRY</v>
      </c>
      <c r="E1055" t="s">
        <v>211</v>
      </c>
      <c r="F1055" t="s">
        <v>2089</v>
      </c>
    </row>
    <row r="1056" spans="1:6" x14ac:dyDescent="0.3">
      <c r="A1056" t="s">
        <v>2090</v>
      </c>
      <c r="B1056" t="str" cm="1">
        <f t="array" ref="B1056">_xlfn.XLOOKUP(C1056, INDEX([1]!카테고리매핑,,2), INDEX([1]!카테고리매핑,,1), "미등록 카테고리")</f>
        <v>육류/계란</v>
      </c>
      <c r="C1056" t="s">
        <v>149</v>
      </c>
      <c r="D1056" t="str">
        <f>VLOOKUP(C1056, '[1]VLOOKUP 함수용 카테고리'!$A$1:$B$59, 2, 0)</f>
        <v>RAW_MEAT</v>
      </c>
      <c r="E1056" t="s">
        <v>635</v>
      </c>
      <c r="F1056" t="s">
        <v>1425</v>
      </c>
    </row>
    <row r="1057" spans="1:6" x14ac:dyDescent="0.3">
      <c r="A1057" t="s">
        <v>2091</v>
      </c>
      <c r="B1057" t="str" cm="1">
        <f t="array" ref="B1057">_xlfn.XLOOKUP(C1057, INDEX([1]!카테고리매핑,,2), INDEX([1]!카테고리매핑,,1), "미등록 카테고리")</f>
        <v>간식류</v>
      </c>
      <c r="C1057" t="s">
        <v>38</v>
      </c>
      <c r="D1057" t="str">
        <f>VLOOKUP(C1057, '[1]VLOOKUP 함수용 카테고리'!$A$1:$B$59, 2, 0)</f>
        <v>SNACK</v>
      </c>
      <c r="E1057" t="s">
        <v>179</v>
      </c>
      <c r="F1057" t="s">
        <v>2092</v>
      </c>
    </row>
    <row r="1058" spans="1:6" x14ac:dyDescent="0.3">
      <c r="A1058" t="s">
        <v>2093</v>
      </c>
      <c r="B1058" t="str" cm="1">
        <f t="array" ref="B1058">_xlfn.XLOOKUP(C1058, INDEX([1]!카테고리매핑,,2), INDEX([1]!카테고리매핑,,1), "미등록 카테고리")</f>
        <v>간편식</v>
      </c>
      <c r="C1058" t="s">
        <v>19</v>
      </c>
      <c r="D1058" t="str">
        <f>VLOOKUP(C1058, '[1]VLOOKUP 함수용 카테고리'!$A$1:$B$59, 2, 0)</f>
        <v>FROZEN_MEAL</v>
      </c>
      <c r="E1058" t="s">
        <v>245</v>
      </c>
      <c r="F1058" t="s">
        <v>156</v>
      </c>
    </row>
    <row r="1059" spans="1:6" x14ac:dyDescent="0.3">
      <c r="A1059" t="s">
        <v>2094</v>
      </c>
      <c r="B1059" t="str" cm="1">
        <f t="array" ref="B1059">_xlfn.XLOOKUP(C1059, INDEX([1]!카테고리매핑,,2), INDEX([1]!카테고리매핑,,1), "미등록 카테고리")</f>
        <v>과일/견과류</v>
      </c>
      <c r="C1059" t="s">
        <v>1179</v>
      </c>
      <c r="D1059" t="str">
        <f>VLOOKUP(C1059, '[1]VLOOKUP 함수용 카테고리'!$A$1:$B$59, 2, 0)</f>
        <v>RAW_FRUIT</v>
      </c>
      <c r="E1059" t="s">
        <v>2095</v>
      </c>
      <c r="F1059" t="s">
        <v>1892</v>
      </c>
    </row>
    <row r="1060" spans="1:6" x14ac:dyDescent="0.3">
      <c r="A1060" t="s">
        <v>2096</v>
      </c>
      <c r="B1060" t="str" cm="1">
        <f t="array" ref="B1060">_xlfn.XLOOKUP(C1060, INDEX([1]!카테고리매핑,,2), INDEX([1]!카테고리매핑,,1), "미등록 카테고리")</f>
        <v>간편식</v>
      </c>
      <c r="C1060" t="s">
        <v>131</v>
      </c>
      <c r="D1060" t="str">
        <f>VLOOKUP(C1060, '[1]VLOOKUP 함수용 카테고리'!$A$1:$B$59, 2, 0)</f>
        <v>SIMPLE_PROCESSED</v>
      </c>
      <c r="E1060" t="s">
        <v>755</v>
      </c>
      <c r="F1060" t="s">
        <v>133</v>
      </c>
    </row>
    <row r="1061" spans="1:6" x14ac:dyDescent="0.3">
      <c r="A1061" t="s">
        <v>2097</v>
      </c>
      <c r="B1061" t="str" cm="1">
        <f t="array" ref="B1061">_xlfn.XLOOKUP(C1061, INDEX([1]!카테고리매핑,,2), INDEX([1]!카테고리매핑,,1), "미등록 카테고리")</f>
        <v>유제품</v>
      </c>
      <c r="C1061" t="s">
        <v>123</v>
      </c>
      <c r="D1061" t="str">
        <f>VLOOKUP(C1061, '[1]VLOOKUP 함수용 카테고리'!$A$1:$B$59, 2, 0)</f>
        <v>DAIRY</v>
      </c>
      <c r="E1061" t="s">
        <v>239</v>
      </c>
      <c r="F1061" t="s">
        <v>377</v>
      </c>
    </row>
    <row r="1062" spans="1:6" x14ac:dyDescent="0.3">
      <c r="A1062" t="s">
        <v>2098</v>
      </c>
      <c r="B1062" t="str" cm="1">
        <f t="array" ref="B1062">_xlfn.XLOOKUP(C1062, INDEX([1]!카테고리매핑,,2), INDEX([1]!카테고리매핑,,1), "미등록 카테고리")</f>
        <v>채소/곡물류</v>
      </c>
      <c r="C1062" t="s">
        <v>27</v>
      </c>
      <c r="D1062" t="str">
        <f>VLOOKUP(C1062, '[1]VLOOKUP 함수용 카테고리'!$A$1:$B$59, 2, 0)</f>
        <v>SIMPLE_PROCESSED</v>
      </c>
      <c r="E1062" t="s">
        <v>28</v>
      </c>
      <c r="F1062" t="s">
        <v>2099</v>
      </c>
    </row>
    <row r="1063" spans="1:6" x14ac:dyDescent="0.3">
      <c r="A1063" t="s">
        <v>2100</v>
      </c>
      <c r="B1063" t="str" cm="1">
        <f t="array" ref="B1063">_xlfn.XLOOKUP(C1063, INDEX([1]!카테고리매핑,,2), INDEX([1]!카테고리매핑,,1), "미등록 카테고리")</f>
        <v>간식류</v>
      </c>
      <c r="C1063" t="s">
        <v>15</v>
      </c>
      <c r="D1063" t="str">
        <f>VLOOKUP(C1063, '[1]VLOOKUP 함수용 카테고리'!$A$1:$B$59, 2, 0)</f>
        <v>BAKERY</v>
      </c>
      <c r="E1063" t="s">
        <v>200</v>
      </c>
      <c r="F1063" t="s">
        <v>1287</v>
      </c>
    </row>
    <row r="1064" spans="1:6" x14ac:dyDescent="0.3">
      <c r="A1064" t="s">
        <v>2101</v>
      </c>
      <c r="B1064" t="str" cm="1">
        <f t="array" ref="B1064">_xlfn.XLOOKUP(C1064, INDEX([1]!카테고리매핑,,2), INDEX([1]!카테고리매핑,,1), "미등록 카테고리")</f>
        <v>조미료</v>
      </c>
      <c r="C1064" t="s">
        <v>127</v>
      </c>
      <c r="D1064" t="str">
        <f>VLOOKUP(C1064, '[1]VLOOKUP 함수용 카테고리'!$A$1:$B$59, 2, 0)</f>
        <v>SAUCE_SEASONING</v>
      </c>
      <c r="E1064" t="s">
        <v>436</v>
      </c>
      <c r="F1064" t="s">
        <v>383</v>
      </c>
    </row>
    <row r="1065" spans="1:6" x14ac:dyDescent="0.3">
      <c r="A1065" t="s">
        <v>2102</v>
      </c>
      <c r="B1065" t="str" cm="1">
        <f t="array" ref="B1065">_xlfn.XLOOKUP(C1065, INDEX([1]!카테고리매핑,,2), INDEX([1]!카테고리매핑,,1), "미등록 카테고리")</f>
        <v>유제품</v>
      </c>
      <c r="C1065" t="s">
        <v>123</v>
      </c>
      <c r="D1065" t="str">
        <f>VLOOKUP(C1065, '[1]VLOOKUP 함수용 카테고리'!$A$1:$B$59, 2, 0)</f>
        <v>DAIRY</v>
      </c>
      <c r="E1065" t="s">
        <v>190</v>
      </c>
      <c r="F1065" t="s">
        <v>7747</v>
      </c>
    </row>
    <row r="1066" spans="1:6" x14ac:dyDescent="0.3">
      <c r="A1066" t="s">
        <v>2103</v>
      </c>
      <c r="B1066" t="str" cm="1">
        <f t="array" ref="B1066">_xlfn.XLOOKUP(C1066, INDEX([1]!카테고리매핑,,2), INDEX([1]!카테고리매핑,,1), "미등록 카테고리")</f>
        <v>과일/견과류</v>
      </c>
      <c r="C1066" t="s">
        <v>1179</v>
      </c>
      <c r="D1066" t="str">
        <f>VLOOKUP(C1066, '[1]VLOOKUP 함수용 카테고리'!$A$1:$B$59, 2, 0)</f>
        <v>RAW_FRUIT</v>
      </c>
      <c r="E1066" t="s">
        <v>2104</v>
      </c>
      <c r="F1066" t="s">
        <v>1892</v>
      </c>
    </row>
    <row r="1067" spans="1:6" x14ac:dyDescent="0.3">
      <c r="A1067" t="s">
        <v>2105</v>
      </c>
      <c r="B1067" t="str" cm="1">
        <f t="array" ref="B1067">_xlfn.XLOOKUP(C1067, INDEX([1]!카테고리매핑,,2), INDEX([1]!카테고리매핑,,1), "미등록 카테고리")</f>
        <v>조미료</v>
      </c>
      <c r="C1067" t="s">
        <v>127</v>
      </c>
      <c r="D1067" t="str">
        <f>VLOOKUP(C1067, '[1]VLOOKUP 함수용 카테고리'!$A$1:$B$59, 2, 0)</f>
        <v>SAUCE_SEASONING</v>
      </c>
      <c r="E1067" t="s">
        <v>2106</v>
      </c>
      <c r="F1067" t="s">
        <v>1326</v>
      </c>
    </row>
    <row r="1068" spans="1:6" x14ac:dyDescent="0.3">
      <c r="A1068" t="s">
        <v>2107</v>
      </c>
      <c r="B1068" t="str" cm="1">
        <f t="array" ref="B1068">_xlfn.XLOOKUP(C1068, INDEX([1]!카테고리매핑,,2), INDEX([1]!카테고리매핑,,1), "미등록 카테고리")</f>
        <v>상온식품</v>
      </c>
      <c r="C1068" t="s">
        <v>276</v>
      </c>
      <c r="D1068" t="str">
        <f>VLOOKUP(C1068, '[1]VLOOKUP 함수용 카테고리'!$A$1:$B$59, 2, 0)</f>
        <v>DRIED_SEAFOOD</v>
      </c>
      <c r="E1068" t="s">
        <v>277</v>
      </c>
      <c r="F1068" t="s">
        <v>736</v>
      </c>
    </row>
    <row r="1069" spans="1:6" x14ac:dyDescent="0.3">
      <c r="A1069" t="s">
        <v>2108</v>
      </c>
      <c r="B1069" t="str" cm="1">
        <f t="array" ref="B1069">_xlfn.XLOOKUP(C1069, INDEX([1]!카테고리매핑,,2), INDEX([1]!카테고리매핑,,1), "미등록 카테고리")</f>
        <v>상온식품</v>
      </c>
      <c r="C1069" t="s">
        <v>276</v>
      </c>
      <c r="D1069" t="str">
        <f>VLOOKUP(C1069, '[1]VLOOKUP 함수용 카테고리'!$A$1:$B$59, 2, 0)</f>
        <v>DRIED_SEAFOOD</v>
      </c>
      <c r="E1069" t="s">
        <v>277</v>
      </c>
      <c r="F1069" t="s">
        <v>7748</v>
      </c>
    </row>
    <row r="1070" spans="1:6" x14ac:dyDescent="0.3">
      <c r="A1070" t="s">
        <v>2109</v>
      </c>
      <c r="B1070" t="str" cm="1">
        <f t="array" ref="B1070">_xlfn.XLOOKUP(C1070, INDEX([1]!카테고리매핑,,2), INDEX([1]!카테고리매핑,,1), "미등록 카테고리")</f>
        <v>술</v>
      </c>
      <c r="C1070" t="s">
        <v>42</v>
      </c>
      <c r="D1070" t="str">
        <f>VLOOKUP(C1070, '[1]VLOOKUP 함수용 카테고리'!$A$1:$B$59, 2, 0)</f>
        <v>ALCOHOL</v>
      </c>
      <c r="E1070" t="s">
        <v>43</v>
      </c>
    </row>
    <row r="1071" spans="1:6" x14ac:dyDescent="0.3">
      <c r="A1071" t="s">
        <v>2110</v>
      </c>
      <c r="B1071" t="str" cm="1">
        <f t="array" ref="B1071">_xlfn.XLOOKUP(C1071, INDEX([1]!카테고리매핑,,2), INDEX([1]!카테고리매핑,,1), "미등록 카테고리")</f>
        <v>간편식</v>
      </c>
      <c r="C1071" t="s">
        <v>158</v>
      </c>
      <c r="D1071" t="str">
        <f>VLOOKUP(C1071, '[1]VLOOKUP 함수용 카테고리'!$A$1:$B$59, 2, 0)</f>
        <v>INSTANT</v>
      </c>
      <c r="E1071" t="s">
        <v>2111</v>
      </c>
      <c r="F1071" t="s">
        <v>129</v>
      </c>
    </row>
    <row r="1072" spans="1:6" x14ac:dyDescent="0.3">
      <c r="A1072" t="s">
        <v>2112</v>
      </c>
      <c r="B1072" t="str" cm="1">
        <f t="array" ref="B1072">_xlfn.XLOOKUP(C1072, INDEX([1]!카테고리매핑,,2), INDEX([1]!카테고리매핑,,1), "미등록 카테고리")</f>
        <v>간편식</v>
      </c>
      <c r="C1072" t="s">
        <v>46</v>
      </c>
      <c r="D1072" t="str">
        <f>VLOOKUP(C1072, '[1]VLOOKUP 함수용 카테고리'!$A$1:$B$59, 2, 0)</f>
        <v>RTC_MEAL</v>
      </c>
      <c r="E1072" t="s">
        <v>46</v>
      </c>
      <c r="F1072" t="s">
        <v>416</v>
      </c>
    </row>
    <row r="1073" spans="1:6" x14ac:dyDescent="0.3">
      <c r="A1073" t="s">
        <v>2113</v>
      </c>
      <c r="B1073" t="str" cm="1">
        <f t="array" ref="B1073">_xlfn.XLOOKUP(C1073, INDEX([1]!카테고리매핑,,2), INDEX([1]!카테고리매핑,,1), "미등록 카테고리")</f>
        <v>간식류</v>
      </c>
      <c r="C1073" t="s">
        <v>11</v>
      </c>
      <c r="D1073" t="str">
        <f>VLOOKUP(C1073, '[1]VLOOKUP 함수용 카테고리'!$A$1:$B$59, 2, 0)</f>
        <v>SNACK</v>
      </c>
      <c r="E1073" t="s">
        <v>371</v>
      </c>
      <c r="F1073" t="s">
        <v>816</v>
      </c>
    </row>
    <row r="1074" spans="1:6" x14ac:dyDescent="0.3">
      <c r="A1074" t="s">
        <v>2114</v>
      </c>
      <c r="B1074" t="str" cm="1">
        <f t="array" ref="B1074">_xlfn.XLOOKUP(C1074, INDEX([1]!카테고리매핑,,2), INDEX([1]!카테고리매핑,,1), "미등록 카테고리")</f>
        <v>간식류</v>
      </c>
      <c r="C1074" t="s">
        <v>11</v>
      </c>
      <c r="D1074" t="str">
        <f>VLOOKUP(C1074, '[1]VLOOKUP 함수용 카테고리'!$A$1:$B$59, 2, 0)</f>
        <v>SNACK</v>
      </c>
      <c r="E1074" t="s">
        <v>881</v>
      </c>
      <c r="F1074" t="s">
        <v>2115</v>
      </c>
    </row>
    <row r="1075" spans="1:6" x14ac:dyDescent="0.3">
      <c r="A1075" t="s">
        <v>2116</v>
      </c>
      <c r="B1075" t="str" cm="1">
        <f t="array" ref="B1075">_xlfn.XLOOKUP(C1075, INDEX([1]!카테고리매핑,,2), INDEX([1]!카테고리매핑,,1), "미등록 카테고리")</f>
        <v>수산물</v>
      </c>
      <c r="C1075" t="s">
        <v>183</v>
      </c>
      <c r="D1075" t="str">
        <f>VLOOKUP(C1075, '[1]VLOOKUP 함수용 카테고리'!$A$1:$B$59, 2, 0)</f>
        <v>DRIED_SEAFOOD</v>
      </c>
      <c r="E1075" t="s">
        <v>2117</v>
      </c>
      <c r="F1075" t="s">
        <v>2118</v>
      </c>
    </row>
    <row r="1076" spans="1:6" x14ac:dyDescent="0.3">
      <c r="A1076" t="s">
        <v>2119</v>
      </c>
      <c r="B1076" t="str" cm="1">
        <f t="array" ref="B1076">_xlfn.XLOOKUP(C1076, INDEX([1]!카테고리매핑,,2), INDEX([1]!카테고리매핑,,1), "미등록 카테고리")</f>
        <v>간식류</v>
      </c>
      <c r="C1076" t="s">
        <v>11</v>
      </c>
      <c r="D1076" t="str">
        <f>VLOOKUP(C1076, '[1]VLOOKUP 함수용 카테고리'!$A$1:$B$59, 2, 0)</f>
        <v>SNACK</v>
      </c>
      <c r="E1076" t="s">
        <v>2120</v>
      </c>
      <c r="F1076" t="s">
        <v>7749</v>
      </c>
    </row>
    <row r="1077" spans="1:6" x14ac:dyDescent="0.3">
      <c r="A1077" t="s">
        <v>2121</v>
      </c>
      <c r="B1077" t="str" cm="1">
        <f t="array" ref="B1077">_xlfn.XLOOKUP(C1077, INDEX([1]!카테고리매핑,,2), INDEX([1]!카테고리매핑,,1), "미등록 카테고리")</f>
        <v>육류/계란</v>
      </c>
      <c r="C1077" t="s">
        <v>149</v>
      </c>
      <c r="D1077" t="str">
        <f>VLOOKUP(C1077, '[1]VLOOKUP 함수용 카테고리'!$A$1:$B$59, 2, 0)</f>
        <v>RAW_MEAT</v>
      </c>
      <c r="E1077" t="s">
        <v>1151</v>
      </c>
      <c r="F1077" t="s">
        <v>1708</v>
      </c>
    </row>
    <row r="1078" spans="1:6" x14ac:dyDescent="0.3">
      <c r="A1078" t="s">
        <v>2122</v>
      </c>
      <c r="B1078" t="str" cm="1">
        <f t="array" ref="B1078">_xlfn.XLOOKUP(C1078, INDEX([1]!카테고리매핑,,2), INDEX([1]!카테고리매핑,,1), "미등록 카테고리")</f>
        <v>조미료</v>
      </c>
      <c r="C1078" t="s">
        <v>84</v>
      </c>
      <c r="D1078" t="str">
        <f>VLOOKUP(C1078, '[1]VLOOKUP 함수용 카테고리'!$A$1:$B$59, 2, 0)</f>
        <v>SAUCE_SEASONING</v>
      </c>
      <c r="E1078" t="s">
        <v>85</v>
      </c>
      <c r="F1078" t="s">
        <v>269</v>
      </c>
    </row>
    <row r="1079" spans="1:6" x14ac:dyDescent="0.3">
      <c r="A1079" t="s">
        <v>2123</v>
      </c>
      <c r="B1079" t="str" cm="1">
        <f t="array" ref="B1079">_xlfn.XLOOKUP(C1079, INDEX([1]!카테고리매핑,,2), INDEX([1]!카테고리매핑,,1), "미등록 카테고리")</f>
        <v>조미료</v>
      </c>
      <c r="C1079" t="s">
        <v>83</v>
      </c>
      <c r="D1079" t="str">
        <f>VLOOKUP(C1079, '[1]VLOOKUP 함수용 카테고리'!$A$1:$B$59, 2, 0)</f>
        <v>SAUCE_SEASONING</v>
      </c>
      <c r="E1079" t="s">
        <v>658</v>
      </c>
      <c r="F1079" t="s">
        <v>646</v>
      </c>
    </row>
    <row r="1080" spans="1:6" x14ac:dyDescent="0.3">
      <c r="A1080" t="s">
        <v>2124</v>
      </c>
      <c r="B1080" t="str" cm="1">
        <f t="array" ref="B1080">_xlfn.XLOOKUP(C1080, INDEX([1]!카테고리매핑,,2), INDEX([1]!카테고리매핑,,1), "미등록 카테고리")</f>
        <v>수산물</v>
      </c>
      <c r="C1080" t="s">
        <v>140</v>
      </c>
      <c r="D1080" t="str">
        <f>VLOOKUP(C1080, '[1]VLOOKUP 함수용 카테고리'!$A$1:$B$59, 2, 0)</f>
        <v>SIMPLE_PROCESSED</v>
      </c>
      <c r="E1080" t="s">
        <v>2125</v>
      </c>
      <c r="F1080" t="s">
        <v>666</v>
      </c>
    </row>
    <row r="1081" spans="1:6" x14ac:dyDescent="0.3">
      <c r="A1081" t="s">
        <v>2126</v>
      </c>
      <c r="B1081" t="str" cm="1">
        <f t="array" ref="B1081">_xlfn.XLOOKUP(C1081, INDEX([1]!카테고리매핑,,2), INDEX([1]!카테고리매핑,,1), "미등록 카테고리")</f>
        <v>상온식품</v>
      </c>
      <c r="C1081" t="s">
        <v>276</v>
      </c>
      <c r="D1081" t="str">
        <f>VLOOKUP(C1081, '[1]VLOOKUP 함수용 카테고리'!$A$1:$B$59, 2, 0)</f>
        <v>DRIED_SEAFOOD</v>
      </c>
      <c r="E1081" t="s">
        <v>277</v>
      </c>
      <c r="F1081" t="s">
        <v>541</v>
      </c>
    </row>
    <row r="1082" spans="1:6" x14ac:dyDescent="0.3">
      <c r="A1082" t="s">
        <v>2127</v>
      </c>
      <c r="B1082" t="str" cm="1">
        <f t="array" ref="B1082">_xlfn.XLOOKUP(C1082, INDEX([1]!카테고리매핑,,2), INDEX([1]!카테고리매핑,,1), "미등록 카테고리")</f>
        <v>간편식</v>
      </c>
      <c r="C1082" t="s">
        <v>131</v>
      </c>
      <c r="D1082" t="str">
        <f>VLOOKUP(C1082, '[1]VLOOKUP 함수용 카테고리'!$A$1:$B$59, 2, 0)</f>
        <v>SIMPLE_PROCESSED</v>
      </c>
      <c r="E1082" t="s">
        <v>2128</v>
      </c>
      <c r="F1082" t="s">
        <v>257</v>
      </c>
    </row>
    <row r="1083" spans="1:6" x14ac:dyDescent="0.3">
      <c r="A1083" t="s">
        <v>2129</v>
      </c>
      <c r="B1083" t="str" cm="1">
        <f t="array" ref="B1083">_xlfn.XLOOKUP(C1083, INDEX([1]!카테고리매핑,,2), INDEX([1]!카테고리매핑,,1), "미등록 카테고리")</f>
        <v>간식류</v>
      </c>
      <c r="C1083" t="s">
        <v>15</v>
      </c>
      <c r="D1083" t="str">
        <f>VLOOKUP(C1083, '[1]VLOOKUP 함수용 카테고리'!$A$1:$B$59, 2, 0)</f>
        <v>BAKERY</v>
      </c>
      <c r="E1083" t="s">
        <v>2130</v>
      </c>
    </row>
    <row r="1084" spans="1:6" x14ac:dyDescent="0.3">
      <c r="A1084" t="s">
        <v>2131</v>
      </c>
      <c r="B1084" t="str" cm="1">
        <f t="array" ref="B1084">_xlfn.XLOOKUP(C1084, INDEX([1]!카테고리매핑,,2), INDEX([1]!카테고리매핑,,1), "미등록 카테고리")</f>
        <v>조미료</v>
      </c>
      <c r="C1084" t="s">
        <v>117</v>
      </c>
      <c r="D1084" t="str">
        <f>VLOOKUP(C1084, '[1]VLOOKUP 함수용 카테고리'!$A$1:$B$59, 2, 0)</f>
        <v>SAUCE_SEASONING</v>
      </c>
      <c r="E1084" t="s">
        <v>2025</v>
      </c>
      <c r="F1084" t="s">
        <v>2132</v>
      </c>
    </row>
    <row r="1085" spans="1:6" x14ac:dyDescent="0.3">
      <c r="A1085" t="s">
        <v>2133</v>
      </c>
      <c r="B1085" t="str" cm="1">
        <f t="array" ref="B1085">_xlfn.XLOOKUP(C1085, INDEX([1]!카테고리매핑,,2), INDEX([1]!카테고리매핑,,1), "미등록 카테고리")</f>
        <v>간식류</v>
      </c>
      <c r="C1085" t="s">
        <v>11</v>
      </c>
      <c r="D1085" t="str">
        <f>VLOOKUP(C1085, '[1]VLOOKUP 함수용 카테고리'!$A$1:$B$59, 2, 0)</f>
        <v>SNACK</v>
      </c>
      <c r="E1085" t="s">
        <v>371</v>
      </c>
      <c r="F1085" t="s">
        <v>7750</v>
      </c>
    </row>
    <row r="1086" spans="1:6" x14ac:dyDescent="0.3">
      <c r="A1086" t="s">
        <v>2134</v>
      </c>
      <c r="B1086" t="str" cm="1">
        <f t="array" ref="B1086">_xlfn.XLOOKUP(C1086, INDEX([1]!카테고리매핑,,2), INDEX([1]!카테고리매핑,,1), "미등록 카테고리")</f>
        <v>조미료</v>
      </c>
      <c r="C1086" t="s">
        <v>117</v>
      </c>
      <c r="D1086" t="str">
        <f>VLOOKUP(C1086, '[1]VLOOKUP 함수용 카테고리'!$A$1:$B$59, 2, 0)</f>
        <v>SAUCE_SEASONING</v>
      </c>
      <c r="E1086" t="s">
        <v>2135</v>
      </c>
      <c r="F1086" t="s">
        <v>119</v>
      </c>
    </row>
    <row r="1087" spans="1:6" x14ac:dyDescent="0.3">
      <c r="A1087" t="s">
        <v>2136</v>
      </c>
      <c r="B1087" t="str" cm="1">
        <f t="array" ref="B1087">_xlfn.XLOOKUP(C1087, INDEX([1]!카테고리매핑,,2), INDEX([1]!카테고리매핑,,1), "미등록 카테고리")</f>
        <v>조미료</v>
      </c>
      <c r="C1087" t="s">
        <v>127</v>
      </c>
      <c r="D1087" t="str">
        <f>VLOOKUP(C1087, '[1]VLOOKUP 함수용 카테고리'!$A$1:$B$59, 2, 0)</f>
        <v>SAUCE_SEASONING</v>
      </c>
      <c r="E1087" t="s">
        <v>2137</v>
      </c>
      <c r="F1087" t="s">
        <v>2138</v>
      </c>
    </row>
    <row r="1088" spans="1:6" x14ac:dyDescent="0.3">
      <c r="A1088" t="s">
        <v>2139</v>
      </c>
      <c r="B1088" t="str" cm="1">
        <f t="array" ref="B1088">_xlfn.XLOOKUP(C1088, INDEX([1]!카테고리매핑,,2), INDEX([1]!카테고리매핑,,1), "미등록 카테고리")</f>
        <v>채소/곡물류</v>
      </c>
      <c r="C1088" t="s">
        <v>301</v>
      </c>
      <c r="D1088" t="str">
        <f>VLOOKUP(C1088, '[1]VLOOKUP 함수용 카테고리'!$A$1:$B$59, 2, 0)</f>
        <v>GRAIN</v>
      </c>
      <c r="E1088" t="s">
        <v>2140</v>
      </c>
      <c r="F1088" t="s">
        <v>941</v>
      </c>
    </row>
    <row r="1089" spans="1:6" x14ac:dyDescent="0.3">
      <c r="A1089" t="s">
        <v>2141</v>
      </c>
      <c r="B1089" t="str" cm="1">
        <f t="array" ref="B1089">_xlfn.XLOOKUP(C1089, INDEX([1]!카테고리매핑,,2), INDEX([1]!카테고리매핑,,1), "미등록 카테고리")</f>
        <v>조미료</v>
      </c>
      <c r="C1089" t="s">
        <v>117</v>
      </c>
      <c r="D1089" t="str">
        <f>VLOOKUP(C1089, '[1]VLOOKUP 함수용 카테고리'!$A$1:$B$59, 2, 0)</f>
        <v>SAUCE_SEASONING</v>
      </c>
      <c r="E1089" t="s">
        <v>421</v>
      </c>
      <c r="F1089" t="s">
        <v>7751</v>
      </c>
    </row>
    <row r="1090" spans="1:6" x14ac:dyDescent="0.3">
      <c r="A1090" t="s">
        <v>2142</v>
      </c>
      <c r="B1090" t="str" cm="1">
        <f t="array" ref="B1090">_xlfn.XLOOKUP(C1090, INDEX([1]!카테고리매핑,,2), INDEX([1]!카테고리매핑,,1), "미등록 카테고리")</f>
        <v>간편식</v>
      </c>
      <c r="C1090" t="s">
        <v>131</v>
      </c>
      <c r="D1090" t="str">
        <f>VLOOKUP(C1090, '[1]VLOOKUP 함수용 카테고리'!$A$1:$B$59, 2, 0)</f>
        <v>SIMPLE_PROCESSED</v>
      </c>
      <c r="E1090" t="s">
        <v>2143</v>
      </c>
      <c r="F1090" t="s">
        <v>7755</v>
      </c>
    </row>
    <row r="1091" spans="1:6" x14ac:dyDescent="0.3">
      <c r="A1091" t="s">
        <v>2144</v>
      </c>
      <c r="B1091" t="str" cm="1">
        <f t="array" ref="B1091">_xlfn.XLOOKUP(C1091, INDEX([1]!카테고리매핑,,2), INDEX([1]!카테고리매핑,,1), "미등록 카테고리")</f>
        <v>육류/계란</v>
      </c>
      <c r="C1091" t="s">
        <v>105</v>
      </c>
      <c r="D1091" t="str">
        <f>VLOOKUP(C1091, '[1]VLOOKUP 함수용 카테고리'!$A$1:$B$59, 2, 0)</f>
        <v>RAW_MEAT</v>
      </c>
      <c r="E1091" t="s">
        <v>2145</v>
      </c>
      <c r="F1091" t="s">
        <v>2146</v>
      </c>
    </row>
    <row r="1092" spans="1:6" x14ac:dyDescent="0.3">
      <c r="A1092" t="s">
        <v>2147</v>
      </c>
      <c r="B1092" t="str" cm="1">
        <f t="array" ref="B1092">_xlfn.XLOOKUP(C1092, INDEX([1]!카테고리매핑,,2), INDEX([1]!카테고리매핑,,1), "미등록 카테고리")</f>
        <v>채소/곡물류</v>
      </c>
      <c r="C1092" t="s">
        <v>301</v>
      </c>
      <c r="D1092" t="str">
        <f>VLOOKUP(C1092, '[1]VLOOKUP 함수용 카테고리'!$A$1:$B$59, 2, 0)</f>
        <v>GRAIN</v>
      </c>
      <c r="E1092" t="s">
        <v>302</v>
      </c>
      <c r="F1092" t="s">
        <v>2148</v>
      </c>
    </row>
    <row r="1093" spans="1:6" x14ac:dyDescent="0.3">
      <c r="A1093" t="s">
        <v>2149</v>
      </c>
      <c r="B1093" t="str" cm="1">
        <f t="array" ref="B1093">_xlfn.XLOOKUP(C1093, INDEX([1]!카테고리매핑,,2), INDEX([1]!카테고리매핑,,1), "미등록 카테고리")</f>
        <v>유제품</v>
      </c>
      <c r="C1093" t="s">
        <v>123</v>
      </c>
      <c r="D1093" t="str">
        <f>VLOOKUP(C1093, '[1]VLOOKUP 함수용 카테고리'!$A$1:$B$59, 2, 0)</f>
        <v>DAIRY</v>
      </c>
      <c r="E1093" t="s">
        <v>190</v>
      </c>
      <c r="F1093" t="s">
        <v>1663</v>
      </c>
    </row>
    <row r="1094" spans="1:6" x14ac:dyDescent="0.3">
      <c r="A1094" t="s">
        <v>2150</v>
      </c>
      <c r="B1094" t="str" cm="1">
        <f t="array" ref="B1094">_xlfn.XLOOKUP(C1094, INDEX([1]!카테고리매핑,,2), INDEX([1]!카테고리매핑,,1), "미등록 카테고리")</f>
        <v>미등록 카테고리</v>
      </c>
      <c r="C1094" t="s">
        <v>334</v>
      </c>
      <c r="D1094" t="str">
        <f>VLOOKUP(C1094, '[1]VLOOKUP 함수용 카테고리'!$A$1:$B$59, 2, 0)</f>
        <v>UNKNOWN</v>
      </c>
      <c r="E1094" t="s">
        <v>334</v>
      </c>
      <c r="F1094" t="s">
        <v>2151</v>
      </c>
    </row>
    <row r="1095" spans="1:6" x14ac:dyDescent="0.3">
      <c r="A1095" t="s">
        <v>2152</v>
      </c>
      <c r="B1095" t="str" cm="1">
        <f t="array" ref="B1095">_xlfn.XLOOKUP(C1095, INDEX([1]!카테고리매핑,,2), INDEX([1]!카테고리매핑,,1), "미등록 카테고리")</f>
        <v>간편식</v>
      </c>
      <c r="C1095" t="s">
        <v>158</v>
      </c>
      <c r="D1095" t="str">
        <f>VLOOKUP(C1095, '[1]VLOOKUP 함수용 카테고리'!$A$1:$B$59, 2, 0)</f>
        <v>INSTANT</v>
      </c>
      <c r="E1095" t="s">
        <v>2153</v>
      </c>
      <c r="F1095" t="s">
        <v>129</v>
      </c>
    </row>
    <row r="1096" spans="1:6" x14ac:dyDescent="0.3">
      <c r="A1096" t="s">
        <v>2154</v>
      </c>
      <c r="B1096" t="str" cm="1">
        <f t="array" ref="B1096">_xlfn.XLOOKUP(C1096, INDEX([1]!카테고리매핑,,2), INDEX([1]!카테고리매핑,,1), "미등록 카테고리")</f>
        <v>간편식</v>
      </c>
      <c r="C1096" t="s">
        <v>256</v>
      </c>
      <c r="D1096" t="str">
        <f>VLOOKUP(C1096, '[1]VLOOKUP 함수용 카테고리'!$A$1:$B$59, 2, 0)</f>
        <v>RTC_MEAL</v>
      </c>
      <c r="E1096" t="s">
        <v>256</v>
      </c>
      <c r="F1096" t="s">
        <v>2155</v>
      </c>
    </row>
    <row r="1097" spans="1:6" x14ac:dyDescent="0.3">
      <c r="A1097" t="s">
        <v>2156</v>
      </c>
      <c r="B1097" t="str" cm="1">
        <f t="array" ref="B1097">_xlfn.XLOOKUP(C1097, INDEX([1]!카테고리매핑,,2), INDEX([1]!카테고리매핑,,1), "미등록 카테고리")</f>
        <v>상온식품</v>
      </c>
      <c r="C1097" t="s">
        <v>835</v>
      </c>
      <c r="D1097" t="str">
        <f>VLOOKUP(C1097, '[1]VLOOKUP 함수용 카테고리'!$A$1:$B$59, 2, 0)</f>
        <v>SAUCE_SEASONING</v>
      </c>
      <c r="E1097" t="s">
        <v>2157</v>
      </c>
      <c r="F1097" t="s">
        <v>2158</v>
      </c>
    </row>
    <row r="1098" spans="1:6" x14ac:dyDescent="0.3">
      <c r="A1098" t="s">
        <v>2159</v>
      </c>
      <c r="B1098" t="str" cm="1">
        <f t="array" ref="B1098">_xlfn.XLOOKUP(C1098, INDEX([1]!카테고리매핑,,2), INDEX([1]!카테고리매핑,,1), "미등록 카테고리")</f>
        <v>음료</v>
      </c>
      <c r="C1098" t="s">
        <v>708</v>
      </c>
      <c r="D1098" t="str">
        <f>VLOOKUP(C1098, '[1]VLOOKUP 함수용 카테고리'!$A$1:$B$59, 2, 0)</f>
        <v>BEVERAGE</v>
      </c>
      <c r="E1098" t="s">
        <v>708</v>
      </c>
      <c r="F1098" t="s">
        <v>709</v>
      </c>
    </row>
    <row r="1099" spans="1:6" x14ac:dyDescent="0.3">
      <c r="A1099" t="s">
        <v>2160</v>
      </c>
      <c r="B1099" t="str" cm="1">
        <f t="array" ref="B1099">_xlfn.XLOOKUP(C1099, INDEX([1]!카테고리매핑,,2), INDEX([1]!카테고리매핑,,1), "미등록 카테고리")</f>
        <v>간식류</v>
      </c>
      <c r="C1099" t="s">
        <v>38</v>
      </c>
      <c r="D1099" t="str">
        <f>VLOOKUP(C1099, '[1]VLOOKUP 함수용 카테고리'!$A$1:$B$59, 2, 0)</f>
        <v>SNACK</v>
      </c>
      <c r="E1099" t="s">
        <v>39</v>
      </c>
      <c r="F1099" t="s">
        <v>2161</v>
      </c>
    </row>
    <row r="1100" spans="1:6" x14ac:dyDescent="0.3">
      <c r="A1100" t="s">
        <v>2162</v>
      </c>
      <c r="B1100" t="str" cm="1">
        <f t="array" ref="B1100">_xlfn.XLOOKUP(C1100, INDEX([1]!카테고리매핑,,2), INDEX([1]!카테고리매핑,,1), "미등록 카테고리")</f>
        <v>간편식</v>
      </c>
      <c r="C1100" t="s">
        <v>256</v>
      </c>
      <c r="D1100" t="str">
        <f>VLOOKUP(C1100, '[1]VLOOKUP 함수용 카테고리'!$A$1:$B$59, 2, 0)</f>
        <v>RTC_MEAL</v>
      </c>
      <c r="E1100" t="s">
        <v>576</v>
      </c>
      <c r="F1100" t="s">
        <v>1874</v>
      </c>
    </row>
    <row r="1101" spans="1:6" x14ac:dyDescent="0.3">
      <c r="A1101" t="s">
        <v>2163</v>
      </c>
      <c r="B1101" t="str" cm="1">
        <f t="array" ref="B1101">_xlfn.XLOOKUP(C1101, INDEX([1]!카테고리매핑,,2), INDEX([1]!카테고리매핑,,1), "미등록 카테고리")</f>
        <v>채소/곡물류</v>
      </c>
      <c r="C1101" t="s">
        <v>7</v>
      </c>
      <c r="D1101" t="str">
        <f>VLOOKUP(C1101, '[1]VLOOKUP 함수용 카테고리'!$A$1:$B$59, 2, 0)</f>
        <v>RAW_PRODUCE</v>
      </c>
      <c r="E1101" t="s">
        <v>1177</v>
      </c>
    </row>
    <row r="1102" spans="1:6" x14ac:dyDescent="0.3">
      <c r="A1102" t="s">
        <v>2164</v>
      </c>
      <c r="B1102" t="str" cm="1">
        <f t="array" ref="B1102">_xlfn.XLOOKUP(C1102, INDEX([1]!카테고리매핑,,2), INDEX([1]!카테고리매핑,,1), "미등록 카테고리")</f>
        <v>간편식</v>
      </c>
      <c r="C1102" t="s">
        <v>158</v>
      </c>
      <c r="D1102" t="str">
        <f>VLOOKUP(C1102, '[1]VLOOKUP 함수용 카테고리'!$A$1:$B$59, 2, 0)</f>
        <v>INSTANT</v>
      </c>
      <c r="E1102" t="s">
        <v>1512</v>
      </c>
      <c r="F1102" t="s">
        <v>154</v>
      </c>
    </row>
    <row r="1103" spans="1:6" x14ac:dyDescent="0.3">
      <c r="A1103" t="s">
        <v>2165</v>
      </c>
      <c r="B1103" t="str" cm="1">
        <f t="array" ref="B1103">_xlfn.XLOOKUP(C1103, INDEX([1]!카테고리매핑,,2), INDEX([1]!카테고리매핑,,1), "미등록 카테고리")</f>
        <v>조미료</v>
      </c>
      <c r="C1103" t="s">
        <v>117</v>
      </c>
      <c r="D1103" t="str">
        <f>VLOOKUP(C1103, '[1]VLOOKUP 함수용 카테고리'!$A$1:$B$59, 2, 0)</f>
        <v>SAUCE_SEASONING</v>
      </c>
      <c r="E1103" t="s">
        <v>2166</v>
      </c>
      <c r="F1103" t="s">
        <v>1892</v>
      </c>
    </row>
    <row r="1104" spans="1:6" x14ac:dyDescent="0.3">
      <c r="A1104" t="s">
        <v>2167</v>
      </c>
      <c r="B1104" t="str" cm="1">
        <f t="array" ref="B1104">_xlfn.XLOOKUP(C1104, INDEX([1]!카테고리매핑,,2), INDEX([1]!카테고리매핑,,1), "미등록 카테고리")</f>
        <v>간편식</v>
      </c>
      <c r="C1104" t="s">
        <v>256</v>
      </c>
      <c r="D1104" t="str">
        <f>VLOOKUP(C1104, '[1]VLOOKUP 함수용 카테고리'!$A$1:$B$59, 2, 0)</f>
        <v>RTC_MEAL</v>
      </c>
      <c r="E1104" t="s">
        <v>256</v>
      </c>
      <c r="F1104" t="s">
        <v>2168</v>
      </c>
    </row>
    <row r="1105" spans="1:6" x14ac:dyDescent="0.3">
      <c r="A1105" t="s">
        <v>2169</v>
      </c>
      <c r="B1105" t="str" cm="1">
        <f t="array" ref="B1105">_xlfn.XLOOKUP(C1105, INDEX([1]!카테고리매핑,,2), INDEX([1]!카테고리매핑,,1), "미등록 카테고리")</f>
        <v>유제품</v>
      </c>
      <c r="C1105" t="s">
        <v>123</v>
      </c>
      <c r="D1105" t="str">
        <f>VLOOKUP(C1105, '[1]VLOOKUP 함수용 카테고리'!$A$1:$B$59, 2, 0)</f>
        <v>DAIRY</v>
      </c>
      <c r="E1105" t="s">
        <v>2170</v>
      </c>
      <c r="F1105" t="s">
        <v>1381</v>
      </c>
    </row>
    <row r="1106" spans="1:6" x14ac:dyDescent="0.3">
      <c r="A1106" t="s">
        <v>2171</v>
      </c>
      <c r="B1106" t="str" cm="1">
        <f t="array" ref="B1106">_xlfn.XLOOKUP(C1106, INDEX([1]!카테고리매핑,,2), INDEX([1]!카테고리매핑,,1), "미등록 카테고리")</f>
        <v>유제품</v>
      </c>
      <c r="C1106" t="s">
        <v>123</v>
      </c>
      <c r="D1106" t="str">
        <f>VLOOKUP(C1106, '[1]VLOOKUP 함수용 카테고리'!$A$1:$B$59, 2, 0)</f>
        <v>DAIRY</v>
      </c>
      <c r="E1106" t="s">
        <v>949</v>
      </c>
      <c r="F1106" t="s">
        <v>2172</v>
      </c>
    </row>
    <row r="1107" spans="1:6" x14ac:dyDescent="0.3">
      <c r="A1107" t="s">
        <v>2173</v>
      </c>
      <c r="B1107" t="str" cm="1">
        <f t="array" ref="B1107">_xlfn.XLOOKUP(C1107, INDEX([1]!카테고리매핑,,2), INDEX([1]!카테고리매핑,,1), "미등록 카테고리")</f>
        <v>채소/곡물류</v>
      </c>
      <c r="C1107" t="s">
        <v>7</v>
      </c>
      <c r="D1107" t="str">
        <f>VLOOKUP(C1107, '[1]VLOOKUP 함수용 카테고리'!$A$1:$B$59, 2, 0)</f>
        <v>RAW_PRODUCE</v>
      </c>
      <c r="E1107" t="s">
        <v>743</v>
      </c>
      <c r="F1107" t="s">
        <v>2174</v>
      </c>
    </row>
    <row r="1108" spans="1:6" x14ac:dyDescent="0.3">
      <c r="A1108" t="s">
        <v>2175</v>
      </c>
      <c r="B1108" t="str" cm="1">
        <f t="array" ref="B1108">_xlfn.XLOOKUP(C1108, INDEX([1]!카테고리매핑,,2), INDEX([1]!카테고리매핑,,1), "미등록 카테고리")</f>
        <v>채소/곡물류</v>
      </c>
      <c r="C1108" t="s">
        <v>7</v>
      </c>
      <c r="D1108" t="str">
        <f>VLOOKUP(C1108, '[1]VLOOKUP 함수용 카테고리'!$A$1:$B$59, 2, 0)</f>
        <v>RAW_PRODUCE</v>
      </c>
      <c r="E1108" t="s">
        <v>960</v>
      </c>
    </row>
    <row r="1109" spans="1:6" x14ac:dyDescent="0.3">
      <c r="A1109" t="s">
        <v>2176</v>
      </c>
      <c r="B1109" t="str" cm="1">
        <f t="array" ref="B1109">_xlfn.XLOOKUP(C1109, INDEX([1]!카테고리매핑,,2), INDEX([1]!카테고리매핑,,1), "미등록 카테고리")</f>
        <v>과일/견과류</v>
      </c>
      <c r="C1109" t="s">
        <v>654</v>
      </c>
      <c r="D1109" t="str">
        <f>VLOOKUP(C1109, '[1]VLOOKUP 함수용 카테고리'!$A$1:$B$59, 2, 0)</f>
        <v>RAW_FRUIT</v>
      </c>
      <c r="E1109" t="s">
        <v>2177</v>
      </c>
    </row>
    <row r="1110" spans="1:6" x14ac:dyDescent="0.3">
      <c r="A1110" t="s">
        <v>2179</v>
      </c>
      <c r="B1110" t="str" cm="1">
        <f t="array" ref="B1110">_xlfn.XLOOKUP(C1110, INDEX([1]!카테고리매핑,,2), INDEX([1]!카테고리매핑,,1), "미등록 카테고리")</f>
        <v>수산물</v>
      </c>
      <c r="C1110" t="s">
        <v>203</v>
      </c>
      <c r="D1110" t="str">
        <f>VLOOKUP(C1110, '[1]VLOOKUP 함수용 카테고리'!$A$1:$B$59, 2, 0)</f>
        <v>RAW_SEAFOOD</v>
      </c>
      <c r="E1110" t="s">
        <v>2043</v>
      </c>
      <c r="F1110" t="s">
        <v>1366</v>
      </c>
    </row>
    <row r="1111" spans="1:6" x14ac:dyDescent="0.3">
      <c r="A1111" t="s">
        <v>2180</v>
      </c>
      <c r="B1111" t="str" cm="1">
        <f t="array" ref="B1111">_xlfn.XLOOKUP(C1111, INDEX([1]!카테고리매핑,,2), INDEX([1]!카테고리매핑,,1), "미등록 카테고리")</f>
        <v>간식류</v>
      </c>
      <c r="C1111" t="s">
        <v>109</v>
      </c>
      <c r="D1111" t="str">
        <f>VLOOKUP(C1111, '[1]VLOOKUP 함수용 카테고리'!$A$1:$B$59, 2, 0)</f>
        <v>SNACK</v>
      </c>
      <c r="E1111" t="s">
        <v>2181</v>
      </c>
      <c r="F1111" t="s">
        <v>2182</v>
      </c>
    </row>
    <row r="1112" spans="1:6" x14ac:dyDescent="0.3">
      <c r="A1112" t="s">
        <v>2183</v>
      </c>
      <c r="B1112" t="str" cm="1">
        <f t="array" ref="B1112">_xlfn.XLOOKUP(C1112, INDEX([1]!카테고리매핑,,2), INDEX([1]!카테고리매핑,,1), "미등록 카테고리")</f>
        <v>간편식</v>
      </c>
      <c r="C1112" t="s">
        <v>131</v>
      </c>
      <c r="D1112" t="str">
        <f>VLOOKUP(C1112, '[1]VLOOKUP 함수용 카테고리'!$A$1:$B$59, 2, 0)</f>
        <v>SIMPLE_PROCESSED</v>
      </c>
      <c r="E1112" t="s">
        <v>2184</v>
      </c>
      <c r="F1112" t="s">
        <v>760</v>
      </c>
    </row>
    <row r="1113" spans="1:6" x14ac:dyDescent="0.3">
      <c r="A1113" t="s">
        <v>2185</v>
      </c>
      <c r="B1113" t="str" cm="1">
        <f t="array" ref="B1113">_xlfn.XLOOKUP(C1113, INDEX([1]!카테고리매핑,,2), INDEX([1]!카테고리매핑,,1), "미등록 카테고리")</f>
        <v>채소/곡물류</v>
      </c>
      <c r="C1113" t="s">
        <v>7</v>
      </c>
      <c r="D1113" t="str">
        <f>VLOOKUP(C1113, '[1]VLOOKUP 함수용 카테고리'!$A$1:$B$59, 2, 0)</f>
        <v>RAW_PRODUCE</v>
      </c>
      <c r="E1113" t="s">
        <v>535</v>
      </c>
    </row>
    <row r="1114" spans="1:6" x14ac:dyDescent="0.3">
      <c r="A1114" t="s">
        <v>2186</v>
      </c>
      <c r="B1114" t="str" cm="1">
        <f t="array" ref="B1114">_xlfn.XLOOKUP(C1114, INDEX([1]!카테고리매핑,,2), INDEX([1]!카테고리매핑,,1), "미등록 카테고리")</f>
        <v>과일/견과류</v>
      </c>
      <c r="C1114" t="s">
        <v>654</v>
      </c>
      <c r="D1114" t="str">
        <f>VLOOKUP(C1114, '[1]VLOOKUP 함수용 카테고리'!$A$1:$B$59, 2, 0)</f>
        <v>RAW_FRUIT</v>
      </c>
      <c r="E1114" t="s">
        <v>2177</v>
      </c>
    </row>
    <row r="1115" spans="1:6" x14ac:dyDescent="0.3">
      <c r="A1115" t="s">
        <v>2187</v>
      </c>
      <c r="B1115" t="str" cm="1">
        <f t="array" ref="B1115">_xlfn.XLOOKUP(C1115, INDEX([1]!카테고리매핑,,2), INDEX([1]!카테고리매핑,,1), "미등록 카테고리")</f>
        <v>유제품</v>
      </c>
      <c r="C1115" t="s">
        <v>123</v>
      </c>
      <c r="D1115" t="str">
        <f>VLOOKUP(C1115, '[1]VLOOKUP 함수용 카테고리'!$A$1:$B$59, 2, 0)</f>
        <v>DAIRY</v>
      </c>
      <c r="E1115" t="s">
        <v>190</v>
      </c>
      <c r="F1115" t="s">
        <v>543</v>
      </c>
    </row>
    <row r="1116" spans="1:6" x14ac:dyDescent="0.3">
      <c r="A1116" t="s">
        <v>2188</v>
      </c>
      <c r="B1116" t="str" cm="1">
        <f t="array" ref="B1116">_xlfn.XLOOKUP(C1116, INDEX([1]!카테고리매핑,,2), INDEX([1]!카테고리매핑,,1), "미등록 카테고리")</f>
        <v>채소/곡물류</v>
      </c>
      <c r="C1116" t="s">
        <v>7</v>
      </c>
      <c r="D1116" t="str">
        <f>VLOOKUP(C1116, '[1]VLOOKUP 함수용 카테고리'!$A$1:$B$59, 2, 0)</f>
        <v>RAW_PRODUCE</v>
      </c>
      <c r="E1116" t="s">
        <v>2189</v>
      </c>
      <c r="F1116" t="s">
        <v>2190</v>
      </c>
    </row>
    <row r="1117" spans="1:6" x14ac:dyDescent="0.3">
      <c r="A1117" t="s">
        <v>2191</v>
      </c>
      <c r="B1117" t="str" cm="1">
        <f t="array" ref="B1117">_xlfn.XLOOKUP(C1117, INDEX([1]!카테고리매핑,,2), INDEX([1]!카테고리매핑,,1), "미등록 카테고리")</f>
        <v>간편식</v>
      </c>
      <c r="C1117" t="s">
        <v>131</v>
      </c>
      <c r="D1117" t="str">
        <f>VLOOKUP(C1117, '[1]VLOOKUP 함수용 카테고리'!$A$1:$B$59, 2, 0)</f>
        <v>SIMPLE_PROCESSED</v>
      </c>
      <c r="E1117" t="s">
        <v>2192</v>
      </c>
      <c r="F1117" t="s">
        <v>461</v>
      </c>
    </row>
    <row r="1118" spans="1:6" x14ac:dyDescent="0.3">
      <c r="A1118" t="s">
        <v>2193</v>
      </c>
      <c r="B1118" t="str" cm="1">
        <f t="array" ref="B1118">_xlfn.XLOOKUP(C1118, INDEX([1]!카테고리매핑,,2), INDEX([1]!카테고리매핑,,1), "미등록 카테고리")</f>
        <v>유제품</v>
      </c>
      <c r="C1118" t="s">
        <v>211</v>
      </c>
      <c r="D1118" t="str">
        <f>VLOOKUP(C1118, '[1]VLOOKUP 함수용 카테고리'!$A$1:$B$59, 2, 0)</f>
        <v>DAIRY</v>
      </c>
      <c r="E1118" t="s">
        <v>211</v>
      </c>
      <c r="F1118" t="s">
        <v>1714</v>
      </c>
    </row>
    <row r="1119" spans="1:6" x14ac:dyDescent="0.3">
      <c r="A1119" t="s">
        <v>2194</v>
      </c>
      <c r="B1119" t="str" cm="1">
        <f t="array" ref="B1119">_xlfn.XLOOKUP(C1119, INDEX([1]!카테고리매핑,,2), INDEX([1]!카테고리매핑,,1), "미등록 카테고리")</f>
        <v>간편식</v>
      </c>
      <c r="C1119" t="s">
        <v>46</v>
      </c>
      <c r="D1119" t="str">
        <f>VLOOKUP(C1119, '[1]VLOOKUP 함수용 카테고리'!$A$1:$B$59, 2, 0)</f>
        <v>RTC_MEAL</v>
      </c>
      <c r="E1119" t="s">
        <v>46</v>
      </c>
      <c r="F1119" t="s">
        <v>765</v>
      </c>
    </row>
    <row r="1120" spans="1:6" x14ac:dyDescent="0.3">
      <c r="A1120" t="s">
        <v>2195</v>
      </c>
      <c r="B1120" t="str" cm="1">
        <f t="array" ref="B1120">_xlfn.XLOOKUP(C1120, INDEX([1]!카테고리매핑,,2), INDEX([1]!카테고리매핑,,1), "미등록 카테고리")</f>
        <v>수산물</v>
      </c>
      <c r="C1120" t="s">
        <v>101</v>
      </c>
      <c r="D1120" t="str">
        <f>VLOOKUP(C1120, '[1]VLOOKUP 함수용 카테고리'!$A$1:$B$59, 2, 0)</f>
        <v>DRIED_SEAFOOD</v>
      </c>
      <c r="E1120" t="s">
        <v>601</v>
      </c>
      <c r="F1120" t="s">
        <v>856</v>
      </c>
    </row>
    <row r="1121" spans="1:6" x14ac:dyDescent="0.3">
      <c r="A1121" t="s">
        <v>2196</v>
      </c>
      <c r="B1121" t="str" cm="1">
        <f t="array" ref="B1121">_xlfn.XLOOKUP(C1121, INDEX([1]!카테고리매핑,,2), INDEX([1]!카테고리매핑,,1), "미등록 카테고리")</f>
        <v>음료</v>
      </c>
      <c r="C1121" t="s">
        <v>23</v>
      </c>
      <c r="D1121" t="str">
        <f>VLOOKUP(C1121, '[1]VLOOKUP 함수용 카테고리'!$A$1:$B$59, 2, 0)</f>
        <v>BEVERAGE</v>
      </c>
      <c r="E1121" t="s">
        <v>7652</v>
      </c>
      <c r="F1121" t="s">
        <v>2197</v>
      </c>
    </row>
    <row r="1122" spans="1:6" x14ac:dyDescent="0.3">
      <c r="A1122" t="s">
        <v>2198</v>
      </c>
      <c r="B1122" t="str" cm="1">
        <f t="array" ref="B1122">_xlfn.XLOOKUP(C1122, INDEX([1]!카테고리매핑,,2), INDEX([1]!카테고리매핑,,1), "미등록 카테고리")</f>
        <v>간식류</v>
      </c>
      <c r="C1122" t="s">
        <v>11</v>
      </c>
      <c r="D1122" t="str">
        <f>VLOOKUP(C1122, '[1]VLOOKUP 함수용 카테고리'!$A$1:$B$59, 2, 0)</f>
        <v>SNACK</v>
      </c>
      <c r="E1122" t="s">
        <v>2199</v>
      </c>
      <c r="F1122" t="s">
        <v>2200</v>
      </c>
    </row>
    <row r="1123" spans="1:6" x14ac:dyDescent="0.3">
      <c r="A1123" t="s">
        <v>2201</v>
      </c>
      <c r="B1123" t="str" cm="1">
        <f t="array" ref="B1123">_xlfn.XLOOKUP(C1123, INDEX([1]!카테고리매핑,,2), INDEX([1]!카테고리매핑,,1), "미등록 카테고리")</f>
        <v>조미료</v>
      </c>
      <c r="C1123" t="s">
        <v>84</v>
      </c>
      <c r="D1123" t="str">
        <f>VLOOKUP(C1123, '[1]VLOOKUP 함수용 카테고리'!$A$1:$B$59, 2, 0)</f>
        <v>SAUCE_SEASONING</v>
      </c>
      <c r="E1123" t="s">
        <v>85</v>
      </c>
      <c r="F1123" t="s">
        <v>2202</v>
      </c>
    </row>
    <row r="1124" spans="1:6" x14ac:dyDescent="0.3">
      <c r="A1124" t="s">
        <v>2203</v>
      </c>
      <c r="B1124" t="str" cm="1">
        <f t="array" ref="B1124">_xlfn.XLOOKUP(C1124, INDEX([1]!카테고리매핑,,2), INDEX([1]!카테고리매핑,,1), "미등록 카테고리")</f>
        <v>간편식</v>
      </c>
      <c r="C1124" t="s">
        <v>256</v>
      </c>
      <c r="D1124" t="str">
        <f>VLOOKUP(C1124, '[1]VLOOKUP 함수용 카테고리'!$A$1:$B$59, 2, 0)</f>
        <v>RTC_MEAL</v>
      </c>
      <c r="E1124" t="s">
        <v>256</v>
      </c>
      <c r="F1124" t="s">
        <v>2204</v>
      </c>
    </row>
    <row r="1125" spans="1:6" x14ac:dyDescent="0.3">
      <c r="A1125" t="s">
        <v>2205</v>
      </c>
      <c r="B1125" t="str" cm="1">
        <f t="array" ref="B1125">_xlfn.XLOOKUP(C1125, INDEX([1]!카테고리매핑,,2), INDEX([1]!카테고리매핑,,1), "미등록 카테고리")</f>
        <v>수산물</v>
      </c>
      <c r="C1125" t="s">
        <v>140</v>
      </c>
      <c r="D1125" t="str">
        <f>VLOOKUP(C1125, '[1]VLOOKUP 함수용 카테고리'!$A$1:$B$59, 2, 0)</f>
        <v>SIMPLE_PROCESSED</v>
      </c>
      <c r="E1125" t="s">
        <v>141</v>
      </c>
      <c r="F1125" t="s">
        <v>556</v>
      </c>
    </row>
    <row r="1126" spans="1:6" x14ac:dyDescent="0.3">
      <c r="A1126" t="s">
        <v>2206</v>
      </c>
      <c r="B1126" t="str" cm="1">
        <f t="array" ref="B1126">_xlfn.XLOOKUP(C1126, INDEX([1]!카테고리매핑,,2), INDEX([1]!카테고리매핑,,1), "미등록 카테고리")</f>
        <v>과일/견과류</v>
      </c>
      <c r="C1126" t="s">
        <v>654</v>
      </c>
      <c r="D1126" t="str">
        <f>VLOOKUP(C1126, '[1]VLOOKUP 함수용 카테고리'!$A$1:$B$59, 2, 0)</f>
        <v>RAW_FRUIT</v>
      </c>
      <c r="E1126" t="s">
        <v>728</v>
      </c>
      <c r="F1126" t="s">
        <v>2178</v>
      </c>
    </row>
    <row r="1127" spans="1:6" x14ac:dyDescent="0.3">
      <c r="A1127" t="s">
        <v>2207</v>
      </c>
      <c r="B1127" t="str" cm="1">
        <f t="array" ref="B1127">_xlfn.XLOOKUP(C1127, INDEX([1]!카테고리매핑,,2), INDEX([1]!카테고리매핑,,1), "미등록 카테고리")</f>
        <v>간식류</v>
      </c>
      <c r="C1127" t="s">
        <v>15</v>
      </c>
      <c r="D1127" t="str">
        <f>VLOOKUP(C1127, '[1]VLOOKUP 함수용 카테고리'!$A$1:$B$59, 2, 0)</f>
        <v>BAKERY</v>
      </c>
      <c r="E1127" t="s">
        <v>67</v>
      </c>
      <c r="F1127" t="s">
        <v>2208</v>
      </c>
    </row>
    <row r="1128" spans="1:6" x14ac:dyDescent="0.3">
      <c r="A1128" t="s">
        <v>2209</v>
      </c>
      <c r="B1128" t="str" cm="1">
        <f t="array" ref="B1128">_xlfn.XLOOKUP(C1128, INDEX([1]!카테고리매핑,,2), INDEX([1]!카테고리매핑,,1), "미등록 카테고리")</f>
        <v>조미료</v>
      </c>
      <c r="C1128" t="s">
        <v>127</v>
      </c>
      <c r="D1128" t="str">
        <f>VLOOKUP(C1128, '[1]VLOOKUP 함수용 카테고리'!$A$1:$B$59, 2, 0)</f>
        <v>SAUCE_SEASONING</v>
      </c>
      <c r="E1128" t="s">
        <v>1941</v>
      </c>
      <c r="F1128" t="s">
        <v>1808</v>
      </c>
    </row>
    <row r="1129" spans="1:6" x14ac:dyDescent="0.3">
      <c r="A1129" t="s">
        <v>2210</v>
      </c>
      <c r="B1129" t="str" cm="1">
        <f t="array" ref="B1129">_xlfn.XLOOKUP(C1129, INDEX([1]!카테고리매핑,,2), INDEX([1]!카테고리매핑,,1), "미등록 카테고리")</f>
        <v>간편식</v>
      </c>
      <c r="C1129" t="s">
        <v>256</v>
      </c>
      <c r="D1129" t="str">
        <f>VLOOKUP(C1129, '[1]VLOOKUP 함수용 카테고리'!$A$1:$B$59, 2, 0)</f>
        <v>RTC_MEAL</v>
      </c>
      <c r="E1129" t="s">
        <v>256</v>
      </c>
      <c r="F1129" t="s">
        <v>2211</v>
      </c>
    </row>
    <row r="1130" spans="1:6" x14ac:dyDescent="0.3">
      <c r="A1130" t="s">
        <v>2212</v>
      </c>
      <c r="B1130" t="str" cm="1">
        <f t="array" ref="B1130">_xlfn.XLOOKUP(C1130, INDEX([1]!카테고리매핑,,2), INDEX([1]!카테고리매핑,,1), "미등록 카테고리")</f>
        <v>간편식</v>
      </c>
      <c r="C1130" t="s">
        <v>256</v>
      </c>
      <c r="D1130" t="str">
        <f>VLOOKUP(C1130, '[1]VLOOKUP 함수용 카테고리'!$A$1:$B$59, 2, 0)</f>
        <v>RTC_MEAL</v>
      </c>
      <c r="E1130" t="s">
        <v>256</v>
      </c>
      <c r="F1130" t="s">
        <v>1996</v>
      </c>
    </row>
    <row r="1131" spans="1:6" x14ac:dyDescent="0.3">
      <c r="A1131" t="s">
        <v>2213</v>
      </c>
      <c r="B1131" t="str" cm="1">
        <f t="array" ref="B1131">_xlfn.XLOOKUP(C1131, INDEX([1]!카테고리매핑,,2), INDEX([1]!카테고리매핑,,1), "미등록 카테고리")</f>
        <v>미등록 카테고리</v>
      </c>
      <c r="C1131" t="s">
        <v>334</v>
      </c>
      <c r="D1131" t="str">
        <f>VLOOKUP(C1131, '[1]VLOOKUP 함수용 카테고리'!$A$1:$B$59, 2, 0)</f>
        <v>UNKNOWN</v>
      </c>
      <c r="E1131" t="s">
        <v>334</v>
      </c>
      <c r="F1131" t="s">
        <v>1698</v>
      </c>
    </row>
    <row r="1132" spans="1:6" x14ac:dyDescent="0.3">
      <c r="A1132" t="s">
        <v>2214</v>
      </c>
      <c r="B1132" t="str" cm="1">
        <f t="array" ref="B1132">_xlfn.XLOOKUP(C1132, INDEX([1]!카테고리매핑,,2), INDEX([1]!카테고리매핑,,1), "미등록 카테고리")</f>
        <v>수산물</v>
      </c>
      <c r="C1132" t="s">
        <v>140</v>
      </c>
      <c r="D1132" t="str">
        <f>VLOOKUP(C1132, '[1]VLOOKUP 함수용 카테고리'!$A$1:$B$59, 2, 0)</f>
        <v>SIMPLE_PROCESSED</v>
      </c>
      <c r="E1132" t="s">
        <v>141</v>
      </c>
      <c r="F1132" t="s">
        <v>391</v>
      </c>
    </row>
    <row r="1133" spans="1:6" x14ac:dyDescent="0.3">
      <c r="A1133" t="s">
        <v>2215</v>
      </c>
      <c r="B1133" t="str" cm="1">
        <f t="array" ref="B1133">_xlfn.XLOOKUP(C1133, INDEX([1]!카테고리매핑,,2), INDEX([1]!카테고리매핑,,1), "미등록 카테고리")</f>
        <v>미등록 카테고리</v>
      </c>
      <c r="C1133" t="s">
        <v>334</v>
      </c>
      <c r="D1133" t="str">
        <f>VLOOKUP(C1133, '[1]VLOOKUP 함수용 카테고리'!$A$1:$B$59, 2, 0)</f>
        <v>UNKNOWN</v>
      </c>
      <c r="E1133" t="s">
        <v>334</v>
      </c>
      <c r="F1133" t="s">
        <v>2216</v>
      </c>
    </row>
    <row r="1134" spans="1:6" x14ac:dyDescent="0.3">
      <c r="A1134" t="s">
        <v>2217</v>
      </c>
      <c r="B1134" t="str" cm="1">
        <f t="array" ref="B1134">_xlfn.XLOOKUP(C1134, INDEX([1]!카테고리매핑,,2), INDEX([1]!카테고리매핑,,1), "미등록 카테고리")</f>
        <v>육류/계란</v>
      </c>
      <c r="C1134" t="s">
        <v>105</v>
      </c>
      <c r="D1134" t="str">
        <f>VLOOKUP(C1134, '[1]VLOOKUP 함수용 카테고리'!$A$1:$B$59, 2, 0)</f>
        <v>RAW_MEAT</v>
      </c>
      <c r="E1134" t="s">
        <v>1031</v>
      </c>
      <c r="F1134" t="s">
        <v>254</v>
      </c>
    </row>
    <row r="1135" spans="1:6" x14ac:dyDescent="0.3">
      <c r="A1135" t="s">
        <v>2218</v>
      </c>
      <c r="B1135" t="str" cm="1">
        <f t="array" ref="B1135">_xlfn.XLOOKUP(C1135, INDEX([1]!카테고리매핑,,2), INDEX([1]!카테고리매핑,,1), "미등록 카테고리")</f>
        <v>간편식</v>
      </c>
      <c r="C1135" t="s">
        <v>256</v>
      </c>
      <c r="D1135" t="str">
        <f>VLOOKUP(C1135, '[1]VLOOKUP 함수용 카테고리'!$A$1:$B$59, 2, 0)</f>
        <v>RTC_MEAL</v>
      </c>
      <c r="E1135" t="s">
        <v>256</v>
      </c>
      <c r="F1135" t="s">
        <v>1876</v>
      </c>
    </row>
    <row r="1136" spans="1:6" x14ac:dyDescent="0.3">
      <c r="A1136" t="s">
        <v>2219</v>
      </c>
      <c r="B1136" t="str" cm="1">
        <f t="array" ref="B1136">_xlfn.XLOOKUP(C1136, INDEX([1]!카테고리매핑,,2), INDEX([1]!카테고리매핑,,1), "미등록 카테고리")</f>
        <v>조미료</v>
      </c>
      <c r="C1136" t="s">
        <v>558</v>
      </c>
      <c r="D1136" t="str">
        <f>VLOOKUP(C1136, '[1]VLOOKUP 함수용 카테고리'!$A$1:$B$59, 2, 0)</f>
        <v>SAUCE_SEASONING</v>
      </c>
      <c r="E1136" t="s">
        <v>2220</v>
      </c>
      <c r="F1136" t="s">
        <v>350</v>
      </c>
    </row>
    <row r="1137" spans="1:6" x14ac:dyDescent="0.3">
      <c r="A1137" t="s">
        <v>2221</v>
      </c>
      <c r="B1137" t="str" cm="1">
        <f t="array" ref="B1137">_xlfn.XLOOKUP(C1137, INDEX([1]!카테고리매핑,,2), INDEX([1]!카테고리매핑,,1), "미등록 카테고리")</f>
        <v>미등록 카테고리</v>
      </c>
      <c r="C1137" t="s">
        <v>334</v>
      </c>
      <c r="D1137" t="str">
        <f>VLOOKUP(C1137, '[1]VLOOKUP 함수용 카테고리'!$A$1:$B$59, 2, 0)</f>
        <v>UNKNOWN</v>
      </c>
      <c r="E1137" t="s">
        <v>334</v>
      </c>
      <c r="F1137" t="s">
        <v>2216</v>
      </c>
    </row>
    <row r="1138" spans="1:6" x14ac:dyDescent="0.3">
      <c r="A1138" t="s">
        <v>2222</v>
      </c>
      <c r="B1138" t="str" cm="1">
        <f t="array" ref="B1138">_xlfn.XLOOKUP(C1138, INDEX([1]!카테고리매핑,,2), INDEX([1]!카테고리매핑,,1), "미등록 카테고리")</f>
        <v>유제품</v>
      </c>
      <c r="C1138" t="s">
        <v>211</v>
      </c>
      <c r="D1138" t="str">
        <f>VLOOKUP(C1138, '[1]VLOOKUP 함수용 카테고리'!$A$1:$B$59, 2, 0)</f>
        <v>DAIRY</v>
      </c>
      <c r="E1138" t="s">
        <v>2223</v>
      </c>
      <c r="F1138" t="s">
        <v>2224</v>
      </c>
    </row>
    <row r="1139" spans="1:6" x14ac:dyDescent="0.3">
      <c r="A1139" t="s">
        <v>2225</v>
      </c>
      <c r="B1139" t="str" cm="1">
        <f t="array" ref="B1139">_xlfn.XLOOKUP(C1139, INDEX([1]!카테고리매핑,,2), INDEX([1]!카테고리매핑,,1), "미등록 카테고리")</f>
        <v>간편식</v>
      </c>
      <c r="C1139" t="s">
        <v>131</v>
      </c>
      <c r="D1139" t="str">
        <f>VLOOKUP(C1139, '[1]VLOOKUP 함수용 카테고리'!$A$1:$B$59, 2, 0)</f>
        <v>SIMPLE_PROCESSED</v>
      </c>
      <c r="E1139" t="s">
        <v>2226</v>
      </c>
      <c r="F1139" t="s">
        <v>237</v>
      </c>
    </row>
    <row r="1140" spans="1:6" x14ac:dyDescent="0.3">
      <c r="A1140" t="s">
        <v>2227</v>
      </c>
      <c r="B1140" t="str" cm="1">
        <f t="array" ref="B1140">_xlfn.XLOOKUP(C1140, INDEX([1]!카테고리매핑,,2), INDEX([1]!카테고리매핑,,1), "미등록 카테고리")</f>
        <v>술</v>
      </c>
      <c r="C1140" t="s">
        <v>411</v>
      </c>
      <c r="D1140" t="str">
        <f>VLOOKUP(C1140, '[1]VLOOKUP 함수용 카테고리'!$A$1:$B$59, 2, 0)</f>
        <v>ALCOHOL</v>
      </c>
      <c r="E1140" t="s">
        <v>1159</v>
      </c>
    </row>
    <row r="1141" spans="1:6" x14ac:dyDescent="0.3">
      <c r="A1141" t="s">
        <v>2228</v>
      </c>
      <c r="B1141" t="str" cm="1">
        <f t="array" ref="B1141">_xlfn.XLOOKUP(C1141, INDEX([1]!카테고리매핑,,2), INDEX([1]!카테고리매핑,,1), "미등록 카테고리")</f>
        <v>조미료</v>
      </c>
      <c r="C1141" t="s">
        <v>84</v>
      </c>
      <c r="D1141" t="str">
        <f>VLOOKUP(C1141, '[1]VLOOKUP 함수용 카테고리'!$A$1:$B$59, 2, 0)</f>
        <v>SAUCE_SEASONING</v>
      </c>
      <c r="E1141" t="s">
        <v>444</v>
      </c>
      <c r="F1141" t="s">
        <v>129</v>
      </c>
    </row>
    <row r="1142" spans="1:6" x14ac:dyDescent="0.3">
      <c r="A1142" t="s">
        <v>2229</v>
      </c>
      <c r="B1142" t="str" cm="1">
        <f t="array" ref="B1142">_xlfn.XLOOKUP(C1142, INDEX([1]!카테고리매핑,,2), INDEX([1]!카테고리매핑,,1), "미등록 카테고리")</f>
        <v>간편식</v>
      </c>
      <c r="C1142" t="s">
        <v>46</v>
      </c>
      <c r="D1142" t="str">
        <f>VLOOKUP(C1142, '[1]VLOOKUP 함수용 카테고리'!$A$1:$B$59, 2, 0)</f>
        <v>RTC_MEAL</v>
      </c>
      <c r="E1142" t="s">
        <v>46</v>
      </c>
      <c r="F1142" t="s">
        <v>2230</v>
      </c>
    </row>
    <row r="1143" spans="1:6" x14ac:dyDescent="0.3">
      <c r="A1143" t="s">
        <v>2231</v>
      </c>
      <c r="B1143" t="str" cm="1">
        <f t="array" ref="B1143">_xlfn.XLOOKUP(C1143, INDEX([1]!카테고리매핑,,2), INDEX([1]!카테고리매핑,,1), "미등록 카테고리")</f>
        <v>음료</v>
      </c>
      <c r="C1143" t="s">
        <v>23</v>
      </c>
      <c r="D1143" t="str">
        <f>VLOOKUP(C1143, '[1]VLOOKUP 함수용 카테고리'!$A$1:$B$59, 2, 0)</f>
        <v>BEVERAGE</v>
      </c>
      <c r="E1143" t="s">
        <v>355</v>
      </c>
      <c r="F1143" t="s">
        <v>356</v>
      </c>
    </row>
    <row r="1144" spans="1:6" x14ac:dyDescent="0.3">
      <c r="A1144" t="s">
        <v>2232</v>
      </c>
      <c r="B1144" t="str" cm="1">
        <f t="array" ref="B1144">_xlfn.XLOOKUP(C1144, INDEX([1]!카테고리매핑,,2), INDEX([1]!카테고리매핑,,1), "미등록 카테고리")</f>
        <v>간편식</v>
      </c>
      <c r="C1144" t="s">
        <v>131</v>
      </c>
      <c r="D1144" t="str">
        <f>VLOOKUP(C1144, '[1]VLOOKUP 함수용 카테고리'!$A$1:$B$59, 2, 0)</f>
        <v>SIMPLE_PROCESSED</v>
      </c>
      <c r="E1144" t="s">
        <v>2226</v>
      </c>
      <c r="F1144" t="s">
        <v>541</v>
      </c>
    </row>
    <row r="1145" spans="1:6" x14ac:dyDescent="0.3">
      <c r="A1145" t="s">
        <v>2233</v>
      </c>
      <c r="B1145" t="str" cm="1">
        <f t="array" ref="B1145">_xlfn.XLOOKUP(C1145, INDEX([1]!카테고리매핑,,2), INDEX([1]!카테고리매핑,,1), "미등록 카테고리")</f>
        <v>조미료</v>
      </c>
      <c r="C1145" t="s">
        <v>83</v>
      </c>
      <c r="D1145" t="str">
        <f>VLOOKUP(C1145, '[1]VLOOKUP 함수용 카테고리'!$A$1:$B$59, 2, 0)</f>
        <v>SAUCE_SEASONING</v>
      </c>
      <c r="E1145" t="s">
        <v>1391</v>
      </c>
      <c r="F1145" t="s">
        <v>2234</v>
      </c>
    </row>
    <row r="1146" spans="1:6" x14ac:dyDescent="0.3">
      <c r="A1146" t="s">
        <v>2235</v>
      </c>
      <c r="B1146" t="str" cm="1">
        <f t="array" ref="B1146">_xlfn.XLOOKUP(C1146, INDEX([1]!카테고리매핑,,2), INDEX([1]!카테고리매핑,,1), "미등록 카테고리")</f>
        <v>간식류</v>
      </c>
      <c r="C1146" t="s">
        <v>15</v>
      </c>
      <c r="D1146" t="str">
        <f>VLOOKUP(C1146, '[1]VLOOKUP 함수용 카테고리'!$A$1:$B$59, 2, 0)</f>
        <v>BAKERY</v>
      </c>
      <c r="E1146" t="s">
        <v>2236</v>
      </c>
      <c r="F1146" t="s">
        <v>2237</v>
      </c>
    </row>
    <row r="1147" spans="1:6" x14ac:dyDescent="0.3">
      <c r="A1147" t="s">
        <v>2238</v>
      </c>
      <c r="B1147" t="str" cm="1">
        <f t="array" ref="B1147">_xlfn.XLOOKUP(C1147, INDEX([1]!카테고리매핑,,2), INDEX([1]!카테고리매핑,,1), "미등록 카테고리")</f>
        <v>간편식</v>
      </c>
      <c r="C1147" t="s">
        <v>131</v>
      </c>
      <c r="D1147" t="str">
        <f>VLOOKUP(C1147, '[1]VLOOKUP 함수용 카테고리'!$A$1:$B$59, 2, 0)</f>
        <v>SIMPLE_PROCESSED</v>
      </c>
      <c r="E1147" t="s">
        <v>2239</v>
      </c>
      <c r="F1147" t="s">
        <v>237</v>
      </c>
    </row>
    <row r="1148" spans="1:6" x14ac:dyDescent="0.3">
      <c r="A1148" t="s">
        <v>2240</v>
      </c>
      <c r="B1148" t="str" cm="1">
        <f t="array" ref="B1148">_xlfn.XLOOKUP(C1148, INDEX([1]!카테고리매핑,,2), INDEX([1]!카테고리매핑,,1), "미등록 카테고리")</f>
        <v>유제품</v>
      </c>
      <c r="C1148" t="s">
        <v>211</v>
      </c>
      <c r="D1148" t="str">
        <f>VLOOKUP(C1148, '[1]VLOOKUP 함수용 카테고리'!$A$1:$B$59, 2, 0)</f>
        <v>DAIRY</v>
      </c>
      <c r="E1148" t="s">
        <v>211</v>
      </c>
      <c r="F1148" t="s">
        <v>191</v>
      </c>
    </row>
    <row r="1149" spans="1:6" x14ac:dyDescent="0.3">
      <c r="A1149" t="s">
        <v>2241</v>
      </c>
      <c r="B1149" t="str" cm="1">
        <f t="array" ref="B1149">_xlfn.XLOOKUP(C1149, INDEX([1]!카테고리매핑,,2), INDEX([1]!카테고리매핑,,1), "미등록 카테고리")</f>
        <v>조미료</v>
      </c>
      <c r="C1149" t="s">
        <v>83</v>
      </c>
      <c r="D1149" t="str">
        <f>VLOOKUP(C1149, '[1]VLOOKUP 함수용 카테고리'!$A$1:$B$59, 2, 0)</f>
        <v>SAUCE_SEASONING</v>
      </c>
      <c r="E1149" t="s">
        <v>2242</v>
      </c>
      <c r="F1149" t="s">
        <v>2182</v>
      </c>
    </row>
    <row r="1150" spans="1:6" x14ac:dyDescent="0.3">
      <c r="A1150" t="s">
        <v>2243</v>
      </c>
      <c r="B1150" t="str" cm="1">
        <f t="array" ref="B1150">_xlfn.XLOOKUP(C1150, INDEX([1]!카테고리매핑,,2), INDEX([1]!카테고리매핑,,1), "미등록 카테고리")</f>
        <v>조미료</v>
      </c>
      <c r="C1150" t="s">
        <v>558</v>
      </c>
      <c r="D1150" t="str">
        <f>VLOOKUP(C1150, '[1]VLOOKUP 함수용 카테고리'!$A$1:$B$59, 2, 0)</f>
        <v>SAUCE_SEASONING</v>
      </c>
      <c r="E1150" t="s">
        <v>956</v>
      </c>
    </row>
    <row r="1151" spans="1:6" x14ac:dyDescent="0.3">
      <c r="A1151" t="s">
        <v>2244</v>
      </c>
      <c r="B1151" t="str" cm="1">
        <f t="array" ref="B1151">_xlfn.XLOOKUP(C1151, INDEX([1]!카테고리매핑,,2), INDEX([1]!카테고리매핑,,1), "미등록 카테고리")</f>
        <v>채소/곡물류</v>
      </c>
      <c r="C1151" t="s">
        <v>7</v>
      </c>
      <c r="D1151" t="str">
        <f>VLOOKUP(C1151, '[1]VLOOKUP 함수용 카테고리'!$A$1:$B$59, 2, 0)</f>
        <v>RAW_PRODUCE</v>
      </c>
      <c r="E1151" t="s">
        <v>405</v>
      </c>
    </row>
    <row r="1152" spans="1:6" x14ac:dyDescent="0.3">
      <c r="A1152" t="s">
        <v>2245</v>
      </c>
      <c r="B1152" t="str" cm="1">
        <f t="array" ref="B1152">_xlfn.XLOOKUP(C1152, INDEX([1]!카테고리매핑,,2), INDEX([1]!카테고리매핑,,1), "미등록 카테고리")</f>
        <v>간식류</v>
      </c>
      <c r="C1152" t="s">
        <v>63</v>
      </c>
      <c r="D1152" t="str">
        <f>VLOOKUP(C1152, '[1]VLOOKUP 함수용 카테고리'!$A$1:$B$59, 2, 0)</f>
        <v>BAKERY</v>
      </c>
      <c r="E1152" t="s">
        <v>2246</v>
      </c>
      <c r="F1152" t="s">
        <v>65</v>
      </c>
    </row>
    <row r="1153" spans="1:6" x14ac:dyDescent="0.3">
      <c r="A1153" t="s">
        <v>2247</v>
      </c>
      <c r="B1153" t="str" cm="1">
        <f t="array" ref="B1153">_xlfn.XLOOKUP(C1153, INDEX([1]!카테고리매핑,,2), INDEX([1]!카테고리매핑,,1), "미등록 카테고리")</f>
        <v>간식류</v>
      </c>
      <c r="C1153" t="s">
        <v>38</v>
      </c>
      <c r="D1153" t="str">
        <f>VLOOKUP(C1153, '[1]VLOOKUP 함수용 카테고리'!$A$1:$B$59, 2, 0)</f>
        <v>SNACK</v>
      </c>
      <c r="E1153" t="s">
        <v>39</v>
      </c>
      <c r="F1153" t="s">
        <v>246</v>
      </c>
    </row>
    <row r="1154" spans="1:6" x14ac:dyDescent="0.3">
      <c r="A1154" t="s">
        <v>2248</v>
      </c>
      <c r="B1154" t="str" cm="1">
        <f t="array" ref="B1154">_xlfn.XLOOKUP(C1154, INDEX([1]!카테고리매핑,,2), INDEX([1]!카테고리매핑,,1), "미등록 카테고리")</f>
        <v>유제품</v>
      </c>
      <c r="C1154" t="s">
        <v>123</v>
      </c>
      <c r="D1154" t="str">
        <f>VLOOKUP(C1154, '[1]VLOOKUP 함수용 카테고리'!$A$1:$B$59, 2, 0)</f>
        <v>DAIRY</v>
      </c>
      <c r="E1154" t="s">
        <v>190</v>
      </c>
      <c r="F1154" t="s">
        <v>2249</v>
      </c>
    </row>
    <row r="1155" spans="1:6" x14ac:dyDescent="0.3">
      <c r="A1155" t="s">
        <v>2250</v>
      </c>
      <c r="B1155" t="str" cm="1">
        <f t="array" ref="B1155">_xlfn.XLOOKUP(C1155, INDEX([1]!카테고리매핑,,2), INDEX([1]!카테고리매핑,,1), "미등록 카테고리")</f>
        <v>채소/곡물류</v>
      </c>
      <c r="C1155" t="s">
        <v>7</v>
      </c>
      <c r="D1155" t="str">
        <f>VLOOKUP(C1155, '[1]VLOOKUP 함수용 카테고리'!$A$1:$B$59, 2, 0)</f>
        <v>RAW_PRODUCE</v>
      </c>
      <c r="E1155" t="s">
        <v>723</v>
      </c>
    </row>
    <row r="1156" spans="1:6" x14ac:dyDescent="0.3">
      <c r="A1156" t="s">
        <v>2251</v>
      </c>
      <c r="B1156" t="str" cm="1">
        <f t="array" ref="B1156">_xlfn.XLOOKUP(C1156, INDEX([1]!카테고리매핑,,2), INDEX([1]!카테고리매핑,,1), "미등록 카테고리")</f>
        <v>수산물</v>
      </c>
      <c r="C1156" t="s">
        <v>229</v>
      </c>
      <c r="D1156" t="str">
        <f>VLOOKUP(C1156, '[1]VLOOKUP 함수용 카테고리'!$A$1:$B$59, 2, 0)</f>
        <v>RAW_SEAFOOD</v>
      </c>
      <c r="E1156" t="s">
        <v>230</v>
      </c>
      <c r="F1156" t="s">
        <v>2252</v>
      </c>
    </row>
    <row r="1157" spans="1:6" x14ac:dyDescent="0.3">
      <c r="A1157" t="s">
        <v>2253</v>
      </c>
      <c r="B1157" t="str" cm="1">
        <f t="array" ref="B1157">_xlfn.XLOOKUP(C1157, INDEX([1]!카테고리매핑,,2), INDEX([1]!카테고리매핑,,1), "미등록 카테고리")</f>
        <v>수산물</v>
      </c>
      <c r="C1157" t="s">
        <v>101</v>
      </c>
      <c r="D1157" t="str">
        <f>VLOOKUP(C1157, '[1]VLOOKUP 함수용 카테고리'!$A$1:$B$59, 2, 0)</f>
        <v>DRIED_SEAFOOD</v>
      </c>
      <c r="E1157" t="s">
        <v>2254</v>
      </c>
      <c r="F1157" t="s">
        <v>2255</v>
      </c>
    </row>
    <row r="1158" spans="1:6" x14ac:dyDescent="0.3">
      <c r="A1158" t="s">
        <v>2256</v>
      </c>
      <c r="B1158" t="str" cm="1">
        <f t="array" ref="B1158">_xlfn.XLOOKUP(C1158, INDEX([1]!카테고리매핑,,2), INDEX([1]!카테고리매핑,,1), "미등록 카테고리")</f>
        <v>수산물</v>
      </c>
      <c r="C1158" t="s">
        <v>263</v>
      </c>
      <c r="D1158" t="str">
        <f>VLOOKUP(C1158, '[1]VLOOKUP 함수용 카테고리'!$A$1:$B$59, 2, 0)</f>
        <v>RAW_SEAFOOD</v>
      </c>
      <c r="E1158" t="s">
        <v>408</v>
      </c>
      <c r="F1158" t="s">
        <v>1802</v>
      </c>
    </row>
    <row r="1159" spans="1:6" x14ac:dyDescent="0.3">
      <c r="A1159" t="s">
        <v>2257</v>
      </c>
      <c r="B1159" t="str" cm="1">
        <f t="array" ref="B1159">_xlfn.XLOOKUP(C1159, INDEX([1]!카테고리매핑,,2), INDEX([1]!카테고리매핑,,1), "미등록 카테고리")</f>
        <v>간식류</v>
      </c>
      <c r="C1159" t="s">
        <v>11</v>
      </c>
      <c r="D1159" t="str">
        <f>VLOOKUP(C1159, '[1]VLOOKUP 함수용 카테고리'!$A$1:$B$59, 2, 0)</f>
        <v>SNACK</v>
      </c>
      <c r="E1159" t="s">
        <v>2258</v>
      </c>
      <c r="F1159" t="s">
        <v>2115</v>
      </c>
    </row>
    <row r="1160" spans="1:6" x14ac:dyDescent="0.3">
      <c r="A1160" t="s">
        <v>2259</v>
      </c>
      <c r="B1160" t="str" cm="1">
        <f t="array" ref="B1160">_xlfn.XLOOKUP(C1160, INDEX([1]!카테고리매핑,,2), INDEX([1]!카테고리매핑,,1), "미등록 카테고리")</f>
        <v>채소/곡물류</v>
      </c>
      <c r="C1160" t="s">
        <v>7</v>
      </c>
      <c r="D1160" t="str">
        <f>VLOOKUP(C1160, '[1]VLOOKUP 함수용 카테고리'!$A$1:$B$59, 2, 0)</f>
        <v>RAW_PRODUCE</v>
      </c>
      <c r="E1160" t="s">
        <v>2260</v>
      </c>
      <c r="F1160" t="s">
        <v>2261</v>
      </c>
    </row>
    <row r="1161" spans="1:6" x14ac:dyDescent="0.3">
      <c r="A1161" t="s">
        <v>2262</v>
      </c>
      <c r="B1161" t="str" cm="1">
        <f t="array" ref="B1161">_xlfn.XLOOKUP(C1161, INDEX([1]!카테고리매핑,,2), INDEX([1]!카테고리매핑,,1), "미등록 카테고리")</f>
        <v>육류/계란</v>
      </c>
      <c r="C1161" t="s">
        <v>298</v>
      </c>
      <c r="D1161" t="str">
        <f>VLOOKUP(C1161, '[1]VLOOKUP 함수용 카테고리'!$A$1:$B$59, 2, 0)</f>
        <v>RAW_MEAT</v>
      </c>
      <c r="E1161" t="s">
        <v>298</v>
      </c>
      <c r="F1161" t="s">
        <v>350</v>
      </c>
    </row>
    <row r="1162" spans="1:6" x14ac:dyDescent="0.3">
      <c r="A1162" t="s">
        <v>2263</v>
      </c>
      <c r="B1162" t="str" cm="1">
        <f t="array" ref="B1162">_xlfn.XLOOKUP(C1162, INDEX([1]!카테고리매핑,,2), INDEX([1]!카테고리매핑,,1), "미등록 카테고리")</f>
        <v>과일/견과류</v>
      </c>
      <c r="C1162" t="s">
        <v>1179</v>
      </c>
      <c r="D1162" t="str">
        <f>VLOOKUP(C1162, '[1]VLOOKUP 함수용 카테고리'!$A$1:$B$59, 2, 0)</f>
        <v>RAW_FRUIT</v>
      </c>
      <c r="E1162" t="s">
        <v>1179</v>
      </c>
      <c r="F1162" t="s">
        <v>2264</v>
      </c>
    </row>
    <row r="1163" spans="1:6" x14ac:dyDescent="0.3">
      <c r="A1163" t="s">
        <v>2265</v>
      </c>
      <c r="B1163" t="str" cm="1">
        <f t="array" ref="B1163">_xlfn.XLOOKUP(C1163, INDEX([1]!카테고리매핑,,2), INDEX([1]!카테고리매핑,,1), "미등록 카테고리")</f>
        <v>상온식품</v>
      </c>
      <c r="C1163" t="s">
        <v>835</v>
      </c>
      <c r="D1163" t="str">
        <f>VLOOKUP(C1163, '[1]VLOOKUP 함수용 카테고리'!$A$1:$B$59, 2, 0)</f>
        <v>SAUCE_SEASONING</v>
      </c>
      <c r="E1163" t="s">
        <v>2266</v>
      </c>
      <c r="F1163" t="s">
        <v>2267</v>
      </c>
    </row>
    <row r="1164" spans="1:6" x14ac:dyDescent="0.3">
      <c r="A1164" t="s">
        <v>2268</v>
      </c>
      <c r="B1164" t="str" cm="1">
        <f t="array" ref="B1164">_xlfn.XLOOKUP(C1164, INDEX([1]!카테고리매핑,,2), INDEX([1]!카테고리매핑,,1), "미등록 카테고리")</f>
        <v>미등록 카테고리</v>
      </c>
      <c r="C1164" t="s">
        <v>334</v>
      </c>
      <c r="D1164" t="str">
        <f>VLOOKUP(C1164, '[1]VLOOKUP 함수용 카테고리'!$A$1:$B$59, 2, 0)</f>
        <v>UNKNOWN</v>
      </c>
      <c r="E1164" t="s">
        <v>334</v>
      </c>
      <c r="F1164" t="s">
        <v>2269</v>
      </c>
    </row>
    <row r="1165" spans="1:6" x14ac:dyDescent="0.3">
      <c r="A1165" t="s">
        <v>2270</v>
      </c>
      <c r="B1165" t="str" cm="1">
        <f t="array" ref="B1165">_xlfn.XLOOKUP(C1165, INDEX([1]!카테고리매핑,,2), INDEX([1]!카테고리매핑,,1), "미등록 카테고리")</f>
        <v>간식류</v>
      </c>
      <c r="C1165" t="s">
        <v>63</v>
      </c>
      <c r="D1165" t="str">
        <f>VLOOKUP(C1165, '[1]VLOOKUP 함수용 카테고리'!$A$1:$B$59, 2, 0)</f>
        <v>BAKERY</v>
      </c>
      <c r="E1165" t="s">
        <v>2040</v>
      </c>
      <c r="F1165" t="s">
        <v>2271</v>
      </c>
    </row>
    <row r="1166" spans="1:6" x14ac:dyDescent="0.3">
      <c r="A1166" t="s">
        <v>2272</v>
      </c>
      <c r="B1166" t="str" cm="1">
        <f t="array" ref="B1166">_xlfn.XLOOKUP(C1166, INDEX([1]!카테고리매핑,,2), INDEX([1]!카테고리매핑,,1), "미등록 카테고리")</f>
        <v>채소/곡물류</v>
      </c>
      <c r="C1166" t="s">
        <v>27</v>
      </c>
      <c r="D1166" t="str">
        <f>VLOOKUP(C1166, '[1]VLOOKUP 함수용 카테고리'!$A$1:$B$59, 2, 0)</f>
        <v>SIMPLE_PROCESSED</v>
      </c>
      <c r="E1166" t="s">
        <v>2273</v>
      </c>
      <c r="F1166" t="s">
        <v>2274</v>
      </c>
    </row>
    <row r="1167" spans="1:6" x14ac:dyDescent="0.3">
      <c r="A1167" t="s">
        <v>2275</v>
      </c>
      <c r="B1167" t="str" cm="1">
        <f t="array" ref="B1167">_xlfn.XLOOKUP(C1167, INDEX([1]!카테고리매핑,,2), INDEX([1]!카테고리매핑,,1), "미등록 카테고리")</f>
        <v>간편식</v>
      </c>
      <c r="C1167" t="s">
        <v>256</v>
      </c>
      <c r="D1167" t="str">
        <f>VLOOKUP(C1167, '[1]VLOOKUP 함수용 카테고리'!$A$1:$B$59, 2, 0)</f>
        <v>RTC_MEAL</v>
      </c>
      <c r="E1167" t="s">
        <v>256</v>
      </c>
      <c r="F1167" t="s">
        <v>391</v>
      </c>
    </row>
    <row r="1168" spans="1:6" x14ac:dyDescent="0.3">
      <c r="A1168" t="s">
        <v>2276</v>
      </c>
      <c r="B1168" t="str" cm="1">
        <f t="array" ref="B1168">_xlfn.XLOOKUP(C1168, INDEX([1]!카테고리매핑,,2), INDEX([1]!카테고리매핑,,1), "미등록 카테고리")</f>
        <v>수산물</v>
      </c>
      <c r="C1168" t="s">
        <v>263</v>
      </c>
      <c r="D1168" t="str">
        <f>VLOOKUP(C1168, '[1]VLOOKUP 함수용 카테고리'!$A$1:$B$59, 2, 0)</f>
        <v>RAW_SEAFOOD</v>
      </c>
      <c r="E1168" t="s">
        <v>2277</v>
      </c>
      <c r="F1168" t="s">
        <v>2278</v>
      </c>
    </row>
    <row r="1169" spans="1:6" x14ac:dyDescent="0.3">
      <c r="A1169" t="s">
        <v>2279</v>
      </c>
      <c r="B1169" t="str" cm="1">
        <f t="array" ref="B1169">_xlfn.XLOOKUP(C1169, INDEX([1]!카테고리매핑,,2), INDEX([1]!카테고리매핑,,1), "미등록 카테고리")</f>
        <v>과일/견과류</v>
      </c>
      <c r="C1169" t="s">
        <v>654</v>
      </c>
      <c r="D1169" t="str">
        <f>VLOOKUP(C1169, '[1]VLOOKUP 함수용 카테고리'!$A$1:$B$59, 2, 0)</f>
        <v>RAW_FRUIT</v>
      </c>
      <c r="E1169" t="s">
        <v>2177</v>
      </c>
      <c r="F1169" t="s">
        <v>2280</v>
      </c>
    </row>
    <row r="1170" spans="1:6" x14ac:dyDescent="0.3">
      <c r="A1170" t="s">
        <v>2281</v>
      </c>
      <c r="B1170" t="str" cm="1">
        <f t="array" ref="B1170">_xlfn.XLOOKUP(C1170, INDEX([1]!카테고리매핑,,2), INDEX([1]!카테고리매핑,,1), "미등록 카테고리")</f>
        <v>수산물</v>
      </c>
      <c r="C1170" t="s">
        <v>101</v>
      </c>
      <c r="D1170" t="str">
        <f>VLOOKUP(C1170, '[1]VLOOKUP 함수용 카테고리'!$A$1:$B$59, 2, 0)</f>
        <v>DRIED_SEAFOOD</v>
      </c>
      <c r="E1170" t="s">
        <v>601</v>
      </c>
      <c r="F1170" t="s">
        <v>856</v>
      </c>
    </row>
    <row r="1171" spans="1:6" x14ac:dyDescent="0.3">
      <c r="A1171" t="s">
        <v>2282</v>
      </c>
      <c r="B1171" t="str" cm="1">
        <f t="array" ref="B1171">_xlfn.XLOOKUP(C1171, INDEX([1]!카테고리매핑,,2), INDEX([1]!카테고리매핑,,1), "미등록 카테고리")</f>
        <v>수산물</v>
      </c>
      <c r="C1171" t="s">
        <v>203</v>
      </c>
      <c r="D1171" t="str">
        <f>VLOOKUP(C1171, '[1]VLOOKUP 함수용 카테고리'!$A$1:$B$59, 2, 0)</f>
        <v>RAW_SEAFOOD</v>
      </c>
      <c r="E1171" t="s">
        <v>2283</v>
      </c>
      <c r="F1171" t="s">
        <v>1366</v>
      </c>
    </row>
    <row r="1172" spans="1:6" x14ac:dyDescent="0.3">
      <c r="A1172" t="s">
        <v>2284</v>
      </c>
      <c r="B1172" t="str" cm="1">
        <f t="array" ref="B1172">_xlfn.XLOOKUP(C1172, INDEX([1]!카테고리매핑,,2), INDEX([1]!카테고리매핑,,1), "미등록 카테고리")</f>
        <v>간편식</v>
      </c>
      <c r="C1172" t="s">
        <v>158</v>
      </c>
      <c r="D1172" t="str">
        <f>VLOOKUP(C1172, '[1]VLOOKUP 함수용 카테고리'!$A$1:$B$59, 2, 0)</f>
        <v>INSTANT</v>
      </c>
      <c r="E1172" t="s">
        <v>2285</v>
      </c>
      <c r="F1172" t="s">
        <v>154</v>
      </c>
    </row>
    <row r="1173" spans="1:6" x14ac:dyDescent="0.3">
      <c r="A1173" t="s">
        <v>2286</v>
      </c>
      <c r="B1173" t="str" cm="1">
        <f t="array" ref="B1173">_xlfn.XLOOKUP(C1173, INDEX([1]!카테고리매핑,,2), INDEX([1]!카테고리매핑,,1), "미등록 카테고리")</f>
        <v>간식류</v>
      </c>
      <c r="C1173" t="s">
        <v>15</v>
      </c>
      <c r="D1173" t="str">
        <f>VLOOKUP(C1173, '[1]VLOOKUP 함수용 카테고리'!$A$1:$B$59, 2, 0)</f>
        <v>BAKERY</v>
      </c>
      <c r="E1173" t="s">
        <v>499</v>
      </c>
      <c r="F1173" t="s">
        <v>892</v>
      </c>
    </row>
    <row r="1174" spans="1:6" x14ac:dyDescent="0.3">
      <c r="A1174" t="s">
        <v>2287</v>
      </c>
      <c r="B1174" t="str" cm="1">
        <f t="array" ref="B1174">_xlfn.XLOOKUP(C1174, INDEX([1]!카테고리매핑,,2), INDEX([1]!카테고리매핑,,1), "미등록 카테고리")</f>
        <v>유제품</v>
      </c>
      <c r="C1174" t="s">
        <v>98</v>
      </c>
      <c r="D1174" t="str">
        <f>VLOOKUP(C1174, '[1]VLOOKUP 함수용 카테고리'!$A$1:$B$59, 2, 0)</f>
        <v>DAIRY</v>
      </c>
      <c r="E1174" t="s">
        <v>2288</v>
      </c>
      <c r="F1174" t="s">
        <v>688</v>
      </c>
    </row>
    <row r="1175" spans="1:6" x14ac:dyDescent="0.3">
      <c r="A1175" t="s">
        <v>2289</v>
      </c>
      <c r="B1175" t="str" cm="1">
        <f t="array" ref="B1175">_xlfn.XLOOKUP(C1175, INDEX([1]!카테고리매핑,,2), INDEX([1]!카테고리매핑,,1), "미등록 카테고리")</f>
        <v>술</v>
      </c>
      <c r="C1175" t="s">
        <v>42</v>
      </c>
      <c r="D1175" t="str">
        <f>VLOOKUP(C1175, '[1]VLOOKUP 함수용 카테고리'!$A$1:$B$59, 2, 0)</f>
        <v>ALCOHOL</v>
      </c>
      <c r="E1175" t="s">
        <v>553</v>
      </c>
    </row>
    <row r="1176" spans="1:6" x14ac:dyDescent="0.3">
      <c r="A1176" t="s">
        <v>2290</v>
      </c>
      <c r="B1176" t="str" cm="1">
        <f t="array" ref="B1176">_xlfn.XLOOKUP(C1176, INDEX([1]!카테고리매핑,,2), INDEX([1]!카테고리매핑,,1), "미등록 카테고리")</f>
        <v>과일/견과류</v>
      </c>
      <c r="C1176" t="s">
        <v>1179</v>
      </c>
      <c r="D1176" t="str">
        <f>VLOOKUP(C1176, '[1]VLOOKUP 함수용 카테고리'!$A$1:$B$59, 2, 0)</f>
        <v>RAW_FRUIT</v>
      </c>
      <c r="E1176" t="s">
        <v>1179</v>
      </c>
      <c r="F1176" t="s">
        <v>2280</v>
      </c>
    </row>
    <row r="1177" spans="1:6" x14ac:dyDescent="0.3">
      <c r="A1177" t="s">
        <v>2291</v>
      </c>
      <c r="B1177" t="str" cm="1">
        <f t="array" ref="B1177">_xlfn.XLOOKUP(C1177, INDEX([1]!카테고리매핑,,2), INDEX([1]!카테고리매핑,,1), "미등록 카테고리")</f>
        <v>수산물</v>
      </c>
      <c r="C1177" t="s">
        <v>101</v>
      </c>
      <c r="D1177" t="str">
        <f>VLOOKUP(C1177, '[1]VLOOKUP 함수용 카테고리'!$A$1:$B$59, 2, 0)</f>
        <v>DRIED_SEAFOOD</v>
      </c>
      <c r="E1177" t="s">
        <v>693</v>
      </c>
    </row>
    <row r="1178" spans="1:6" x14ac:dyDescent="0.3">
      <c r="A1178" t="s">
        <v>2292</v>
      </c>
      <c r="B1178" t="str" cm="1">
        <f t="array" ref="B1178">_xlfn.XLOOKUP(C1178, INDEX([1]!카테고리매핑,,2), INDEX([1]!카테고리매핑,,1), "미등록 카테고리")</f>
        <v>조미료</v>
      </c>
      <c r="C1178" t="s">
        <v>84</v>
      </c>
      <c r="D1178" t="str">
        <f>VLOOKUP(C1178, '[1]VLOOKUP 함수용 카테고리'!$A$1:$B$59, 2, 0)</f>
        <v>SAUCE_SEASONING</v>
      </c>
      <c r="E1178" t="s">
        <v>85</v>
      </c>
      <c r="F1178" t="s">
        <v>7756</v>
      </c>
    </row>
    <row r="1179" spans="1:6" x14ac:dyDescent="0.3">
      <c r="A1179" t="s">
        <v>2293</v>
      </c>
      <c r="B1179" t="str" cm="1">
        <f t="array" ref="B1179">_xlfn.XLOOKUP(C1179, INDEX([1]!카테고리매핑,,2), INDEX([1]!카테고리매핑,,1), "미등록 카테고리")</f>
        <v>육류/계란</v>
      </c>
      <c r="C1179" t="s">
        <v>34</v>
      </c>
      <c r="D1179" t="str">
        <f>VLOOKUP(C1179, '[1]VLOOKUP 함수용 카테고리'!$A$1:$B$59, 2, 0)</f>
        <v>RAW_MEAT</v>
      </c>
      <c r="E1179" t="s">
        <v>2294</v>
      </c>
    </row>
    <row r="1180" spans="1:6" x14ac:dyDescent="0.3">
      <c r="A1180" t="s">
        <v>2295</v>
      </c>
      <c r="B1180" t="str" cm="1">
        <f t="array" ref="B1180">_xlfn.XLOOKUP(C1180, INDEX([1]!카테고리매핑,,2), INDEX([1]!카테고리매핑,,1), "미등록 카테고리")</f>
        <v>수산물</v>
      </c>
      <c r="C1180" t="s">
        <v>203</v>
      </c>
      <c r="D1180" t="str">
        <f>VLOOKUP(C1180, '[1]VLOOKUP 함수용 카테고리'!$A$1:$B$59, 2, 0)</f>
        <v>RAW_SEAFOOD</v>
      </c>
      <c r="E1180" t="s">
        <v>2296</v>
      </c>
      <c r="F1180" t="s">
        <v>1366</v>
      </c>
    </row>
    <row r="1181" spans="1:6" x14ac:dyDescent="0.3">
      <c r="A1181" t="s">
        <v>2297</v>
      </c>
      <c r="B1181" t="str" cm="1">
        <f t="array" ref="B1181">_xlfn.XLOOKUP(C1181, INDEX([1]!카테고리매핑,,2), INDEX([1]!카테고리매핑,,1), "미등록 카테고리")</f>
        <v>간편식</v>
      </c>
      <c r="C1181" t="s">
        <v>256</v>
      </c>
      <c r="D1181" t="str">
        <f>VLOOKUP(C1181, '[1]VLOOKUP 함수용 카테고리'!$A$1:$B$59, 2, 0)</f>
        <v>RTC_MEAL</v>
      </c>
      <c r="E1181" t="s">
        <v>256</v>
      </c>
      <c r="F1181" t="s">
        <v>2298</v>
      </c>
    </row>
    <row r="1182" spans="1:6" x14ac:dyDescent="0.3">
      <c r="A1182" t="s">
        <v>2299</v>
      </c>
      <c r="B1182" t="str" cm="1">
        <f t="array" ref="B1182">_xlfn.XLOOKUP(C1182, INDEX([1]!카테고리매핑,,2), INDEX([1]!카테고리매핑,,1), "미등록 카테고리")</f>
        <v>유제품</v>
      </c>
      <c r="C1182" t="s">
        <v>98</v>
      </c>
      <c r="D1182" t="str">
        <f>VLOOKUP(C1182, '[1]VLOOKUP 함수용 카테고리'!$A$1:$B$59, 2, 0)</f>
        <v>DAIRY</v>
      </c>
      <c r="E1182" t="s">
        <v>2300</v>
      </c>
      <c r="F1182" t="s">
        <v>2301</v>
      </c>
    </row>
    <row r="1183" spans="1:6" x14ac:dyDescent="0.3">
      <c r="A1183" t="s">
        <v>2302</v>
      </c>
      <c r="B1183" t="str" cm="1">
        <f t="array" ref="B1183">_xlfn.XLOOKUP(C1183, INDEX([1]!카테고리매핑,,2), INDEX([1]!카테고리매핑,,1), "미등록 카테고리")</f>
        <v>간편식</v>
      </c>
      <c r="C1183" t="s">
        <v>167</v>
      </c>
      <c r="D1183" t="str">
        <f>VLOOKUP(C1183, '[1]VLOOKUP 함수용 카테고리'!$A$1:$B$59, 2, 0)</f>
        <v>INSTANT</v>
      </c>
      <c r="E1183" t="s">
        <v>271</v>
      </c>
      <c r="F1183" t="s">
        <v>2303</v>
      </c>
    </row>
    <row r="1184" spans="1:6" x14ac:dyDescent="0.3">
      <c r="A1184" t="s">
        <v>2304</v>
      </c>
      <c r="B1184" t="str" cm="1">
        <f t="array" ref="B1184">_xlfn.XLOOKUP(C1184, INDEX([1]!카테고리매핑,,2), INDEX([1]!카테고리매핑,,1), "미등록 카테고리")</f>
        <v>간식류</v>
      </c>
      <c r="C1184" t="s">
        <v>11</v>
      </c>
      <c r="D1184" t="str">
        <f>VLOOKUP(C1184, '[1]VLOOKUP 함수용 카테고리'!$A$1:$B$59, 2, 0)</f>
        <v>SNACK</v>
      </c>
      <c r="E1184" t="s">
        <v>2305</v>
      </c>
      <c r="F1184" t="s">
        <v>2306</v>
      </c>
    </row>
    <row r="1185" spans="1:6" x14ac:dyDescent="0.3">
      <c r="A1185" t="s">
        <v>2307</v>
      </c>
      <c r="B1185" t="str" cm="1">
        <f t="array" ref="B1185">_xlfn.XLOOKUP(C1185, INDEX([1]!카테고리매핑,,2), INDEX([1]!카테고리매핑,,1), "미등록 카테고리")</f>
        <v>간식류</v>
      </c>
      <c r="C1185" t="s">
        <v>15</v>
      </c>
      <c r="D1185" t="str">
        <f>VLOOKUP(C1185, '[1]VLOOKUP 함수용 카테고리'!$A$1:$B$59, 2, 0)</f>
        <v>BAKERY</v>
      </c>
      <c r="E1185" t="s">
        <v>200</v>
      </c>
      <c r="F1185" t="s">
        <v>17</v>
      </c>
    </row>
    <row r="1186" spans="1:6" x14ac:dyDescent="0.3">
      <c r="A1186" t="s">
        <v>2308</v>
      </c>
      <c r="B1186" t="str" cm="1">
        <f t="array" ref="B1186">_xlfn.XLOOKUP(C1186, INDEX([1]!카테고리매핑,,2), INDEX([1]!카테고리매핑,,1), "미등록 카테고리")</f>
        <v>육류/계란</v>
      </c>
      <c r="C1186" t="s">
        <v>105</v>
      </c>
      <c r="D1186" t="str">
        <f>VLOOKUP(C1186, '[1]VLOOKUP 함수용 카테고리'!$A$1:$B$59, 2, 0)</f>
        <v>RAW_MEAT</v>
      </c>
      <c r="E1186" t="s">
        <v>291</v>
      </c>
      <c r="F1186" t="s">
        <v>254</v>
      </c>
    </row>
    <row r="1187" spans="1:6" x14ac:dyDescent="0.3">
      <c r="A1187" t="s">
        <v>2309</v>
      </c>
      <c r="B1187" t="str" cm="1">
        <f t="array" ref="B1187">_xlfn.XLOOKUP(C1187, INDEX([1]!카테고리매핑,,2), INDEX([1]!카테고리매핑,,1), "미등록 카테고리")</f>
        <v>조미료</v>
      </c>
      <c r="C1187" t="s">
        <v>117</v>
      </c>
      <c r="D1187" t="str">
        <f>VLOOKUP(C1187, '[1]VLOOKUP 함수용 카테고리'!$A$1:$B$59, 2, 0)</f>
        <v>SAUCE_SEASONING</v>
      </c>
      <c r="E1187" t="s">
        <v>2310</v>
      </c>
      <c r="F1187" t="s">
        <v>350</v>
      </c>
    </row>
    <row r="1188" spans="1:6" x14ac:dyDescent="0.3">
      <c r="A1188" t="s">
        <v>2311</v>
      </c>
      <c r="B1188" t="str" cm="1">
        <f t="array" ref="B1188">_xlfn.XLOOKUP(C1188, INDEX([1]!카테고리매핑,,2), INDEX([1]!카테고리매핑,,1), "미등록 카테고리")</f>
        <v>간식류</v>
      </c>
      <c r="C1188" t="s">
        <v>11</v>
      </c>
      <c r="D1188" t="str">
        <f>VLOOKUP(C1188, '[1]VLOOKUP 함수용 카테고리'!$A$1:$B$59, 2, 0)</f>
        <v>SNACK</v>
      </c>
      <c r="E1188" t="s">
        <v>2312</v>
      </c>
      <c r="F1188" t="s">
        <v>1212</v>
      </c>
    </row>
    <row r="1189" spans="1:6" x14ac:dyDescent="0.3">
      <c r="A1189" t="s">
        <v>2313</v>
      </c>
      <c r="B1189" t="str" cm="1">
        <f t="array" ref="B1189">_xlfn.XLOOKUP(C1189, INDEX([1]!카테고리매핑,,2), INDEX([1]!카테고리매핑,,1), "미등록 카테고리")</f>
        <v>조미료</v>
      </c>
      <c r="C1189" t="s">
        <v>117</v>
      </c>
      <c r="D1189" t="str">
        <f>VLOOKUP(C1189, '[1]VLOOKUP 함수용 카테고리'!$A$1:$B$59, 2, 0)</f>
        <v>SAUCE_SEASONING</v>
      </c>
      <c r="E1189" t="s">
        <v>2314</v>
      </c>
      <c r="F1189" t="s">
        <v>2315</v>
      </c>
    </row>
    <row r="1190" spans="1:6" x14ac:dyDescent="0.3">
      <c r="A1190" t="s">
        <v>2316</v>
      </c>
      <c r="B1190" t="str" cm="1">
        <f t="array" ref="B1190">_xlfn.XLOOKUP(C1190, INDEX([1]!카테고리매핑,,2), INDEX([1]!카테고리매핑,,1), "미등록 카테고리")</f>
        <v>간편식</v>
      </c>
      <c r="C1190" t="s">
        <v>167</v>
      </c>
      <c r="D1190" t="str">
        <f>VLOOKUP(C1190, '[1]VLOOKUP 함수용 카테고리'!$A$1:$B$59, 2, 0)</f>
        <v>INSTANT</v>
      </c>
      <c r="E1190" t="s">
        <v>874</v>
      </c>
      <c r="F1190" t="s">
        <v>760</v>
      </c>
    </row>
    <row r="1191" spans="1:6" x14ac:dyDescent="0.3">
      <c r="A1191" t="s">
        <v>2317</v>
      </c>
      <c r="B1191" t="str" cm="1">
        <f t="array" ref="B1191">_xlfn.XLOOKUP(C1191, INDEX([1]!카테고리매핑,,2), INDEX([1]!카테고리매핑,,1), "미등록 카테고리")</f>
        <v>간편식</v>
      </c>
      <c r="C1191" t="s">
        <v>161</v>
      </c>
      <c r="D1191" t="str">
        <f>VLOOKUP(C1191, '[1]VLOOKUP 함수용 카테고리'!$A$1:$B$59, 2, 0)</f>
        <v>RTC_MEAL</v>
      </c>
      <c r="E1191" t="s">
        <v>2318</v>
      </c>
      <c r="F1191" t="s">
        <v>72</v>
      </c>
    </row>
    <row r="1192" spans="1:6" x14ac:dyDescent="0.3">
      <c r="A1192" t="s">
        <v>2319</v>
      </c>
      <c r="B1192" t="str" cm="1">
        <f t="array" ref="B1192">_xlfn.XLOOKUP(C1192, INDEX([1]!카테고리매핑,,2), INDEX([1]!카테고리매핑,,1), "미등록 카테고리")</f>
        <v>채소/곡물류</v>
      </c>
      <c r="C1192" t="s">
        <v>7</v>
      </c>
      <c r="D1192" t="str">
        <f>VLOOKUP(C1192, '[1]VLOOKUP 함수용 카테고리'!$A$1:$B$59, 2, 0)</f>
        <v>RAW_PRODUCE</v>
      </c>
      <c r="E1192" t="s">
        <v>2320</v>
      </c>
      <c r="F1192" t="s">
        <v>156</v>
      </c>
    </row>
    <row r="1193" spans="1:6" x14ac:dyDescent="0.3">
      <c r="A1193" t="s">
        <v>2321</v>
      </c>
      <c r="B1193" t="str" cm="1">
        <f t="array" ref="B1193">_xlfn.XLOOKUP(C1193, INDEX([1]!카테고리매핑,,2), INDEX([1]!카테고리매핑,,1), "미등록 카테고리")</f>
        <v>조미료</v>
      </c>
      <c r="C1193" t="s">
        <v>117</v>
      </c>
      <c r="D1193" t="str">
        <f>VLOOKUP(C1193, '[1]VLOOKUP 함수용 카테고리'!$A$1:$B$59, 2, 0)</f>
        <v>SAUCE_SEASONING</v>
      </c>
      <c r="E1193" t="s">
        <v>1987</v>
      </c>
      <c r="F1193" t="s">
        <v>129</v>
      </c>
    </row>
    <row r="1194" spans="1:6" x14ac:dyDescent="0.3">
      <c r="A1194" t="s">
        <v>2322</v>
      </c>
      <c r="B1194" t="str" cm="1">
        <f t="array" ref="B1194">_xlfn.XLOOKUP(C1194, INDEX([1]!카테고리매핑,,2), INDEX([1]!카테고리매핑,,1), "미등록 카테고리")</f>
        <v>간편식</v>
      </c>
      <c r="C1194" t="s">
        <v>46</v>
      </c>
      <c r="D1194" t="str">
        <f>VLOOKUP(C1194, '[1]VLOOKUP 함수용 카테고리'!$A$1:$B$59, 2, 0)</f>
        <v>RTC_MEAL</v>
      </c>
      <c r="E1194" t="s">
        <v>46</v>
      </c>
      <c r="F1194" t="s">
        <v>2323</v>
      </c>
    </row>
    <row r="1195" spans="1:6" x14ac:dyDescent="0.3">
      <c r="A1195" t="s">
        <v>2324</v>
      </c>
      <c r="B1195" t="str" cm="1">
        <f t="array" ref="B1195">_xlfn.XLOOKUP(C1195, INDEX([1]!카테고리매핑,,2), INDEX([1]!카테고리매핑,,1), "미등록 카테고리")</f>
        <v>채소/곡물류</v>
      </c>
      <c r="C1195" t="s">
        <v>301</v>
      </c>
      <c r="D1195" t="str">
        <f>VLOOKUP(C1195, '[1]VLOOKUP 함수용 카테고리'!$A$1:$B$59, 2, 0)</f>
        <v>GRAIN</v>
      </c>
      <c r="E1195" t="s">
        <v>1737</v>
      </c>
      <c r="F1195" t="s">
        <v>7757</v>
      </c>
    </row>
    <row r="1196" spans="1:6" x14ac:dyDescent="0.3">
      <c r="A1196" t="s">
        <v>2325</v>
      </c>
      <c r="B1196" t="str" cm="1">
        <f t="array" ref="B1196">_xlfn.XLOOKUP(C1196, INDEX([1]!카테고리매핑,,2), INDEX([1]!카테고리매핑,,1), "미등록 카테고리")</f>
        <v>간편식</v>
      </c>
      <c r="C1196" t="s">
        <v>131</v>
      </c>
      <c r="D1196" t="str">
        <f>VLOOKUP(C1196, '[1]VLOOKUP 함수용 카테고리'!$A$1:$B$59, 2, 0)</f>
        <v>SIMPLE_PROCESSED</v>
      </c>
      <c r="E1196" t="s">
        <v>236</v>
      </c>
      <c r="F1196" t="s">
        <v>928</v>
      </c>
    </row>
    <row r="1197" spans="1:6" x14ac:dyDescent="0.3">
      <c r="A1197" t="s">
        <v>2326</v>
      </c>
      <c r="B1197" t="str" cm="1">
        <f t="array" ref="B1197">_xlfn.XLOOKUP(C1197, INDEX([1]!카테고리매핑,,2), INDEX([1]!카테고리매핑,,1), "미등록 카테고리")</f>
        <v>술</v>
      </c>
      <c r="C1197" t="s">
        <v>42</v>
      </c>
      <c r="D1197" t="str">
        <f>VLOOKUP(C1197, '[1]VLOOKUP 함수용 카테고리'!$A$1:$B$59, 2, 0)</f>
        <v>ALCOHOL</v>
      </c>
      <c r="E1197" t="s">
        <v>43</v>
      </c>
    </row>
    <row r="1198" spans="1:6" x14ac:dyDescent="0.3">
      <c r="A1198" t="s">
        <v>2327</v>
      </c>
      <c r="B1198" t="str" cm="1">
        <f t="array" ref="B1198">_xlfn.XLOOKUP(C1198, INDEX([1]!카테고리매핑,,2), INDEX([1]!카테고리매핑,,1), "미등록 카테고리")</f>
        <v>음료</v>
      </c>
      <c r="C1198" t="s">
        <v>23</v>
      </c>
      <c r="D1198" t="str">
        <f>VLOOKUP(C1198, '[1]VLOOKUP 함수용 카테고리'!$A$1:$B$59, 2, 0)</f>
        <v>BEVERAGE</v>
      </c>
      <c r="E1198" t="s">
        <v>1156</v>
      </c>
      <c r="F1198" t="s">
        <v>2328</v>
      </c>
    </row>
    <row r="1199" spans="1:6" x14ac:dyDescent="0.3">
      <c r="A1199" t="s">
        <v>2329</v>
      </c>
      <c r="B1199" t="str" cm="1">
        <f t="array" ref="B1199">_xlfn.XLOOKUP(C1199, INDEX([1]!카테고리매핑,,2), INDEX([1]!카테고리매핑,,1), "미등록 카테고리")</f>
        <v>유제품</v>
      </c>
      <c r="C1199" t="s">
        <v>123</v>
      </c>
      <c r="D1199" t="str">
        <f>VLOOKUP(C1199, '[1]VLOOKUP 함수용 카테고리'!$A$1:$B$59, 2, 0)</f>
        <v>DAIRY</v>
      </c>
      <c r="E1199" t="s">
        <v>367</v>
      </c>
      <c r="F1199" t="s">
        <v>350</v>
      </c>
    </row>
    <row r="1200" spans="1:6" x14ac:dyDescent="0.3">
      <c r="A1200" t="s">
        <v>2330</v>
      </c>
      <c r="B1200" t="str" cm="1">
        <f t="array" ref="B1200">_xlfn.XLOOKUP(C1200, INDEX([1]!카테고리매핑,,2), INDEX([1]!카테고리매핑,,1), "미등록 카테고리")</f>
        <v>조미료</v>
      </c>
      <c r="C1200" t="s">
        <v>117</v>
      </c>
      <c r="D1200" t="str">
        <f>VLOOKUP(C1200, '[1]VLOOKUP 함수용 카테고리'!$A$1:$B$59, 2, 0)</f>
        <v>SAUCE_SEASONING</v>
      </c>
      <c r="E1200" t="s">
        <v>2331</v>
      </c>
      <c r="F1200" t="s">
        <v>646</v>
      </c>
    </row>
    <row r="1201" spans="1:6" x14ac:dyDescent="0.3">
      <c r="A1201" t="s">
        <v>2332</v>
      </c>
      <c r="B1201" t="str" cm="1">
        <f t="array" ref="B1201">_xlfn.XLOOKUP(C1201, INDEX([1]!카테고리매핑,,2), INDEX([1]!카테고리매핑,,1), "미등록 카테고리")</f>
        <v>간편식</v>
      </c>
      <c r="C1201" t="s">
        <v>46</v>
      </c>
      <c r="D1201" t="str">
        <f>VLOOKUP(C1201, '[1]VLOOKUP 함수용 카테고리'!$A$1:$B$59, 2, 0)</f>
        <v>RTC_MEAL</v>
      </c>
      <c r="E1201" t="s">
        <v>46</v>
      </c>
      <c r="F1201" t="s">
        <v>2333</v>
      </c>
    </row>
    <row r="1202" spans="1:6" x14ac:dyDescent="0.3">
      <c r="A1202" t="s">
        <v>2334</v>
      </c>
      <c r="B1202" t="str" cm="1">
        <f t="array" ref="B1202">_xlfn.XLOOKUP(C1202, INDEX([1]!카테고리매핑,,2), INDEX([1]!카테고리매핑,,1), "미등록 카테고리")</f>
        <v>음료</v>
      </c>
      <c r="C1202" t="s">
        <v>23</v>
      </c>
      <c r="D1202" t="str">
        <f>VLOOKUP(C1202, '[1]VLOOKUP 함수용 카테고리'!$A$1:$B$59, 2, 0)</f>
        <v>BEVERAGE</v>
      </c>
      <c r="E1202" t="s">
        <v>24</v>
      </c>
      <c r="F1202" t="s">
        <v>2335</v>
      </c>
    </row>
    <row r="1203" spans="1:6" x14ac:dyDescent="0.3">
      <c r="A1203" t="s">
        <v>2336</v>
      </c>
      <c r="B1203" t="str" cm="1">
        <f t="array" ref="B1203">_xlfn.XLOOKUP(C1203, INDEX([1]!카테고리매핑,,2), INDEX([1]!카테고리매핑,,1), "미등록 카테고리")</f>
        <v>유제품</v>
      </c>
      <c r="C1203" t="s">
        <v>432</v>
      </c>
      <c r="D1203" t="str">
        <f>VLOOKUP(C1203, '[1]VLOOKUP 함수용 카테고리'!$A$1:$B$59, 2, 0)</f>
        <v>DAIRY</v>
      </c>
      <c r="E1203" t="s">
        <v>2337</v>
      </c>
      <c r="F1203" t="s">
        <v>2338</v>
      </c>
    </row>
    <row r="1204" spans="1:6" x14ac:dyDescent="0.3">
      <c r="A1204" t="s">
        <v>2339</v>
      </c>
      <c r="B1204" t="str" cm="1">
        <f t="array" ref="B1204">_xlfn.XLOOKUP(C1204, INDEX([1]!카테고리매핑,,2), INDEX([1]!카테고리매핑,,1), "미등록 카테고리")</f>
        <v>미등록 카테고리</v>
      </c>
      <c r="C1204" t="s">
        <v>334</v>
      </c>
      <c r="D1204" t="str">
        <f>VLOOKUP(C1204, '[1]VLOOKUP 함수용 카테고리'!$A$1:$B$59, 2, 0)</f>
        <v>UNKNOWN</v>
      </c>
      <c r="E1204" t="s">
        <v>334</v>
      </c>
      <c r="F1204" t="s">
        <v>2340</v>
      </c>
    </row>
    <row r="1205" spans="1:6" x14ac:dyDescent="0.3">
      <c r="A1205" t="s">
        <v>2341</v>
      </c>
      <c r="B1205" t="str" cm="1">
        <f t="array" ref="B1205">_xlfn.XLOOKUP(C1205, INDEX([1]!카테고리매핑,,2), INDEX([1]!카테고리매핑,,1), "미등록 카테고리")</f>
        <v>유제품</v>
      </c>
      <c r="C1205" t="s">
        <v>432</v>
      </c>
      <c r="D1205" t="str">
        <f>VLOOKUP(C1205, '[1]VLOOKUP 함수용 카테고리'!$A$1:$B$59, 2, 0)</f>
        <v>DAIRY</v>
      </c>
      <c r="E1205" t="s">
        <v>549</v>
      </c>
      <c r="F1205" t="s">
        <v>844</v>
      </c>
    </row>
    <row r="1206" spans="1:6" x14ac:dyDescent="0.3">
      <c r="A1206" t="s">
        <v>2342</v>
      </c>
      <c r="B1206" t="str" cm="1">
        <f t="array" ref="B1206">_xlfn.XLOOKUP(C1206, INDEX([1]!카테고리매핑,,2), INDEX([1]!카테고리매핑,,1), "미등록 카테고리")</f>
        <v>유제품</v>
      </c>
      <c r="C1206" t="s">
        <v>432</v>
      </c>
      <c r="D1206" t="str">
        <f>VLOOKUP(C1206, '[1]VLOOKUP 함수용 카테고리'!$A$1:$B$59, 2, 0)</f>
        <v>DAIRY</v>
      </c>
      <c r="E1206" t="s">
        <v>549</v>
      </c>
      <c r="F1206" t="s">
        <v>1559</v>
      </c>
    </row>
    <row r="1207" spans="1:6" x14ac:dyDescent="0.3">
      <c r="A1207" t="s">
        <v>2343</v>
      </c>
      <c r="B1207" t="str" cm="1">
        <f t="array" ref="B1207">_xlfn.XLOOKUP(C1207, INDEX([1]!카테고리매핑,,2), INDEX([1]!카테고리매핑,,1), "미등록 카테고리")</f>
        <v>채소/곡물류</v>
      </c>
      <c r="C1207" t="s">
        <v>27</v>
      </c>
      <c r="D1207" t="str">
        <f>VLOOKUP(C1207, '[1]VLOOKUP 함수용 카테고리'!$A$1:$B$59, 2, 0)</f>
        <v>SIMPLE_PROCESSED</v>
      </c>
      <c r="E1207" t="s">
        <v>2344</v>
      </c>
      <c r="F1207" t="s">
        <v>2345</v>
      </c>
    </row>
    <row r="1208" spans="1:6" x14ac:dyDescent="0.3">
      <c r="A1208" t="s">
        <v>2346</v>
      </c>
      <c r="B1208" t="str" cm="1">
        <f t="array" ref="B1208">_xlfn.XLOOKUP(C1208, INDEX([1]!카테고리매핑,,2), INDEX([1]!카테고리매핑,,1), "미등록 카테고리")</f>
        <v>음료</v>
      </c>
      <c r="C1208" t="s">
        <v>23</v>
      </c>
      <c r="D1208" t="str">
        <f>VLOOKUP(C1208, '[1]VLOOKUP 함수용 카테고리'!$A$1:$B$59, 2, 0)</f>
        <v>BEVERAGE</v>
      </c>
      <c r="E1208" t="s">
        <v>355</v>
      </c>
      <c r="F1208" t="s">
        <v>7758</v>
      </c>
    </row>
    <row r="1209" spans="1:6" x14ac:dyDescent="0.3">
      <c r="A1209" t="s">
        <v>2347</v>
      </c>
      <c r="B1209" t="str" cm="1">
        <f t="array" ref="B1209">_xlfn.XLOOKUP(C1209, INDEX([1]!카테고리매핑,,2), INDEX([1]!카테고리매핑,,1), "미등록 카테고리")</f>
        <v>간식류</v>
      </c>
      <c r="C1209" t="s">
        <v>38</v>
      </c>
      <c r="D1209" t="str">
        <f>VLOOKUP(C1209, '[1]VLOOKUP 함수용 카테고리'!$A$1:$B$59, 2, 0)</f>
        <v>SNACK</v>
      </c>
      <c r="E1209" t="s">
        <v>2348</v>
      </c>
    </row>
    <row r="1210" spans="1:6" x14ac:dyDescent="0.3">
      <c r="A1210" t="s">
        <v>2349</v>
      </c>
      <c r="B1210" t="str" cm="1">
        <f t="array" ref="B1210">_xlfn.XLOOKUP(C1210, INDEX([1]!카테고리매핑,,2), INDEX([1]!카테고리매핑,,1), "미등록 카테고리")</f>
        <v>술</v>
      </c>
      <c r="C1210" t="s">
        <v>56</v>
      </c>
      <c r="D1210" t="str">
        <f>VLOOKUP(C1210, '[1]VLOOKUP 함수용 카테고리'!$A$1:$B$59, 2, 0)</f>
        <v>ALCOHOL</v>
      </c>
      <c r="E1210" t="s">
        <v>57</v>
      </c>
      <c r="F1210" t="s">
        <v>2350</v>
      </c>
    </row>
    <row r="1211" spans="1:6" x14ac:dyDescent="0.3">
      <c r="A1211" t="s">
        <v>2351</v>
      </c>
      <c r="B1211" t="str" cm="1">
        <f t="array" ref="B1211">_xlfn.XLOOKUP(C1211, INDEX([1]!카테고리매핑,,2), INDEX([1]!카테고리매핑,,1), "미등록 카테고리")</f>
        <v>상온식품</v>
      </c>
      <c r="C1211" t="s">
        <v>276</v>
      </c>
      <c r="D1211" t="str">
        <f>VLOOKUP(C1211, '[1]VLOOKUP 함수용 카테고리'!$A$1:$B$59, 2, 0)</f>
        <v>DRIED_SEAFOOD</v>
      </c>
      <c r="E1211" t="s">
        <v>277</v>
      </c>
      <c r="F1211" t="s">
        <v>704</v>
      </c>
    </row>
    <row r="1212" spans="1:6" x14ac:dyDescent="0.3">
      <c r="A1212" t="s">
        <v>2352</v>
      </c>
      <c r="B1212" t="str" cm="1">
        <f t="array" ref="B1212">_xlfn.XLOOKUP(C1212, INDEX([1]!카테고리매핑,,2), INDEX([1]!카테고리매핑,,1), "미등록 카테고리")</f>
        <v>채소/곡물류</v>
      </c>
      <c r="C1212" t="s">
        <v>301</v>
      </c>
      <c r="D1212" t="str">
        <f>VLOOKUP(C1212, '[1]VLOOKUP 함수용 카테고리'!$A$1:$B$59, 2, 0)</f>
        <v>GRAIN</v>
      </c>
      <c r="E1212" t="s">
        <v>2353</v>
      </c>
      <c r="F1212" t="s">
        <v>2354</v>
      </c>
    </row>
    <row r="1213" spans="1:6" x14ac:dyDescent="0.3">
      <c r="A1213" t="s">
        <v>2355</v>
      </c>
      <c r="B1213" t="str" cm="1">
        <f t="array" ref="B1213">_xlfn.XLOOKUP(C1213, INDEX([1]!카테고리매핑,,2), INDEX([1]!카테고리매핑,,1), "미등록 카테고리")</f>
        <v>상온식품</v>
      </c>
      <c r="C1213" t="s">
        <v>835</v>
      </c>
      <c r="D1213" t="str">
        <f>VLOOKUP(C1213, '[1]VLOOKUP 함수용 카테고리'!$A$1:$B$59, 2, 0)</f>
        <v>SAUCE_SEASONING</v>
      </c>
      <c r="E1213" t="s">
        <v>979</v>
      </c>
      <c r="F1213" t="s">
        <v>2356</v>
      </c>
    </row>
    <row r="1214" spans="1:6" x14ac:dyDescent="0.3">
      <c r="A1214" t="s">
        <v>2357</v>
      </c>
      <c r="B1214" t="str" cm="1">
        <f t="array" ref="B1214">_xlfn.XLOOKUP(C1214, INDEX([1]!카테고리매핑,,2), INDEX([1]!카테고리매핑,,1), "미등록 카테고리")</f>
        <v>간식류</v>
      </c>
      <c r="C1214" t="s">
        <v>11</v>
      </c>
      <c r="D1214" t="str">
        <f>VLOOKUP(C1214, '[1]VLOOKUP 함수용 카테고리'!$A$1:$B$59, 2, 0)</f>
        <v>SNACK</v>
      </c>
      <c r="E1214" t="s">
        <v>81</v>
      </c>
    </row>
    <row r="1215" spans="1:6" x14ac:dyDescent="0.3">
      <c r="A1215" t="s">
        <v>2358</v>
      </c>
      <c r="B1215" t="str" cm="1">
        <f t="array" ref="B1215">_xlfn.XLOOKUP(C1215, INDEX([1]!카테고리매핑,,2), INDEX([1]!카테고리매핑,,1), "미등록 카테고리")</f>
        <v>음료</v>
      </c>
      <c r="C1215" t="s">
        <v>23</v>
      </c>
      <c r="D1215" t="str">
        <f>VLOOKUP(C1215, '[1]VLOOKUP 함수용 카테고리'!$A$1:$B$59, 2, 0)</f>
        <v>BEVERAGE</v>
      </c>
      <c r="E1215" t="s">
        <v>135</v>
      </c>
      <c r="F1215" t="s">
        <v>2359</v>
      </c>
    </row>
    <row r="1216" spans="1:6" x14ac:dyDescent="0.3">
      <c r="A1216" t="s">
        <v>2360</v>
      </c>
      <c r="B1216" t="str" cm="1">
        <f t="array" ref="B1216">_xlfn.XLOOKUP(C1216, INDEX([1]!카테고리매핑,,2), INDEX([1]!카테고리매핑,,1), "미등록 카테고리")</f>
        <v>미등록 카테고리</v>
      </c>
      <c r="C1216" t="s">
        <v>334</v>
      </c>
      <c r="D1216" t="str">
        <f>VLOOKUP(C1216, '[1]VLOOKUP 함수용 카테고리'!$A$1:$B$59, 2, 0)</f>
        <v>UNKNOWN</v>
      </c>
      <c r="E1216" t="s">
        <v>334</v>
      </c>
      <c r="F1216" t="s">
        <v>2361</v>
      </c>
    </row>
    <row r="1217" spans="1:6" x14ac:dyDescent="0.3">
      <c r="A1217" t="s">
        <v>2362</v>
      </c>
      <c r="B1217" t="str" cm="1">
        <f t="array" ref="B1217">_xlfn.XLOOKUP(C1217, INDEX([1]!카테고리매핑,,2), INDEX([1]!카테고리매핑,,1), "미등록 카테고리")</f>
        <v>간편식</v>
      </c>
      <c r="C1217" t="s">
        <v>46</v>
      </c>
      <c r="D1217" t="str">
        <f>VLOOKUP(C1217, '[1]VLOOKUP 함수용 카테고리'!$A$1:$B$59, 2, 0)</f>
        <v>RTC_MEAL</v>
      </c>
      <c r="E1217" t="s">
        <v>46</v>
      </c>
      <c r="F1217" t="s">
        <v>2363</v>
      </c>
    </row>
    <row r="1218" spans="1:6" x14ac:dyDescent="0.3">
      <c r="A1218" t="s">
        <v>2364</v>
      </c>
      <c r="B1218" t="str" cm="1">
        <f t="array" ref="B1218">_xlfn.XLOOKUP(C1218, INDEX([1]!카테고리매핑,,2), INDEX([1]!카테고리매핑,,1), "미등록 카테고리")</f>
        <v>간식류</v>
      </c>
      <c r="C1218" t="s">
        <v>11</v>
      </c>
      <c r="D1218" t="str">
        <f>VLOOKUP(C1218, '[1]VLOOKUP 함수용 카테고리'!$A$1:$B$59, 2, 0)</f>
        <v>SNACK</v>
      </c>
      <c r="E1218" t="s">
        <v>2365</v>
      </c>
      <c r="F1218" t="s">
        <v>198</v>
      </c>
    </row>
    <row r="1219" spans="1:6" x14ac:dyDescent="0.3">
      <c r="A1219" t="s">
        <v>2366</v>
      </c>
      <c r="B1219" t="str" cm="1">
        <f t="array" ref="B1219">_xlfn.XLOOKUP(C1219, INDEX([1]!카테고리매핑,,2), INDEX([1]!카테고리매핑,,1), "미등록 카테고리")</f>
        <v>간편식</v>
      </c>
      <c r="C1219" t="s">
        <v>46</v>
      </c>
      <c r="D1219" t="str">
        <f>VLOOKUP(C1219, '[1]VLOOKUP 함수용 카테고리'!$A$1:$B$59, 2, 0)</f>
        <v>RTC_MEAL</v>
      </c>
      <c r="E1219" t="s">
        <v>46</v>
      </c>
      <c r="F1219" t="s">
        <v>1490</v>
      </c>
    </row>
    <row r="1220" spans="1:6" x14ac:dyDescent="0.3">
      <c r="A1220" t="s">
        <v>2367</v>
      </c>
      <c r="B1220" t="str" cm="1">
        <f t="array" ref="B1220">_xlfn.XLOOKUP(C1220, INDEX([1]!카테고리매핑,,2), INDEX([1]!카테고리매핑,,1), "미등록 카테고리")</f>
        <v>간식류</v>
      </c>
      <c r="C1220" t="s">
        <v>38</v>
      </c>
      <c r="D1220" t="str">
        <f>VLOOKUP(C1220, '[1]VLOOKUP 함수용 카테고리'!$A$1:$B$59, 2, 0)</f>
        <v>SNACK</v>
      </c>
      <c r="E1220" t="s">
        <v>179</v>
      </c>
      <c r="F1220" t="s">
        <v>442</v>
      </c>
    </row>
    <row r="1221" spans="1:6" x14ac:dyDescent="0.3">
      <c r="A1221" t="s">
        <v>2368</v>
      </c>
      <c r="B1221" t="str" cm="1">
        <f t="array" ref="B1221">_xlfn.XLOOKUP(C1221, INDEX([1]!카테고리매핑,,2), INDEX([1]!카테고리매핑,,1), "미등록 카테고리")</f>
        <v>조미료</v>
      </c>
      <c r="C1221" t="s">
        <v>117</v>
      </c>
      <c r="D1221" t="str">
        <f>VLOOKUP(C1221, '[1]VLOOKUP 함수용 카테고리'!$A$1:$B$59, 2, 0)</f>
        <v>SAUCE_SEASONING</v>
      </c>
      <c r="E1221" t="s">
        <v>2369</v>
      </c>
      <c r="F1221" t="s">
        <v>2370</v>
      </c>
    </row>
    <row r="1222" spans="1:6" x14ac:dyDescent="0.3">
      <c r="A1222" t="s">
        <v>2371</v>
      </c>
      <c r="B1222" t="str" cm="1">
        <f t="array" ref="B1222">_xlfn.XLOOKUP(C1222, INDEX([1]!카테고리매핑,,2), INDEX([1]!카테고리매핑,,1), "미등록 카테고리")</f>
        <v>조미료</v>
      </c>
      <c r="C1222" t="s">
        <v>117</v>
      </c>
      <c r="D1222" t="str">
        <f>VLOOKUP(C1222, '[1]VLOOKUP 함수용 카테고리'!$A$1:$B$59, 2, 0)</f>
        <v>SAUCE_SEASONING</v>
      </c>
      <c r="E1222" t="s">
        <v>1493</v>
      </c>
      <c r="F1222" t="s">
        <v>2372</v>
      </c>
    </row>
    <row r="1223" spans="1:6" x14ac:dyDescent="0.3">
      <c r="A1223" t="s">
        <v>2373</v>
      </c>
      <c r="B1223" t="str" cm="1">
        <f t="array" ref="B1223">_xlfn.XLOOKUP(C1223, INDEX([1]!카테고리매핑,,2), INDEX([1]!카테고리매핑,,1), "미등록 카테고리")</f>
        <v>조미료</v>
      </c>
      <c r="C1223" t="s">
        <v>117</v>
      </c>
      <c r="D1223" t="str">
        <f>VLOOKUP(C1223, '[1]VLOOKUP 함수용 카테고리'!$A$1:$B$59, 2, 0)</f>
        <v>SAUCE_SEASONING</v>
      </c>
      <c r="E1223" t="s">
        <v>2369</v>
      </c>
      <c r="F1223" t="s">
        <v>2374</v>
      </c>
    </row>
    <row r="1224" spans="1:6" x14ac:dyDescent="0.3">
      <c r="A1224" t="s">
        <v>2375</v>
      </c>
      <c r="B1224" t="str" cm="1">
        <f t="array" ref="B1224">_xlfn.XLOOKUP(C1224, INDEX([1]!카테고리매핑,,2), INDEX([1]!카테고리매핑,,1), "미등록 카테고리")</f>
        <v>상온식품</v>
      </c>
      <c r="C1224" t="s">
        <v>276</v>
      </c>
      <c r="D1224" t="str">
        <f>VLOOKUP(C1224, '[1]VLOOKUP 함수용 카테고리'!$A$1:$B$59, 2, 0)</f>
        <v>DRIED_SEAFOOD</v>
      </c>
      <c r="E1224" t="s">
        <v>277</v>
      </c>
      <c r="F1224" t="s">
        <v>704</v>
      </c>
    </row>
    <row r="1225" spans="1:6" x14ac:dyDescent="0.3">
      <c r="A1225" t="s">
        <v>2376</v>
      </c>
      <c r="B1225" t="str" cm="1">
        <f t="array" ref="B1225">_xlfn.XLOOKUP(C1225, INDEX([1]!카테고리매핑,,2), INDEX([1]!카테고리매핑,,1), "미등록 카테고리")</f>
        <v>육류/계란</v>
      </c>
      <c r="C1225" t="s">
        <v>149</v>
      </c>
      <c r="D1225" t="str">
        <f>VLOOKUP(C1225, '[1]VLOOKUP 함수용 카테고리'!$A$1:$B$59, 2, 0)</f>
        <v>RAW_MEAT</v>
      </c>
      <c r="E1225" t="s">
        <v>266</v>
      </c>
      <c r="F1225" t="s">
        <v>1006</v>
      </c>
    </row>
    <row r="1226" spans="1:6" x14ac:dyDescent="0.3">
      <c r="A1226" t="s">
        <v>2377</v>
      </c>
      <c r="B1226" t="str" cm="1">
        <f t="array" ref="B1226">_xlfn.XLOOKUP(C1226, INDEX([1]!카테고리매핑,,2), INDEX([1]!카테고리매핑,,1), "미등록 카테고리")</f>
        <v>간편식</v>
      </c>
      <c r="C1226" t="s">
        <v>256</v>
      </c>
      <c r="D1226" t="str">
        <f>VLOOKUP(C1226, '[1]VLOOKUP 함수용 카테고리'!$A$1:$B$59, 2, 0)</f>
        <v>RTC_MEAL</v>
      </c>
      <c r="E1226" t="s">
        <v>256</v>
      </c>
      <c r="F1226" t="s">
        <v>785</v>
      </c>
    </row>
    <row r="1227" spans="1:6" x14ac:dyDescent="0.3">
      <c r="A1227" t="s">
        <v>2378</v>
      </c>
      <c r="B1227" t="str" cm="1">
        <f t="array" ref="B1227">_xlfn.XLOOKUP(C1227, INDEX([1]!카테고리매핑,,2), INDEX([1]!카테고리매핑,,1), "미등록 카테고리")</f>
        <v>간식류</v>
      </c>
      <c r="C1227" t="s">
        <v>11</v>
      </c>
      <c r="D1227" t="str">
        <f>VLOOKUP(C1227, '[1]VLOOKUP 함수용 카테고리'!$A$1:$B$59, 2, 0)</f>
        <v>SNACK</v>
      </c>
      <c r="E1227" t="s">
        <v>1775</v>
      </c>
      <c r="F1227" t="s">
        <v>215</v>
      </c>
    </row>
    <row r="1228" spans="1:6" x14ac:dyDescent="0.3">
      <c r="A1228" t="s">
        <v>2379</v>
      </c>
      <c r="B1228" t="str" cm="1">
        <f t="array" ref="B1228">_xlfn.XLOOKUP(C1228, INDEX([1]!카테고리매핑,,2), INDEX([1]!카테고리매핑,,1), "미등록 카테고리")</f>
        <v>간편식</v>
      </c>
      <c r="C1228" t="s">
        <v>131</v>
      </c>
      <c r="D1228" t="str">
        <f>VLOOKUP(C1228, '[1]VLOOKUP 함수용 카테고리'!$A$1:$B$59, 2, 0)</f>
        <v>SIMPLE_PROCESSED</v>
      </c>
      <c r="E1228" t="s">
        <v>2380</v>
      </c>
      <c r="F1228" t="s">
        <v>541</v>
      </c>
    </row>
    <row r="1229" spans="1:6" x14ac:dyDescent="0.3">
      <c r="A1229" t="s">
        <v>2381</v>
      </c>
      <c r="B1229" t="str" cm="1">
        <f t="array" ref="B1229">_xlfn.XLOOKUP(C1229, INDEX([1]!카테고리매핑,,2), INDEX([1]!카테고리매핑,,1), "미등록 카테고리")</f>
        <v>미등록 카테고리</v>
      </c>
      <c r="C1229" t="s">
        <v>334</v>
      </c>
      <c r="D1229" t="str">
        <f>VLOOKUP(C1229, '[1]VLOOKUP 함수용 카테고리'!$A$1:$B$59, 2, 0)</f>
        <v>UNKNOWN</v>
      </c>
      <c r="E1229" t="s">
        <v>334</v>
      </c>
      <c r="F1229" t="s">
        <v>77</v>
      </c>
    </row>
    <row r="1230" spans="1:6" x14ac:dyDescent="0.3">
      <c r="A1230" t="s">
        <v>2382</v>
      </c>
      <c r="B1230" t="str" cm="1">
        <f t="array" ref="B1230">_xlfn.XLOOKUP(C1230, INDEX([1]!카테고리매핑,,2), INDEX([1]!카테고리매핑,,1), "미등록 카테고리")</f>
        <v>채소/곡물류</v>
      </c>
      <c r="C1230" t="s">
        <v>301</v>
      </c>
      <c r="D1230" t="str">
        <f>VLOOKUP(C1230, '[1]VLOOKUP 함수용 카테고리'!$A$1:$B$59, 2, 0)</f>
        <v>GRAIN</v>
      </c>
      <c r="E1230" t="s">
        <v>490</v>
      </c>
      <c r="F1230" t="s">
        <v>2383</v>
      </c>
    </row>
    <row r="1231" spans="1:6" x14ac:dyDescent="0.3">
      <c r="A1231" t="s">
        <v>2384</v>
      </c>
      <c r="B1231" t="str" cm="1">
        <f t="array" ref="B1231">_xlfn.XLOOKUP(C1231, INDEX([1]!카테고리매핑,,2), INDEX([1]!카테고리매핑,,1), "미등록 카테고리")</f>
        <v>미등록 카테고리</v>
      </c>
      <c r="C1231" t="s">
        <v>334</v>
      </c>
      <c r="D1231" t="str">
        <f>VLOOKUP(C1231, '[1]VLOOKUP 함수용 카테고리'!$A$1:$B$59, 2, 0)</f>
        <v>UNKNOWN</v>
      </c>
      <c r="E1231" t="s">
        <v>334</v>
      </c>
      <c r="F1231" t="s">
        <v>2385</v>
      </c>
    </row>
    <row r="1232" spans="1:6" x14ac:dyDescent="0.3">
      <c r="A1232" t="s">
        <v>2386</v>
      </c>
      <c r="B1232" t="str" cm="1">
        <f t="array" ref="B1232">_xlfn.XLOOKUP(C1232, INDEX([1]!카테고리매핑,,2), INDEX([1]!카테고리매핑,,1), "미등록 카테고리")</f>
        <v>간편식</v>
      </c>
      <c r="C1232" t="s">
        <v>161</v>
      </c>
      <c r="D1232" t="str">
        <f>VLOOKUP(C1232, '[1]VLOOKUP 함수용 카테고리'!$A$1:$B$59, 2, 0)</f>
        <v>RTC_MEAL</v>
      </c>
      <c r="E1232" t="s">
        <v>2387</v>
      </c>
      <c r="F1232" t="s">
        <v>2388</v>
      </c>
    </row>
    <row r="1233" spans="1:6" x14ac:dyDescent="0.3">
      <c r="A1233" t="s">
        <v>2389</v>
      </c>
      <c r="B1233" t="str" cm="1">
        <f t="array" ref="B1233">_xlfn.XLOOKUP(C1233, INDEX([1]!카테고리매핑,,2), INDEX([1]!카테고리매핑,,1), "미등록 카테고리")</f>
        <v>미등록 카테고리</v>
      </c>
      <c r="C1233" t="s">
        <v>334</v>
      </c>
      <c r="D1233" t="str">
        <f>VLOOKUP(C1233, '[1]VLOOKUP 함수용 카테고리'!$A$1:$B$59, 2, 0)</f>
        <v>UNKNOWN</v>
      </c>
      <c r="E1233" t="s">
        <v>334</v>
      </c>
    </row>
    <row r="1234" spans="1:6" x14ac:dyDescent="0.3">
      <c r="A1234" t="s">
        <v>2390</v>
      </c>
      <c r="B1234" t="str" cm="1">
        <f t="array" ref="B1234">_xlfn.XLOOKUP(C1234, INDEX([1]!카테고리매핑,,2), INDEX([1]!카테고리매핑,,1), "미등록 카테고리")</f>
        <v>간식류</v>
      </c>
      <c r="C1234" t="s">
        <v>11</v>
      </c>
      <c r="D1234" t="str">
        <f>VLOOKUP(C1234, '[1]VLOOKUP 함수용 카테고리'!$A$1:$B$59, 2, 0)</f>
        <v>SNACK</v>
      </c>
      <c r="E1234" t="s">
        <v>2391</v>
      </c>
      <c r="F1234" t="s">
        <v>2115</v>
      </c>
    </row>
    <row r="1235" spans="1:6" x14ac:dyDescent="0.3">
      <c r="A1235" t="s">
        <v>2392</v>
      </c>
      <c r="B1235" t="str" cm="1">
        <f t="array" ref="B1235">_xlfn.XLOOKUP(C1235, INDEX([1]!카테고리매핑,,2), INDEX([1]!카테고리매핑,,1), "미등록 카테고리")</f>
        <v>수산물</v>
      </c>
      <c r="C1235" t="s">
        <v>101</v>
      </c>
      <c r="D1235" t="str">
        <f>VLOOKUP(C1235, '[1]VLOOKUP 함수용 카테고리'!$A$1:$B$59, 2, 0)</f>
        <v>DRIED_SEAFOOD</v>
      </c>
      <c r="E1235" t="s">
        <v>665</v>
      </c>
      <c r="F1235" t="s">
        <v>2393</v>
      </c>
    </row>
    <row r="1236" spans="1:6" x14ac:dyDescent="0.3">
      <c r="A1236" t="s">
        <v>2394</v>
      </c>
      <c r="B1236" t="str" cm="1">
        <f t="array" ref="B1236">_xlfn.XLOOKUP(C1236, INDEX([1]!카테고리매핑,,2), INDEX([1]!카테고리매핑,,1), "미등록 카테고리")</f>
        <v>간편식</v>
      </c>
      <c r="C1236" t="s">
        <v>256</v>
      </c>
      <c r="D1236" t="str">
        <f>VLOOKUP(C1236, '[1]VLOOKUP 함수용 카테고리'!$A$1:$B$59, 2, 0)</f>
        <v>RTC_MEAL</v>
      </c>
      <c r="E1236" t="s">
        <v>256</v>
      </c>
      <c r="F1236" t="s">
        <v>1969</v>
      </c>
    </row>
    <row r="1237" spans="1:6" x14ac:dyDescent="0.3">
      <c r="A1237" t="s">
        <v>2395</v>
      </c>
      <c r="B1237" t="str" cm="1">
        <f t="array" ref="B1237">_xlfn.XLOOKUP(C1237, INDEX([1]!카테고리매핑,,2), INDEX([1]!카테고리매핑,,1), "미등록 카테고리")</f>
        <v>미등록 카테고리</v>
      </c>
      <c r="C1237" t="s">
        <v>334</v>
      </c>
      <c r="D1237" t="str">
        <f>VLOOKUP(C1237, '[1]VLOOKUP 함수용 카테고리'!$A$1:$B$59, 2, 0)</f>
        <v>UNKNOWN</v>
      </c>
      <c r="E1237" t="s">
        <v>334</v>
      </c>
      <c r="F1237" t="s">
        <v>629</v>
      </c>
    </row>
    <row r="1238" spans="1:6" x14ac:dyDescent="0.3">
      <c r="A1238" t="s">
        <v>2396</v>
      </c>
      <c r="B1238" t="str" cm="1">
        <f t="array" ref="B1238">_xlfn.XLOOKUP(C1238, INDEX([1]!카테고리매핑,,2), INDEX([1]!카테고리매핑,,1), "미등록 카테고리")</f>
        <v>채소/곡물류</v>
      </c>
      <c r="C1238" t="s">
        <v>301</v>
      </c>
      <c r="D1238" t="str">
        <f>VLOOKUP(C1238, '[1]VLOOKUP 함수용 카테고리'!$A$1:$B$59, 2, 0)</f>
        <v>GRAIN</v>
      </c>
      <c r="E1238" t="s">
        <v>490</v>
      </c>
      <c r="F1238" t="s">
        <v>2397</v>
      </c>
    </row>
    <row r="1239" spans="1:6" x14ac:dyDescent="0.3">
      <c r="A1239" t="s">
        <v>2398</v>
      </c>
      <c r="B1239" t="str" cm="1">
        <f t="array" ref="B1239">_xlfn.XLOOKUP(C1239, INDEX([1]!카테고리매핑,,2), INDEX([1]!카테고리매핑,,1), "미등록 카테고리")</f>
        <v>간식류</v>
      </c>
      <c r="C1239" t="s">
        <v>11</v>
      </c>
      <c r="D1239" t="str">
        <f>VLOOKUP(C1239, '[1]VLOOKUP 함수용 카테고리'!$A$1:$B$59, 2, 0)</f>
        <v>SNACK</v>
      </c>
      <c r="E1239" t="s">
        <v>2048</v>
      </c>
      <c r="F1239" t="s">
        <v>1784</v>
      </c>
    </row>
    <row r="1240" spans="1:6" x14ac:dyDescent="0.3">
      <c r="A1240" t="s">
        <v>2399</v>
      </c>
      <c r="B1240" t="str" cm="1">
        <f t="array" ref="B1240">_xlfn.XLOOKUP(C1240, INDEX([1]!카테고리매핑,,2), INDEX([1]!카테고리매핑,,1), "미등록 카테고리")</f>
        <v>조미료</v>
      </c>
      <c r="C1240" t="s">
        <v>127</v>
      </c>
      <c r="D1240" t="str">
        <f>VLOOKUP(C1240, '[1]VLOOKUP 함수용 카테고리'!$A$1:$B$59, 2, 0)</f>
        <v>SAUCE_SEASONING</v>
      </c>
      <c r="E1240" t="s">
        <v>2400</v>
      </c>
      <c r="F1240" t="s">
        <v>1442</v>
      </c>
    </row>
    <row r="1241" spans="1:6" x14ac:dyDescent="0.3">
      <c r="A1241" t="s">
        <v>2401</v>
      </c>
      <c r="B1241" t="str" cm="1">
        <f t="array" ref="B1241">_xlfn.XLOOKUP(C1241, INDEX([1]!카테고리매핑,,2), INDEX([1]!카테고리매핑,,1), "미등록 카테고리")</f>
        <v>음료</v>
      </c>
      <c r="C1241" t="s">
        <v>23</v>
      </c>
      <c r="D1241" t="str">
        <f>VLOOKUP(C1241, '[1]VLOOKUP 함수용 카테고리'!$A$1:$B$59, 2, 0)</f>
        <v>BEVERAGE</v>
      </c>
      <c r="E1241" t="s">
        <v>323</v>
      </c>
      <c r="F1241" t="s">
        <v>605</v>
      </c>
    </row>
    <row r="1242" spans="1:6" x14ac:dyDescent="0.3">
      <c r="A1242" t="s">
        <v>2402</v>
      </c>
      <c r="B1242" t="str" cm="1">
        <f t="array" ref="B1242">_xlfn.XLOOKUP(C1242, INDEX([1]!카테고리매핑,,2), INDEX([1]!카테고리매핑,,1), "미등록 카테고리")</f>
        <v>유제품</v>
      </c>
      <c r="C1242" t="s">
        <v>211</v>
      </c>
      <c r="D1242" t="str">
        <f>VLOOKUP(C1242, '[1]VLOOKUP 함수용 카테고리'!$A$1:$B$59, 2, 0)</f>
        <v>DAIRY</v>
      </c>
      <c r="E1242" t="s">
        <v>211</v>
      </c>
      <c r="F1242" t="s">
        <v>475</v>
      </c>
    </row>
    <row r="1243" spans="1:6" x14ac:dyDescent="0.3">
      <c r="A1243" t="s">
        <v>2403</v>
      </c>
      <c r="B1243" t="str" cm="1">
        <f t="array" ref="B1243">_xlfn.XLOOKUP(C1243, INDEX([1]!카테고리매핑,,2), INDEX([1]!카테고리매핑,,1), "미등록 카테고리")</f>
        <v>간편식</v>
      </c>
      <c r="C1243" t="s">
        <v>46</v>
      </c>
      <c r="D1243" t="str">
        <f>VLOOKUP(C1243, '[1]VLOOKUP 함수용 카테고리'!$A$1:$B$59, 2, 0)</f>
        <v>RTC_MEAL</v>
      </c>
      <c r="E1243" t="s">
        <v>46</v>
      </c>
      <c r="F1243" t="s">
        <v>2404</v>
      </c>
    </row>
    <row r="1244" spans="1:6" x14ac:dyDescent="0.3">
      <c r="A1244" t="s">
        <v>2405</v>
      </c>
      <c r="B1244" t="str" cm="1">
        <f t="array" ref="B1244">_xlfn.XLOOKUP(C1244, INDEX([1]!카테고리매핑,,2), INDEX([1]!카테고리매핑,,1), "미등록 카테고리")</f>
        <v>간편식</v>
      </c>
      <c r="C1244" t="s">
        <v>19</v>
      </c>
      <c r="D1244" t="str">
        <f>VLOOKUP(C1244, '[1]VLOOKUP 함수용 카테고리'!$A$1:$B$59, 2, 0)</f>
        <v>FROZEN_MEAL</v>
      </c>
      <c r="E1244" t="s">
        <v>20</v>
      </c>
      <c r="F1244" t="s">
        <v>369</v>
      </c>
    </row>
    <row r="1245" spans="1:6" x14ac:dyDescent="0.3">
      <c r="A1245" t="s">
        <v>2406</v>
      </c>
      <c r="B1245" t="str" cm="1">
        <f t="array" ref="B1245">_xlfn.XLOOKUP(C1245, INDEX([1]!카테고리매핑,,2), INDEX([1]!카테고리매핑,,1), "미등록 카테고리")</f>
        <v>육류/계란</v>
      </c>
      <c r="C1245" t="s">
        <v>149</v>
      </c>
      <c r="D1245" t="str">
        <f>VLOOKUP(C1245, '[1]VLOOKUP 함수용 카테고리'!$A$1:$B$59, 2, 0)</f>
        <v>RAW_MEAT</v>
      </c>
      <c r="E1245" t="s">
        <v>1151</v>
      </c>
      <c r="F1245" t="s">
        <v>1510</v>
      </c>
    </row>
    <row r="1246" spans="1:6" x14ac:dyDescent="0.3">
      <c r="A1246" t="s">
        <v>2407</v>
      </c>
      <c r="B1246" t="str" cm="1">
        <f t="array" ref="B1246">_xlfn.XLOOKUP(C1246, INDEX([1]!카테고리매핑,,2), INDEX([1]!카테고리매핑,,1), "미등록 카테고리")</f>
        <v>육류/계란</v>
      </c>
      <c r="C1246" t="s">
        <v>149</v>
      </c>
      <c r="D1246" t="str">
        <f>VLOOKUP(C1246, '[1]VLOOKUP 함수용 카테고리'!$A$1:$B$59, 2, 0)</f>
        <v>RAW_MEAT</v>
      </c>
      <c r="E1246" t="s">
        <v>573</v>
      </c>
      <c r="F1246" t="s">
        <v>151</v>
      </c>
    </row>
    <row r="1247" spans="1:6" x14ac:dyDescent="0.3">
      <c r="A1247" t="s">
        <v>2408</v>
      </c>
      <c r="B1247" t="str" cm="1">
        <f t="array" ref="B1247">_xlfn.XLOOKUP(C1247, INDEX([1]!카테고리매핑,,2), INDEX([1]!카테고리매핑,,1), "미등록 카테고리")</f>
        <v>유제품</v>
      </c>
      <c r="C1247" t="s">
        <v>98</v>
      </c>
      <c r="D1247" t="str">
        <f>VLOOKUP(C1247, '[1]VLOOKUP 함수용 카테고리'!$A$1:$B$59, 2, 0)</f>
        <v>DAIRY</v>
      </c>
      <c r="E1247" t="s">
        <v>2409</v>
      </c>
      <c r="F1247" t="s">
        <v>2410</v>
      </c>
    </row>
    <row r="1248" spans="1:6" x14ac:dyDescent="0.3">
      <c r="A1248" t="s">
        <v>2411</v>
      </c>
      <c r="B1248" t="str" cm="1">
        <f t="array" ref="B1248">_xlfn.XLOOKUP(C1248, INDEX([1]!카테고리매핑,,2), INDEX([1]!카테고리매핑,,1), "미등록 카테고리")</f>
        <v>간식류</v>
      </c>
      <c r="C1248" t="s">
        <v>63</v>
      </c>
      <c r="D1248" t="str">
        <f>VLOOKUP(C1248, '[1]VLOOKUP 함수용 카테고리'!$A$1:$B$59, 2, 0)</f>
        <v>BAKERY</v>
      </c>
      <c r="E1248" t="s">
        <v>2412</v>
      </c>
      <c r="F1248" t="s">
        <v>2413</v>
      </c>
    </row>
    <row r="1249" spans="1:6" x14ac:dyDescent="0.3">
      <c r="A1249" t="s">
        <v>2414</v>
      </c>
      <c r="B1249" t="str" cm="1">
        <f t="array" ref="B1249">_xlfn.XLOOKUP(C1249, INDEX([1]!카테고리매핑,,2), INDEX([1]!카테고리매핑,,1), "미등록 카테고리")</f>
        <v>유제품</v>
      </c>
      <c r="C1249" t="s">
        <v>432</v>
      </c>
      <c r="D1249" t="str">
        <f>VLOOKUP(C1249, '[1]VLOOKUP 함수용 카테고리'!$A$1:$B$59, 2, 0)</f>
        <v>DAIRY</v>
      </c>
      <c r="E1249" t="s">
        <v>2415</v>
      </c>
      <c r="F1249" t="s">
        <v>706</v>
      </c>
    </row>
    <row r="1250" spans="1:6" x14ac:dyDescent="0.3">
      <c r="A1250" t="s">
        <v>2416</v>
      </c>
      <c r="B1250" t="str" cm="1">
        <f t="array" ref="B1250">_xlfn.XLOOKUP(C1250, INDEX([1]!카테고리매핑,,2), INDEX([1]!카테고리매핑,,1), "미등록 카테고리")</f>
        <v>간편식</v>
      </c>
      <c r="C1250" t="s">
        <v>256</v>
      </c>
      <c r="D1250" t="str">
        <f>VLOOKUP(C1250, '[1]VLOOKUP 함수용 카테고리'!$A$1:$B$59, 2, 0)</f>
        <v>RTC_MEAL</v>
      </c>
      <c r="E1250" t="s">
        <v>256</v>
      </c>
      <c r="F1250" t="s">
        <v>2417</v>
      </c>
    </row>
    <row r="1251" spans="1:6" x14ac:dyDescent="0.3">
      <c r="A1251" t="s">
        <v>2418</v>
      </c>
      <c r="B1251" t="str" cm="1">
        <f t="array" ref="B1251">_xlfn.XLOOKUP(C1251, INDEX([1]!카테고리매핑,,2), INDEX([1]!카테고리매핑,,1), "미등록 카테고리")</f>
        <v>수산물</v>
      </c>
      <c r="C1251" t="s">
        <v>183</v>
      </c>
      <c r="D1251" t="str">
        <f>VLOOKUP(C1251, '[1]VLOOKUP 함수용 카테고리'!$A$1:$B$59, 2, 0)</f>
        <v>DRIED_SEAFOOD</v>
      </c>
      <c r="E1251" t="s">
        <v>2117</v>
      </c>
      <c r="F1251" t="s">
        <v>1804</v>
      </c>
    </row>
    <row r="1252" spans="1:6" x14ac:dyDescent="0.3">
      <c r="A1252" t="s">
        <v>2419</v>
      </c>
      <c r="B1252" t="str" cm="1">
        <f t="array" ref="B1252">_xlfn.XLOOKUP(C1252, INDEX([1]!카테고리매핑,,2), INDEX([1]!카테고리매핑,,1), "미등록 카테고리")</f>
        <v>과일/견과류</v>
      </c>
      <c r="C1252" t="s">
        <v>654</v>
      </c>
      <c r="D1252" t="str">
        <f>VLOOKUP(C1252, '[1]VLOOKUP 함수용 카테고리'!$A$1:$B$59, 2, 0)</f>
        <v>RAW_FRUIT</v>
      </c>
      <c r="E1252" t="s">
        <v>728</v>
      </c>
      <c r="F1252" t="s">
        <v>246</v>
      </c>
    </row>
    <row r="1253" spans="1:6" x14ac:dyDescent="0.3">
      <c r="A1253" t="s">
        <v>2420</v>
      </c>
      <c r="B1253" t="str" cm="1">
        <f t="array" ref="B1253">_xlfn.XLOOKUP(C1253, INDEX([1]!카테고리매핑,,2), INDEX([1]!카테고리매핑,,1), "미등록 카테고리")</f>
        <v>육류/계란</v>
      </c>
      <c r="C1253" t="s">
        <v>298</v>
      </c>
      <c r="D1253" t="str">
        <f>VLOOKUP(C1253, '[1]VLOOKUP 함수용 카테고리'!$A$1:$B$59, 2, 0)</f>
        <v>RAW_MEAT</v>
      </c>
      <c r="E1253" t="s">
        <v>298</v>
      </c>
      <c r="F1253" t="s">
        <v>350</v>
      </c>
    </row>
    <row r="1254" spans="1:6" x14ac:dyDescent="0.3">
      <c r="A1254" t="s">
        <v>2421</v>
      </c>
      <c r="B1254" t="str" cm="1">
        <f t="array" ref="B1254">_xlfn.XLOOKUP(C1254, INDEX([1]!카테고리매핑,,2), INDEX([1]!카테고리매핑,,1), "미등록 카테고리")</f>
        <v>미등록 카테고리</v>
      </c>
      <c r="C1254" t="s">
        <v>334</v>
      </c>
      <c r="D1254" t="str">
        <f>VLOOKUP(C1254, '[1]VLOOKUP 함수용 카테고리'!$A$1:$B$59, 2, 0)</f>
        <v>UNKNOWN</v>
      </c>
      <c r="E1254" t="s">
        <v>334</v>
      </c>
      <c r="F1254" t="s">
        <v>809</v>
      </c>
    </row>
    <row r="1255" spans="1:6" x14ac:dyDescent="0.3">
      <c r="A1255" t="s">
        <v>2422</v>
      </c>
      <c r="B1255" t="str" cm="1">
        <f t="array" ref="B1255">_xlfn.XLOOKUP(C1255, INDEX([1]!카테고리매핑,,2), INDEX([1]!카테고리매핑,,1), "미등록 카테고리")</f>
        <v>간편식</v>
      </c>
      <c r="C1255" t="s">
        <v>46</v>
      </c>
      <c r="D1255" t="str">
        <f>VLOOKUP(C1255, '[1]VLOOKUP 함수용 카테고리'!$A$1:$B$59, 2, 0)</f>
        <v>RTC_MEAL</v>
      </c>
      <c r="E1255" t="s">
        <v>46</v>
      </c>
    </row>
    <row r="1256" spans="1:6" x14ac:dyDescent="0.3">
      <c r="A1256" t="s">
        <v>2423</v>
      </c>
      <c r="B1256" t="str" cm="1">
        <f t="array" ref="B1256">_xlfn.XLOOKUP(C1256, INDEX([1]!카테고리매핑,,2), INDEX([1]!카테고리매핑,,1), "미등록 카테고리")</f>
        <v>육류/계란</v>
      </c>
      <c r="C1256" t="s">
        <v>105</v>
      </c>
      <c r="D1256" t="str">
        <f>VLOOKUP(C1256, '[1]VLOOKUP 함수용 카테고리'!$A$1:$B$59, 2, 0)</f>
        <v>RAW_MEAT</v>
      </c>
      <c r="E1256" t="s">
        <v>176</v>
      </c>
      <c r="F1256" t="s">
        <v>2424</v>
      </c>
    </row>
    <row r="1257" spans="1:6" x14ac:dyDescent="0.3">
      <c r="A1257" t="s">
        <v>2425</v>
      </c>
      <c r="B1257" t="str" cm="1">
        <f t="array" ref="B1257">_xlfn.XLOOKUP(C1257, INDEX([1]!카테고리매핑,,2), INDEX([1]!카테고리매핑,,1), "미등록 카테고리")</f>
        <v>간식류</v>
      </c>
      <c r="C1257" t="s">
        <v>11</v>
      </c>
      <c r="D1257" t="str">
        <f>VLOOKUP(C1257, '[1]VLOOKUP 함수용 카테고리'!$A$1:$B$59, 2, 0)</f>
        <v>SNACK</v>
      </c>
      <c r="E1257" t="s">
        <v>2426</v>
      </c>
      <c r="F1257" t="s">
        <v>2427</v>
      </c>
    </row>
    <row r="1258" spans="1:6" x14ac:dyDescent="0.3">
      <c r="A1258" t="s">
        <v>2428</v>
      </c>
      <c r="B1258" t="str" cm="1">
        <f t="array" ref="B1258">_xlfn.XLOOKUP(C1258, INDEX([1]!카테고리매핑,,2), INDEX([1]!카테고리매핑,,1), "미등록 카테고리")</f>
        <v>유제품</v>
      </c>
      <c r="C1258" t="s">
        <v>123</v>
      </c>
      <c r="D1258" t="str">
        <f>VLOOKUP(C1258, '[1]VLOOKUP 함수용 카테고리'!$A$1:$B$59, 2, 0)</f>
        <v>DAIRY</v>
      </c>
      <c r="E1258" t="s">
        <v>190</v>
      </c>
    </row>
    <row r="1259" spans="1:6" x14ac:dyDescent="0.3">
      <c r="A1259" t="s">
        <v>2429</v>
      </c>
      <c r="B1259" t="str" cm="1">
        <f t="array" ref="B1259">_xlfn.XLOOKUP(C1259, INDEX([1]!카테고리매핑,,2), INDEX([1]!카테고리매핑,,1), "미등록 카테고리")</f>
        <v>간편식</v>
      </c>
      <c r="C1259" t="s">
        <v>46</v>
      </c>
      <c r="D1259" t="str">
        <f>VLOOKUP(C1259, '[1]VLOOKUP 함수용 카테고리'!$A$1:$B$59, 2, 0)</f>
        <v>RTC_MEAL</v>
      </c>
      <c r="E1259" t="s">
        <v>46</v>
      </c>
      <c r="F1259" t="s">
        <v>2430</v>
      </c>
    </row>
    <row r="1260" spans="1:6" x14ac:dyDescent="0.3">
      <c r="A1260" t="s">
        <v>2431</v>
      </c>
      <c r="B1260" t="str" cm="1">
        <f t="array" ref="B1260">_xlfn.XLOOKUP(C1260, INDEX([1]!카테고리매핑,,2), INDEX([1]!카테고리매핑,,1), "미등록 카테고리")</f>
        <v>채소/곡물류</v>
      </c>
      <c r="C1260" t="s">
        <v>27</v>
      </c>
      <c r="D1260" t="str">
        <f>VLOOKUP(C1260, '[1]VLOOKUP 함수용 카테고리'!$A$1:$B$59, 2, 0)</f>
        <v>SIMPLE_PROCESSED</v>
      </c>
      <c r="E1260" t="s">
        <v>28</v>
      </c>
      <c r="F1260" t="s">
        <v>51</v>
      </c>
    </row>
    <row r="1261" spans="1:6" x14ac:dyDescent="0.3">
      <c r="A1261" t="s">
        <v>2432</v>
      </c>
      <c r="B1261" t="str" cm="1">
        <f t="array" ref="B1261">_xlfn.XLOOKUP(C1261, INDEX([1]!카테고리매핑,,2), INDEX([1]!카테고리매핑,,1), "미등록 카테고리")</f>
        <v>조미료</v>
      </c>
      <c r="C1261" t="s">
        <v>127</v>
      </c>
      <c r="D1261" t="str">
        <f>VLOOKUP(C1261, '[1]VLOOKUP 함수용 카테고리'!$A$1:$B$59, 2, 0)</f>
        <v>SAUCE_SEASONING</v>
      </c>
      <c r="E1261" t="s">
        <v>2433</v>
      </c>
      <c r="F1261" t="s">
        <v>129</v>
      </c>
    </row>
    <row r="1262" spans="1:6" x14ac:dyDescent="0.3">
      <c r="A1262" t="s">
        <v>2434</v>
      </c>
      <c r="B1262" t="str" cm="1">
        <f t="array" ref="B1262">_xlfn.XLOOKUP(C1262, INDEX([1]!카테고리매핑,,2), INDEX([1]!카테고리매핑,,1), "미등록 카테고리")</f>
        <v>유제품</v>
      </c>
      <c r="C1262" t="s">
        <v>123</v>
      </c>
      <c r="D1262" t="str">
        <f>VLOOKUP(C1262, '[1]VLOOKUP 함수용 카테고리'!$A$1:$B$59, 2, 0)</f>
        <v>DAIRY</v>
      </c>
      <c r="E1262" t="s">
        <v>190</v>
      </c>
      <c r="F1262" t="s">
        <v>2435</v>
      </c>
    </row>
    <row r="1263" spans="1:6" x14ac:dyDescent="0.3">
      <c r="A1263" t="s">
        <v>2436</v>
      </c>
      <c r="B1263" t="str" cm="1">
        <f t="array" ref="B1263">_xlfn.XLOOKUP(C1263, INDEX([1]!카테고리매핑,,2), INDEX([1]!카테고리매핑,,1), "미등록 카테고리")</f>
        <v>유제품</v>
      </c>
      <c r="C1263" t="s">
        <v>123</v>
      </c>
      <c r="D1263" t="str">
        <f>VLOOKUP(C1263, '[1]VLOOKUP 함수용 카테고리'!$A$1:$B$59, 2, 0)</f>
        <v>DAIRY</v>
      </c>
      <c r="E1263" t="s">
        <v>190</v>
      </c>
      <c r="F1263" t="s">
        <v>350</v>
      </c>
    </row>
    <row r="1264" spans="1:6" x14ac:dyDescent="0.3">
      <c r="A1264" t="s">
        <v>2437</v>
      </c>
      <c r="B1264" t="str" cm="1">
        <f t="array" ref="B1264">_xlfn.XLOOKUP(C1264, INDEX([1]!카테고리매핑,,2), INDEX([1]!카테고리매핑,,1), "미등록 카테고리")</f>
        <v>상온식품</v>
      </c>
      <c r="C1264" t="s">
        <v>1104</v>
      </c>
      <c r="D1264" t="str">
        <f>VLOOKUP(C1264, '[1]VLOOKUP 함수용 카테고리'!$A$1:$B$59, 2, 0)</f>
        <v>CANNED</v>
      </c>
      <c r="E1264" t="s">
        <v>1611</v>
      </c>
      <c r="F1264" t="s">
        <v>1611</v>
      </c>
    </row>
    <row r="1265" spans="1:6" x14ac:dyDescent="0.3">
      <c r="A1265" t="s">
        <v>2438</v>
      </c>
      <c r="B1265" t="str" cm="1">
        <f t="array" ref="B1265">_xlfn.XLOOKUP(C1265, INDEX([1]!카테고리매핑,,2), INDEX([1]!카테고리매핑,,1), "미등록 카테고리")</f>
        <v>조미료</v>
      </c>
      <c r="C1265" t="s">
        <v>127</v>
      </c>
      <c r="D1265" t="str">
        <f>VLOOKUP(C1265, '[1]VLOOKUP 함수용 카테고리'!$A$1:$B$59, 2, 0)</f>
        <v>SAUCE_SEASONING</v>
      </c>
      <c r="E1265" t="s">
        <v>860</v>
      </c>
      <c r="F1265" t="s">
        <v>861</v>
      </c>
    </row>
    <row r="1266" spans="1:6" x14ac:dyDescent="0.3">
      <c r="A1266" t="s">
        <v>2439</v>
      </c>
      <c r="B1266" t="str" cm="1">
        <f t="array" ref="B1266">_xlfn.XLOOKUP(C1266, INDEX([1]!카테고리매핑,,2), INDEX([1]!카테고리매핑,,1), "미등록 카테고리")</f>
        <v>간식류</v>
      </c>
      <c r="C1266" t="s">
        <v>38</v>
      </c>
      <c r="D1266" t="str">
        <f>VLOOKUP(C1266, '[1]VLOOKUP 함수용 카테고리'!$A$1:$B$59, 2, 0)</f>
        <v>SNACK</v>
      </c>
      <c r="E1266" t="s">
        <v>2017</v>
      </c>
      <c r="F1266" t="s">
        <v>734</v>
      </c>
    </row>
    <row r="1267" spans="1:6" x14ac:dyDescent="0.3">
      <c r="A1267" t="s">
        <v>2440</v>
      </c>
      <c r="B1267" t="str" cm="1">
        <f t="array" ref="B1267">_xlfn.XLOOKUP(C1267, INDEX([1]!카테고리매핑,,2), INDEX([1]!카테고리매핑,,1), "미등록 카테고리")</f>
        <v>미등록 카테고리</v>
      </c>
      <c r="C1267" t="s">
        <v>334</v>
      </c>
      <c r="D1267" t="str">
        <f>VLOOKUP(C1267, '[1]VLOOKUP 함수용 카테고리'!$A$1:$B$59, 2, 0)</f>
        <v>UNKNOWN</v>
      </c>
      <c r="E1267" t="s">
        <v>334</v>
      </c>
      <c r="F1267" t="s">
        <v>809</v>
      </c>
    </row>
    <row r="1268" spans="1:6" x14ac:dyDescent="0.3">
      <c r="A1268" t="s">
        <v>2441</v>
      </c>
      <c r="B1268" t="str" cm="1">
        <f t="array" ref="B1268">_xlfn.XLOOKUP(C1268, INDEX([1]!카테고리매핑,,2), INDEX([1]!카테고리매핑,,1), "미등록 카테고리")</f>
        <v>채소/곡물류</v>
      </c>
      <c r="C1268" t="s">
        <v>7</v>
      </c>
      <c r="D1268" t="str">
        <f>VLOOKUP(C1268, '[1]VLOOKUP 함수용 카테고리'!$A$1:$B$59, 2, 0)</f>
        <v>RAW_PRODUCE</v>
      </c>
      <c r="E1268" t="s">
        <v>716</v>
      </c>
      <c r="F1268" t="s">
        <v>332</v>
      </c>
    </row>
    <row r="1269" spans="1:6" x14ac:dyDescent="0.3">
      <c r="A1269" t="s">
        <v>2442</v>
      </c>
      <c r="B1269" t="str" cm="1">
        <f t="array" ref="B1269">_xlfn.XLOOKUP(C1269, INDEX([1]!카테고리매핑,,2), INDEX([1]!카테고리매핑,,1), "미등록 카테고리")</f>
        <v>채소/곡물류</v>
      </c>
      <c r="C1269" t="s">
        <v>7</v>
      </c>
      <c r="D1269" t="str">
        <f>VLOOKUP(C1269, '[1]VLOOKUP 함수용 카테고리'!$A$1:$B$59, 2, 0)</f>
        <v>RAW_PRODUCE</v>
      </c>
      <c r="E1269" t="s">
        <v>566</v>
      </c>
    </row>
    <row r="1270" spans="1:6" x14ac:dyDescent="0.3">
      <c r="A1270" t="s">
        <v>2443</v>
      </c>
      <c r="B1270" t="str" cm="1">
        <f t="array" ref="B1270">_xlfn.XLOOKUP(C1270, INDEX([1]!카테고리매핑,,2), INDEX([1]!카테고리매핑,,1), "미등록 카테고리")</f>
        <v>간편식</v>
      </c>
      <c r="C1270" t="s">
        <v>158</v>
      </c>
      <c r="D1270" t="str">
        <f>VLOOKUP(C1270, '[1]VLOOKUP 함수용 카테고리'!$A$1:$B$59, 2, 0)</f>
        <v>INSTANT</v>
      </c>
      <c r="E1270" t="s">
        <v>2111</v>
      </c>
      <c r="F1270" t="s">
        <v>129</v>
      </c>
    </row>
    <row r="1271" spans="1:6" x14ac:dyDescent="0.3">
      <c r="A1271" t="s">
        <v>2444</v>
      </c>
      <c r="B1271" t="str" cm="1">
        <f t="array" ref="B1271">_xlfn.XLOOKUP(C1271, INDEX([1]!카테고리매핑,,2), INDEX([1]!카테고리매핑,,1), "미등록 카테고리")</f>
        <v>조미료</v>
      </c>
      <c r="C1271" t="s">
        <v>83</v>
      </c>
      <c r="D1271" t="str">
        <f>VLOOKUP(C1271, '[1]VLOOKUP 함수용 카테고리'!$A$1:$B$59, 2, 0)</f>
        <v>SAUCE_SEASONING</v>
      </c>
      <c r="E1271" t="s">
        <v>7667</v>
      </c>
      <c r="F1271" t="s">
        <v>646</v>
      </c>
    </row>
    <row r="1272" spans="1:6" x14ac:dyDescent="0.3">
      <c r="A1272" t="s">
        <v>2445</v>
      </c>
      <c r="B1272" t="str" cm="1">
        <f t="array" ref="B1272">_xlfn.XLOOKUP(C1272, INDEX([1]!카테고리매핑,,2), INDEX([1]!카테고리매핑,,1), "미등록 카테고리")</f>
        <v>육류/계란</v>
      </c>
      <c r="C1272" t="s">
        <v>428</v>
      </c>
      <c r="D1272" t="str">
        <f>VLOOKUP(C1272, '[1]VLOOKUP 함수용 카테고리'!$A$1:$B$59, 2, 0)</f>
        <v>PROCESSED_MEAT</v>
      </c>
      <c r="E1272" t="s">
        <v>790</v>
      </c>
      <c r="F1272" t="s">
        <v>2446</v>
      </c>
    </row>
    <row r="1273" spans="1:6" x14ac:dyDescent="0.3">
      <c r="A1273" t="s">
        <v>2447</v>
      </c>
      <c r="B1273" t="str" cm="1">
        <f t="array" ref="B1273">_xlfn.XLOOKUP(C1273, INDEX([1]!카테고리매핑,,2), INDEX([1]!카테고리매핑,,1), "미등록 카테고리")</f>
        <v>간편식</v>
      </c>
      <c r="C1273" t="s">
        <v>167</v>
      </c>
      <c r="D1273" t="str">
        <f>VLOOKUP(C1273, '[1]VLOOKUP 함수용 카테고리'!$A$1:$B$59, 2, 0)</f>
        <v>INSTANT</v>
      </c>
      <c r="E1273" t="s">
        <v>1949</v>
      </c>
      <c r="F1273" t="s">
        <v>129</v>
      </c>
    </row>
    <row r="1274" spans="1:6" x14ac:dyDescent="0.3">
      <c r="A1274" t="s">
        <v>2448</v>
      </c>
      <c r="B1274" t="str" cm="1">
        <f t="array" ref="B1274">_xlfn.XLOOKUP(C1274, INDEX([1]!카테고리매핑,,2), INDEX([1]!카테고리매핑,,1), "미등록 카테고리")</f>
        <v>간식류</v>
      </c>
      <c r="C1274" t="s">
        <v>11</v>
      </c>
      <c r="D1274" t="str">
        <f>VLOOKUP(C1274, '[1]VLOOKUP 함수용 카테고리'!$A$1:$B$59, 2, 0)</f>
        <v>SNACK</v>
      </c>
      <c r="E1274" t="s">
        <v>7656</v>
      </c>
      <c r="F1274" t="s">
        <v>2449</v>
      </c>
    </row>
    <row r="1275" spans="1:6" x14ac:dyDescent="0.3">
      <c r="A1275" t="s">
        <v>2450</v>
      </c>
      <c r="B1275" t="str" cm="1">
        <f t="array" ref="B1275">_xlfn.XLOOKUP(C1275, INDEX([1]!카테고리매핑,,2), INDEX([1]!카테고리매핑,,1), "미등록 카테고리")</f>
        <v>조미료</v>
      </c>
      <c r="C1275" t="s">
        <v>84</v>
      </c>
      <c r="D1275" t="str">
        <f>VLOOKUP(C1275, '[1]VLOOKUP 함수용 카테고리'!$A$1:$B$59, 2, 0)</f>
        <v>SAUCE_SEASONING</v>
      </c>
      <c r="E1275" t="s">
        <v>2451</v>
      </c>
      <c r="F1275" t="s">
        <v>269</v>
      </c>
    </row>
    <row r="1276" spans="1:6" x14ac:dyDescent="0.3">
      <c r="A1276" t="s">
        <v>2452</v>
      </c>
      <c r="B1276" t="str" cm="1">
        <f t="array" ref="B1276">_xlfn.XLOOKUP(C1276, INDEX([1]!카테고리매핑,,2), INDEX([1]!카테고리매핑,,1), "미등록 카테고리")</f>
        <v>채소/곡물류</v>
      </c>
      <c r="C1276" t="s">
        <v>27</v>
      </c>
      <c r="D1276" t="str">
        <f>VLOOKUP(C1276, '[1]VLOOKUP 함수용 카테고리'!$A$1:$B$59, 2, 0)</f>
        <v>SIMPLE_PROCESSED</v>
      </c>
      <c r="E1276" t="s">
        <v>28</v>
      </c>
      <c r="F1276" t="s">
        <v>51</v>
      </c>
    </row>
    <row r="1277" spans="1:6" x14ac:dyDescent="0.3">
      <c r="A1277" t="s">
        <v>2453</v>
      </c>
      <c r="B1277" t="str" cm="1">
        <f t="array" ref="B1277">_xlfn.XLOOKUP(C1277, INDEX([1]!카테고리매핑,,2), INDEX([1]!카테고리매핑,,1), "미등록 카테고리")</f>
        <v>미등록 카테고리</v>
      </c>
      <c r="C1277" t="s">
        <v>334</v>
      </c>
      <c r="D1277" t="str">
        <f>VLOOKUP(C1277, '[1]VLOOKUP 함수용 카테고리'!$A$1:$B$59, 2, 0)</f>
        <v>UNKNOWN</v>
      </c>
      <c r="E1277" t="s">
        <v>334</v>
      </c>
      <c r="F1277" t="s">
        <v>731</v>
      </c>
    </row>
    <row r="1278" spans="1:6" x14ac:dyDescent="0.3">
      <c r="A1278" t="s">
        <v>2454</v>
      </c>
      <c r="B1278" t="str" cm="1">
        <f t="array" ref="B1278">_xlfn.XLOOKUP(C1278, INDEX([1]!카테고리매핑,,2), INDEX([1]!카테고리매핑,,1), "미등록 카테고리")</f>
        <v>채소/곡물류</v>
      </c>
      <c r="C1278" t="s">
        <v>7</v>
      </c>
      <c r="D1278" t="str">
        <f>VLOOKUP(C1278, '[1]VLOOKUP 함수용 카테고리'!$A$1:$B$59, 2, 0)</f>
        <v>RAW_PRODUCE</v>
      </c>
      <c r="E1278" t="s">
        <v>2320</v>
      </c>
      <c r="F1278" t="s">
        <v>350</v>
      </c>
    </row>
    <row r="1279" spans="1:6" x14ac:dyDescent="0.3">
      <c r="A1279" t="s">
        <v>2455</v>
      </c>
      <c r="B1279" t="str" cm="1">
        <f t="array" ref="B1279">_xlfn.XLOOKUP(C1279, INDEX([1]!카테고리매핑,,2), INDEX([1]!카테고리매핑,,1), "미등록 카테고리")</f>
        <v>음료</v>
      </c>
      <c r="C1279" t="s">
        <v>23</v>
      </c>
      <c r="D1279" t="str">
        <f>VLOOKUP(C1279, '[1]VLOOKUP 함수용 카테고리'!$A$1:$B$59, 2, 0)</f>
        <v>BEVERAGE</v>
      </c>
      <c r="E1279" t="s">
        <v>502</v>
      </c>
      <c r="F1279" t="s">
        <v>2456</v>
      </c>
    </row>
    <row r="1280" spans="1:6" x14ac:dyDescent="0.3">
      <c r="A1280" t="s">
        <v>2457</v>
      </c>
      <c r="B1280" t="str" cm="1">
        <f t="array" ref="B1280">_xlfn.XLOOKUP(C1280, INDEX([1]!카테고리매핑,,2), INDEX([1]!카테고리매핑,,1), "미등록 카테고리")</f>
        <v>간식류</v>
      </c>
      <c r="C1280" t="s">
        <v>63</v>
      </c>
      <c r="D1280" t="str">
        <f>VLOOKUP(C1280, '[1]VLOOKUP 함수용 카테고리'!$A$1:$B$59, 2, 0)</f>
        <v>BAKERY</v>
      </c>
      <c r="E1280" t="s">
        <v>496</v>
      </c>
      <c r="F1280" t="s">
        <v>531</v>
      </c>
    </row>
    <row r="1281" spans="1:6" x14ac:dyDescent="0.3">
      <c r="A1281" t="s">
        <v>2458</v>
      </c>
      <c r="B1281" t="str" cm="1">
        <f t="array" ref="B1281">_xlfn.XLOOKUP(C1281, INDEX([1]!카테고리매핑,,2), INDEX([1]!카테고리매핑,,1), "미등록 카테고리")</f>
        <v>상온식품</v>
      </c>
      <c r="C1281" t="s">
        <v>276</v>
      </c>
      <c r="D1281" t="str">
        <f>VLOOKUP(C1281, '[1]VLOOKUP 함수용 카테고리'!$A$1:$B$59, 2, 0)</f>
        <v>DRIED_SEAFOOD</v>
      </c>
      <c r="E1281" t="s">
        <v>277</v>
      </c>
      <c r="F1281" t="s">
        <v>736</v>
      </c>
    </row>
    <row r="1282" spans="1:6" x14ac:dyDescent="0.3">
      <c r="A1282" t="s">
        <v>2459</v>
      </c>
      <c r="B1282" t="str" cm="1">
        <f t="array" ref="B1282">_xlfn.XLOOKUP(C1282, INDEX([1]!카테고리매핑,,2), INDEX([1]!카테고리매핑,,1), "미등록 카테고리")</f>
        <v>채소/곡물류</v>
      </c>
      <c r="C1282" t="s">
        <v>164</v>
      </c>
      <c r="D1282" t="str">
        <f>VLOOKUP(C1282, '[1]VLOOKUP 함수용 카테고리'!$A$1:$B$59, 2, 0)</f>
        <v>RAW_PRODUCE</v>
      </c>
      <c r="E1282" t="s">
        <v>195</v>
      </c>
    </row>
    <row r="1283" spans="1:6" x14ac:dyDescent="0.3">
      <c r="A1283" t="s">
        <v>2460</v>
      </c>
      <c r="B1283" t="str" cm="1">
        <f t="array" ref="B1283">_xlfn.XLOOKUP(C1283, INDEX([1]!카테고리매핑,,2), INDEX([1]!카테고리매핑,,1), "미등록 카테고리")</f>
        <v>간편식</v>
      </c>
      <c r="C1283" t="s">
        <v>256</v>
      </c>
      <c r="D1283" t="str">
        <f>VLOOKUP(C1283, '[1]VLOOKUP 함수용 카테고리'!$A$1:$B$59, 2, 0)</f>
        <v>RTC_MEAL</v>
      </c>
      <c r="E1283" t="s">
        <v>256</v>
      </c>
      <c r="F1283" t="s">
        <v>254</v>
      </c>
    </row>
    <row r="1284" spans="1:6" x14ac:dyDescent="0.3">
      <c r="A1284" t="s">
        <v>2461</v>
      </c>
      <c r="B1284" t="str" cm="1">
        <f t="array" ref="B1284">_xlfn.XLOOKUP(C1284, INDEX([1]!카테고리매핑,,2), INDEX([1]!카테고리매핑,,1), "미등록 카테고리")</f>
        <v>음료</v>
      </c>
      <c r="C1284" t="s">
        <v>23</v>
      </c>
      <c r="D1284" t="str">
        <f>VLOOKUP(C1284, '[1]VLOOKUP 함수용 카테고리'!$A$1:$B$59, 2, 0)</f>
        <v>BEVERAGE</v>
      </c>
      <c r="E1284" t="s">
        <v>323</v>
      </c>
      <c r="F1284" t="s">
        <v>2462</v>
      </c>
    </row>
    <row r="1285" spans="1:6" x14ac:dyDescent="0.3">
      <c r="A1285" t="s">
        <v>2463</v>
      </c>
      <c r="B1285" t="str" cm="1">
        <f t="array" ref="B1285">_xlfn.XLOOKUP(C1285, INDEX([1]!카테고리매핑,,2), INDEX([1]!카테고리매핑,,1), "미등록 카테고리")</f>
        <v>간식류</v>
      </c>
      <c r="C1285" t="s">
        <v>38</v>
      </c>
      <c r="D1285" t="str">
        <f>VLOOKUP(C1285, '[1]VLOOKUP 함수용 카테고리'!$A$1:$B$59, 2, 0)</f>
        <v>SNACK</v>
      </c>
      <c r="E1285" t="s">
        <v>2464</v>
      </c>
      <c r="F1285" t="s">
        <v>2465</v>
      </c>
    </row>
    <row r="1286" spans="1:6" x14ac:dyDescent="0.3">
      <c r="A1286" t="s">
        <v>2466</v>
      </c>
      <c r="B1286" t="str" cm="1">
        <f t="array" ref="B1286">_xlfn.XLOOKUP(C1286, INDEX([1]!카테고리매핑,,2), INDEX([1]!카테고리매핑,,1), "미등록 카테고리")</f>
        <v>미등록 카테고리</v>
      </c>
      <c r="C1286" t="s">
        <v>334</v>
      </c>
      <c r="D1286" t="str">
        <f>VLOOKUP(C1286, '[1]VLOOKUP 함수용 카테고리'!$A$1:$B$59, 2, 0)</f>
        <v>UNKNOWN</v>
      </c>
      <c r="E1286" t="s">
        <v>334</v>
      </c>
      <c r="F1286" t="s">
        <v>2467</v>
      </c>
    </row>
    <row r="1287" spans="1:6" x14ac:dyDescent="0.3">
      <c r="A1287" t="s">
        <v>2468</v>
      </c>
      <c r="B1287" t="str" cm="1">
        <f t="array" ref="B1287">_xlfn.XLOOKUP(C1287, INDEX([1]!카테고리매핑,,2), INDEX([1]!카테고리매핑,,1), "미등록 카테고리")</f>
        <v>유제품</v>
      </c>
      <c r="C1287" t="s">
        <v>123</v>
      </c>
      <c r="D1287" t="str">
        <f>VLOOKUP(C1287, '[1]VLOOKUP 함수용 카테고리'!$A$1:$B$59, 2, 0)</f>
        <v>DAIRY</v>
      </c>
      <c r="E1287" t="s">
        <v>190</v>
      </c>
      <c r="F1287" t="s">
        <v>2469</v>
      </c>
    </row>
    <row r="1288" spans="1:6" x14ac:dyDescent="0.3">
      <c r="A1288" t="s">
        <v>2470</v>
      </c>
      <c r="B1288" t="str" cm="1">
        <f t="array" ref="B1288">_xlfn.XLOOKUP(C1288, INDEX([1]!카테고리매핑,,2), INDEX([1]!카테고리매핑,,1), "미등록 카테고리")</f>
        <v>간편식</v>
      </c>
      <c r="C1288" t="s">
        <v>131</v>
      </c>
      <c r="D1288" t="str">
        <f>VLOOKUP(C1288, '[1]VLOOKUP 함수용 카테고리'!$A$1:$B$59, 2, 0)</f>
        <v>SIMPLE_PROCESSED</v>
      </c>
      <c r="E1288" t="s">
        <v>2471</v>
      </c>
      <c r="F1288" t="s">
        <v>416</v>
      </c>
    </row>
    <row r="1289" spans="1:6" x14ac:dyDescent="0.3">
      <c r="A1289" t="s">
        <v>2472</v>
      </c>
      <c r="B1289" t="str" cm="1">
        <f t="array" ref="B1289">_xlfn.XLOOKUP(C1289, INDEX([1]!카테고리매핑,,2), INDEX([1]!카테고리매핑,,1), "미등록 카테고리")</f>
        <v>채소/곡물류</v>
      </c>
      <c r="C1289" t="s">
        <v>7</v>
      </c>
      <c r="D1289" t="str">
        <f>VLOOKUP(C1289, '[1]VLOOKUP 함수용 카테고리'!$A$1:$B$59, 2, 0)</f>
        <v>RAW_PRODUCE</v>
      </c>
      <c r="E1289" t="s">
        <v>1898</v>
      </c>
      <c r="F1289" t="s">
        <v>406</v>
      </c>
    </row>
    <row r="1290" spans="1:6" x14ac:dyDescent="0.3">
      <c r="A1290" t="s">
        <v>2473</v>
      </c>
      <c r="B1290" t="str" cm="1">
        <f t="array" ref="B1290">_xlfn.XLOOKUP(C1290, INDEX([1]!카테고리매핑,,2), INDEX([1]!카테고리매핑,,1), "미등록 카테고리")</f>
        <v>상온식품</v>
      </c>
      <c r="C1290" t="s">
        <v>276</v>
      </c>
      <c r="D1290" t="str">
        <f>VLOOKUP(C1290, '[1]VLOOKUP 함수용 카테고리'!$A$1:$B$59, 2, 0)</f>
        <v>DRIED_SEAFOOD</v>
      </c>
      <c r="E1290" t="s">
        <v>277</v>
      </c>
      <c r="F1290" t="s">
        <v>2474</v>
      </c>
    </row>
    <row r="1291" spans="1:6" x14ac:dyDescent="0.3">
      <c r="A1291" t="s">
        <v>2475</v>
      </c>
      <c r="B1291" t="str" cm="1">
        <f t="array" ref="B1291">_xlfn.XLOOKUP(C1291, INDEX([1]!카테고리매핑,,2), INDEX([1]!카테고리매핑,,1), "미등록 카테고리")</f>
        <v>조미료</v>
      </c>
      <c r="C1291" t="s">
        <v>127</v>
      </c>
      <c r="D1291" t="str">
        <f>VLOOKUP(C1291, '[1]VLOOKUP 함수용 카테고리'!$A$1:$B$59, 2, 0)</f>
        <v>SAUCE_SEASONING</v>
      </c>
      <c r="E1291" t="s">
        <v>989</v>
      </c>
      <c r="F1291" t="s">
        <v>2476</v>
      </c>
    </row>
    <row r="1292" spans="1:6" x14ac:dyDescent="0.3">
      <c r="A1292" t="s">
        <v>2477</v>
      </c>
      <c r="B1292" t="str" cm="1">
        <f t="array" ref="B1292">_xlfn.XLOOKUP(C1292, INDEX([1]!카테고리매핑,,2), INDEX([1]!카테고리매핑,,1), "미등록 카테고리")</f>
        <v>간편식</v>
      </c>
      <c r="C1292" t="s">
        <v>131</v>
      </c>
      <c r="D1292" t="str">
        <f>VLOOKUP(C1292, '[1]VLOOKUP 함수용 카테고리'!$A$1:$B$59, 2, 0)</f>
        <v>SIMPLE_PROCESSED</v>
      </c>
      <c r="E1292" t="s">
        <v>2478</v>
      </c>
      <c r="F1292" t="s">
        <v>1529</v>
      </c>
    </row>
    <row r="1293" spans="1:6" x14ac:dyDescent="0.3">
      <c r="A1293" t="s">
        <v>2479</v>
      </c>
      <c r="B1293" t="str" cm="1">
        <f t="array" ref="B1293">_xlfn.XLOOKUP(C1293, INDEX([1]!카테고리매핑,,2), INDEX([1]!카테고리매핑,,1), "미등록 카테고리")</f>
        <v>간편식</v>
      </c>
      <c r="C1293" t="s">
        <v>256</v>
      </c>
      <c r="D1293" t="str">
        <f>VLOOKUP(C1293, '[1]VLOOKUP 함수용 카테고리'!$A$1:$B$59, 2, 0)</f>
        <v>RTC_MEAL</v>
      </c>
      <c r="E1293" t="s">
        <v>256</v>
      </c>
      <c r="F1293" t="s">
        <v>29</v>
      </c>
    </row>
    <row r="1294" spans="1:6" x14ac:dyDescent="0.3">
      <c r="A1294" t="s">
        <v>2480</v>
      </c>
      <c r="B1294" t="str" cm="1">
        <f t="array" ref="B1294">_xlfn.XLOOKUP(C1294, INDEX([1]!카테고리매핑,,2), INDEX([1]!카테고리매핑,,1), "미등록 카테고리")</f>
        <v>조미료</v>
      </c>
      <c r="C1294" t="s">
        <v>117</v>
      </c>
      <c r="D1294" t="str">
        <f>VLOOKUP(C1294, '[1]VLOOKUP 함수용 카테고리'!$A$1:$B$59, 2, 0)</f>
        <v>SAUCE_SEASONING</v>
      </c>
      <c r="E1294" t="s">
        <v>2481</v>
      </c>
      <c r="F1294" t="s">
        <v>2482</v>
      </c>
    </row>
    <row r="1295" spans="1:6" x14ac:dyDescent="0.3">
      <c r="A1295" t="s">
        <v>2483</v>
      </c>
      <c r="B1295" t="str" cm="1">
        <f t="array" ref="B1295">_xlfn.XLOOKUP(C1295, INDEX([1]!카테고리매핑,,2), INDEX([1]!카테고리매핑,,1), "미등록 카테고리")</f>
        <v>미등록 카테고리</v>
      </c>
      <c r="C1295" t="s">
        <v>334</v>
      </c>
      <c r="D1295" t="str">
        <f>VLOOKUP(C1295, '[1]VLOOKUP 함수용 카테고리'!$A$1:$B$59, 2, 0)</f>
        <v>UNKNOWN</v>
      </c>
      <c r="E1295" t="s">
        <v>334</v>
      </c>
      <c r="F1295" t="s">
        <v>77</v>
      </c>
    </row>
    <row r="1296" spans="1:6" x14ac:dyDescent="0.3">
      <c r="A1296" t="s">
        <v>2484</v>
      </c>
      <c r="B1296" t="str" cm="1">
        <f t="array" ref="B1296">_xlfn.XLOOKUP(C1296, INDEX([1]!카테고리매핑,,2), INDEX([1]!카테고리매핑,,1), "미등록 카테고리")</f>
        <v>간편식</v>
      </c>
      <c r="C1296" t="s">
        <v>256</v>
      </c>
      <c r="D1296" t="str">
        <f>VLOOKUP(C1296, '[1]VLOOKUP 함수용 카테고리'!$A$1:$B$59, 2, 0)</f>
        <v>RTC_MEAL</v>
      </c>
      <c r="E1296" t="s">
        <v>256</v>
      </c>
      <c r="F1296" t="s">
        <v>2485</v>
      </c>
    </row>
    <row r="1297" spans="1:6" x14ac:dyDescent="0.3">
      <c r="A1297" t="s">
        <v>2486</v>
      </c>
      <c r="B1297" t="str" cm="1">
        <f t="array" ref="B1297">_xlfn.XLOOKUP(C1297, INDEX([1]!카테고리매핑,,2), INDEX([1]!카테고리매핑,,1), "미등록 카테고리")</f>
        <v>육류/계란</v>
      </c>
      <c r="C1297" t="s">
        <v>34</v>
      </c>
      <c r="D1297" t="str">
        <f>VLOOKUP(C1297, '[1]VLOOKUP 함수용 카테고리'!$A$1:$B$59, 2, 0)</f>
        <v>RAW_MEAT</v>
      </c>
      <c r="E1297" t="s">
        <v>35</v>
      </c>
      <c r="F1297" t="s">
        <v>2487</v>
      </c>
    </row>
    <row r="1298" spans="1:6" x14ac:dyDescent="0.3">
      <c r="A1298" t="s">
        <v>2488</v>
      </c>
      <c r="B1298" t="str" cm="1">
        <f t="array" ref="B1298">_xlfn.XLOOKUP(C1298, INDEX([1]!카테고리매핑,,2), INDEX([1]!카테고리매핑,,1), "미등록 카테고리")</f>
        <v>조미료</v>
      </c>
      <c r="C1298" t="s">
        <v>127</v>
      </c>
      <c r="D1298" t="str">
        <f>VLOOKUP(C1298, '[1]VLOOKUP 함수용 카테고리'!$A$1:$B$59, 2, 0)</f>
        <v>SAUCE_SEASONING</v>
      </c>
      <c r="E1298" t="s">
        <v>248</v>
      </c>
      <c r="F1298" t="s">
        <v>7797</v>
      </c>
    </row>
    <row r="1299" spans="1:6" x14ac:dyDescent="0.3">
      <c r="A1299" t="s">
        <v>2489</v>
      </c>
      <c r="B1299" t="str" cm="1">
        <f t="array" ref="B1299">_xlfn.XLOOKUP(C1299, INDEX([1]!카테고리매핑,,2), INDEX([1]!카테고리매핑,,1), "미등록 카테고리")</f>
        <v>조미료</v>
      </c>
      <c r="C1299" t="s">
        <v>84</v>
      </c>
      <c r="D1299" t="str">
        <f>VLOOKUP(C1299, '[1]VLOOKUP 함수용 카테고리'!$A$1:$B$59, 2, 0)</f>
        <v>SAUCE_SEASONING</v>
      </c>
      <c r="E1299" t="s">
        <v>90</v>
      </c>
      <c r="F1299" t="s">
        <v>7798</v>
      </c>
    </row>
    <row r="1300" spans="1:6" x14ac:dyDescent="0.3">
      <c r="A1300" t="s">
        <v>2491</v>
      </c>
      <c r="B1300" t="str" cm="1">
        <f t="array" ref="B1300">_xlfn.XLOOKUP(C1300, INDEX([1]!카테고리매핑,,2), INDEX([1]!카테고리매핑,,1), "미등록 카테고리")</f>
        <v>채소/곡물류</v>
      </c>
      <c r="C1300" t="s">
        <v>301</v>
      </c>
      <c r="D1300" t="str">
        <f>VLOOKUP(C1300, '[1]VLOOKUP 함수용 카테고리'!$A$1:$B$59, 2, 0)</f>
        <v>GRAIN</v>
      </c>
      <c r="E1300" t="s">
        <v>611</v>
      </c>
      <c r="F1300" t="s">
        <v>303</v>
      </c>
    </row>
    <row r="1301" spans="1:6" x14ac:dyDescent="0.3">
      <c r="A1301" t="s">
        <v>2492</v>
      </c>
      <c r="B1301" t="str" cm="1">
        <f t="array" ref="B1301">_xlfn.XLOOKUP(C1301, INDEX([1]!카테고리매핑,,2), INDEX([1]!카테고리매핑,,1), "미등록 카테고리")</f>
        <v>간식류</v>
      </c>
      <c r="C1301" t="s">
        <v>109</v>
      </c>
      <c r="D1301" t="str">
        <f>VLOOKUP(C1301, '[1]VLOOKUP 함수용 카테고리'!$A$1:$B$59, 2, 0)</f>
        <v>SNACK</v>
      </c>
      <c r="E1301" t="s">
        <v>933</v>
      </c>
      <c r="F1301" t="s">
        <v>2493</v>
      </c>
    </row>
    <row r="1302" spans="1:6" x14ac:dyDescent="0.3">
      <c r="A1302" t="s">
        <v>2494</v>
      </c>
      <c r="B1302" t="str" cm="1">
        <f t="array" ref="B1302">_xlfn.XLOOKUP(C1302, INDEX([1]!카테고리매핑,,2), INDEX([1]!카테고리매핑,,1), "미등록 카테고리")</f>
        <v>간편식</v>
      </c>
      <c r="C1302" t="s">
        <v>46</v>
      </c>
      <c r="D1302" t="str">
        <f>VLOOKUP(C1302, '[1]VLOOKUP 함수용 카테고리'!$A$1:$B$59, 2, 0)</f>
        <v>RTC_MEAL</v>
      </c>
      <c r="E1302" t="s">
        <v>46</v>
      </c>
      <c r="F1302" t="s">
        <v>2495</v>
      </c>
    </row>
    <row r="1303" spans="1:6" x14ac:dyDescent="0.3">
      <c r="A1303" t="s">
        <v>2496</v>
      </c>
      <c r="B1303" t="str" cm="1">
        <f t="array" ref="B1303">_xlfn.XLOOKUP(C1303, INDEX([1]!카테고리매핑,,2), INDEX([1]!카테고리매핑,,1), "미등록 카테고리")</f>
        <v>간편식</v>
      </c>
      <c r="C1303" t="s">
        <v>131</v>
      </c>
      <c r="D1303" t="str">
        <f>VLOOKUP(C1303, '[1]VLOOKUP 함수용 카테고리'!$A$1:$B$59, 2, 0)</f>
        <v>SIMPLE_PROCESSED</v>
      </c>
      <c r="E1303" t="s">
        <v>2497</v>
      </c>
      <c r="F1303" t="s">
        <v>133</v>
      </c>
    </row>
    <row r="1304" spans="1:6" x14ac:dyDescent="0.3">
      <c r="A1304" t="s">
        <v>2498</v>
      </c>
      <c r="B1304" t="str" cm="1">
        <f t="array" ref="B1304">_xlfn.XLOOKUP(C1304, INDEX([1]!카테고리매핑,,2), INDEX([1]!카테고리매핑,,1), "미등록 카테고리")</f>
        <v>조미료</v>
      </c>
      <c r="C1304" t="s">
        <v>127</v>
      </c>
      <c r="D1304" t="str">
        <f>VLOOKUP(C1304, '[1]VLOOKUP 함수용 카테고리'!$A$1:$B$59, 2, 0)</f>
        <v>SAUCE_SEASONING</v>
      </c>
      <c r="E1304" t="s">
        <v>2499</v>
      </c>
      <c r="F1304" t="s">
        <v>129</v>
      </c>
    </row>
    <row r="1305" spans="1:6" x14ac:dyDescent="0.3">
      <c r="A1305" t="s">
        <v>2500</v>
      </c>
      <c r="B1305" t="str" cm="1">
        <f t="array" ref="B1305">_xlfn.XLOOKUP(C1305, INDEX([1]!카테고리매핑,,2), INDEX([1]!카테고리매핑,,1), "미등록 카테고리")</f>
        <v>채소/곡물류</v>
      </c>
      <c r="C1305" t="s">
        <v>7</v>
      </c>
      <c r="D1305" t="str">
        <f>VLOOKUP(C1305, '[1]VLOOKUP 함수용 카테고리'!$A$1:$B$59, 2, 0)</f>
        <v>RAW_PRODUCE</v>
      </c>
      <c r="E1305" t="s">
        <v>261</v>
      </c>
    </row>
    <row r="1306" spans="1:6" x14ac:dyDescent="0.3">
      <c r="A1306" t="s">
        <v>2501</v>
      </c>
      <c r="B1306" t="str" cm="1">
        <f t="array" ref="B1306">_xlfn.XLOOKUP(C1306, INDEX([1]!카테고리매핑,,2), INDEX([1]!카테고리매핑,,1), "미등록 카테고리")</f>
        <v>수산물</v>
      </c>
      <c r="C1306" t="s">
        <v>183</v>
      </c>
      <c r="D1306" t="str">
        <f>VLOOKUP(C1306, '[1]VLOOKUP 함수용 카테고리'!$A$1:$B$59, 2, 0)</f>
        <v>DRIED_SEAFOOD</v>
      </c>
      <c r="E1306" t="s">
        <v>184</v>
      </c>
      <c r="F1306" t="s">
        <v>2502</v>
      </c>
    </row>
    <row r="1307" spans="1:6" x14ac:dyDescent="0.3">
      <c r="A1307" t="s">
        <v>2503</v>
      </c>
      <c r="B1307" t="str" cm="1">
        <f t="array" ref="B1307">_xlfn.XLOOKUP(C1307, INDEX([1]!카테고리매핑,,2), INDEX([1]!카테고리매핑,,1), "미등록 카테고리")</f>
        <v>조미료</v>
      </c>
      <c r="C1307" t="s">
        <v>127</v>
      </c>
      <c r="D1307" t="str">
        <f>VLOOKUP(C1307, '[1]VLOOKUP 함수용 카테고리'!$A$1:$B$59, 2, 0)</f>
        <v>SAUCE_SEASONING</v>
      </c>
      <c r="E1307" t="s">
        <v>171</v>
      </c>
      <c r="F1307" t="s">
        <v>129</v>
      </c>
    </row>
    <row r="1308" spans="1:6" x14ac:dyDescent="0.3">
      <c r="A1308" t="s">
        <v>2504</v>
      </c>
      <c r="B1308" t="str" cm="1">
        <f t="array" ref="B1308">_xlfn.XLOOKUP(C1308, INDEX([1]!카테고리매핑,,2), INDEX([1]!카테고리매핑,,1), "미등록 카테고리")</f>
        <v>육류/계란</v>
      </c>
      <c r="C1308" t="s">
        <v>428</v>
      </c>
      <c r="D1308" t="str">
        <f>VLOOKUP(C1308, '[1]VLOOKUP 함수용 카테고리'!$A$1:$B$59, 2, 0)</f>
        <v>PROCESSED_MEAT</v>
      </c>
      <c r="E1308" t="s">
        <v>2505</v>
      </c>
      <c r="F1308" t="s">
        <v>2506</v>
      </c>
    </row>
    <row r="1309" spans="1:6" x14ac:dyDescent="0.3">
      <c r="A1309" t="s">
        <v>2507</v>
      </c>
      <c r="B1309" t="str" cm="1">
        <f t="array" ref="B1309">_xlfn.XLOOKUP(C1309, INDEX([1]!카테고리매핑,,2), INDEX([1]!카테고리매핑,,1), "미등록 카테고리")</f>
        <v>간편식</v>
      </c>
      <c r="C1309" t="s">
        <v>131</v>
      </c>
      <c r="D1309" t="str">
        <f>VLOOKUP(C1309, '[1]VLOOKUP 함수용 카테고리'!$A$1:$B$59, 2, 0)</f>
        <v>SIMPLE_PROCESSED</v>
      </c>
      <c r="E1309" t="s">
        <v>2380</v>
      </c>
      <c r="F1309" t="s">
        <v>756</v>
      </c>
    </row>
    <row r="1310" spans="1:6" x14ac:dyDescent="0.3">
      <c r="A1310" t="s">
        <v>2508</v>
      </c>
      <c r="B1310" t="str" cm="1">
        <f t="array" ref="B1310">_xlfn.XLOOKUP(C1310, INDEX([1]!카테고리매핑,,2), INDEX([1]!카테고리매핑,,1), "미등록 카테고리")</f>
        <v>간식류</v>
      </c>
      <c r="C1310" t="s">
        <v>11</v>
      </c>
      <c r="D1310" t="str">
        <f>VLOOKUP(C1310, '[1]VLOOKUP 함수용 카테고리'!$A$1:$B$59, 2, 0)</f>
        <v>SNACK</v>
      </c>
      <c r="E1310" t="s">
        <v>2305</v>
      </c>
      <c r="F1310" t="s">
        <v>2306</v>
      </c>
    </row>
    <row r="1311" spans="1:6" x14ac:dyDescent="0.3">
      <c r="A1311" t="s">
        <v>2509</v>
      </c>
      <c r="B1311" t="str" cm="1">
        <f t="array" ref="B1311">_xlfn.XLOOKUP(C1311, INDEX([1]!카테고리매핑,,2), INDEX([1]!카테고리매핑,,1), "미등록 카테고리")</f>
        <v>수산물</v>
      </c>
      <c r="C1311" t="s">
        <v>183</v>
      </c>
      <c r="D1311" t="str">
        <f>VLOOKUP(C1311, '[1]VLOOKUP 함수용 카테고리'!$A$1:$B$59, 2, 0)</f>
        <v>DRIED_SEAFOOD</v>
      </c>
      <c r="E1311" t="s">
        <v>2117</v>
      </c>
    </row>
    <row r="1312" spans="1:6" x14ac:dyDescent="0.3">
      <c r="A1312" t="s">
        <v>2510</v>
      </c>
      <c r="B1312" t="str" cm="1">
        <f t="array" ref="B1312">_xlfn.XLOOKUP(C1312, INDEX([1]!카테고리매핑,,2), INDEX([1]!카테고리매핑,,1), "미등록 카테고리")</f>
        <v>간편식</v>
      </c>
      <c r="C1312" t="s">
        <v>158</v>
      </c>
      <c r="D1312" t="str">
        <f>VLOOKUP(C1312, '[1]VLOOKUP 함수용 카테고리'!$A$1:$B$59, 2, 0)</f>
        <v>INSTANT</v>
      </c>
      <c r="E1312" t="s">
        <v>2111</v>
      </c>
      <c r="F1312" t="s">
        <v>129</v>
      </c>
    </row>
    <row r="1313" spans="1:6" x14ac:dyDescent="0.3">
      <c r="A1313" t="s">
        <v>2511</v>
      </c>
      <c r="B1313" t="str" cm="1">
        <f t="array" ref="B1313">_xlfn.XLOOKUP(C1313, INDEX([1]!카테고리매핑,,2), INDEX([1]!카테고리매핑,,1), "미등록 카테고리")</f>
        <v>미등록 카테고리</v>
      </c>
      <c r="C1313" t="s">
        <v>334</v>
      </c>
      <c r="D1313" t="str">
        <f>VLOOKUP(C1313, '[1]VLOOKUP 함수용 카테고리'!$A$1:$B$59, 2, 0)</f>
        <v>UNKNOWN</v>
      </c>
      <c r="E1313" t="s">
        <v>334</v>
      </c>
      <c r="F1313" t="s">
        <v>2269</v>
      </c>
    </row>
    <row r="1314" spans="1:6" x14ac:dyDescent="0.3">
      <c r="A1314" t="s">
        <v>2512</v>
      </c>
      <c r="B1314" t="str" cm="1">
        <f t="array" ref="B1314">_xlfn.XLOOKUP(C1314, INDEX([1]!카테고리매핑,,2), INDEX([1]!카테고리매핑,,1), "미등록 카테고리")</f>
        <v>간편식</v>
      </c>
      <c r="C1314" t="s">
        <v>46</v>
      </c>
      <c r="D1314" t="str">
        <f>VLOOKUP(C1314, '[1]VLOOKUP 함수용 카테고리'!$A$1:$B$59, 2, 0)</f>
        <v>RTC_MEAL</v>
      </c>
      <c r="E1314" t="s">
        <v>46</v>
      </c>
      <c r="F1314" t="s">
        <v>1806</v>
      </c>
    </row>
    <row r="1315" spans="1:6" x14ac:dyDescent="0.3">
      <c r="A1315" t="s">
        <v>2513</v>
      </c>
      <c r="B1315" t="str" cm="1">
        <f t="array" ref="B1315">_xlfn.XLOOKUP(C1315, INDEX([1]!카테고리매핑,,2), INDEX([1]!카테고리매핑,,1), "미등록 카테고리")</f>
        <v>육류/계란</v>
      </c>
      <c r="C1315" t="s">
        <v>34</v>
      </c>
      <c r="D1315" t="str">
        <f>VLOOKUP(C1315, '[1]VLOOKUP 함수용 카테고리'!$A$1:$B$59, 2, 0)</f>
        <v>RAW_MEAT</v>
      </c>
      <c r="E1315" t="s">
        <v>2514</v>
      </c>
      <c r="F1315" t="s">
        <v>350</v>
      </c>
    </row>
    <row r="1316" spans="1:6" x14ac:dyDescent="0.3">
      <c r="A1316" t="s">
        <v>2515</v>
      </c>
      <c r="B1316" t="str" cm="1">
        <f t="array" ref="B1316">_xlfn.XLOOKUP(C1316, INDEX([1]!카테고리매핑,,2), INDEX([1]!카테고리매핑,,1), "미등록 카테고리")</f>
        <v>유제품</v>
      </c>
      <c r="C1316" t="s">
        <v>123</v>
      </c>
      <c r="D1316" t="str">
        <f>VLOOKUP(C1316, '[1]VLOOKUP 함수용 카테고리'!$A$1:$B$59, 2, 0)</f>
        <v>DAIRY</v>
      </c>
      <c r="E1316" t="s">
        <v>124</v>
      </c>
      <c r="F1316" t="s">
        <v>193</v>
      </c>
    </row>
    <row r="1317" spans="1:6" x14ac:dyDescent="0.3">
      <c r="A1317" t="s">
        <v>2516</v>
      </c>
      <c r="B1317" t="str" cm="1">
        <f t="array" ref="B1317">_xlfn.XLOOKUP(C1317, INDEX([1]!카테고리매핑,,2), INDEX([1]!카테고리매핑,,1), "미등록 카테고리")</f>
        <v>간편식</v>
      </c>
      <c r="C1317" t="s">
        <v>46</v>
      </c>
      <c r="D1317" t="str">
        <f>VLOOKUP(C1317, '[1]VLOOKUP 함수용 카테고리'!$A$1:$B$59, 2, 0)</f>
        <v>RTC_MEAL</v>
      </c>
      <c r="E1317" t="s">
        <v>46</v>
      </c>
      <c r="F1317" t="s">
        <v>471</v>
      </c>
    </row>
    <row r="1318" spans="1:6" x14ac:dyDescent="0.3">
      <c r="A1318" t="s">
        <v>2517</v>
      </c>
      <c r="B1318" t="str" cm="1">
        <f t="array" ref="B1318">_xlfn.XLOOKUP(C1318, INDEX([1]!카테고리매핑,,2), INDEX([1]!카테고리매핑,,1), "미등록 카테고리")</f>
        <v>간편식</v>
      </c>
      <c r="C1318" t="s">
        <v>46</v>
      </c>
      <c r="D1318" t="str">
        <f>VLOOKUP(C1318, '[1]VLOOKUP 함수용 카테고리'!$A$1:$B$59, 2, 0)</f>
        <v>RTC_MEAL</v>
      </c>
      <c r="E1318" t="s">
        <v>46</v>
      </c>
      <c r="F1318" t="s">
        <v>2518</v>
      </c>
    </row>
    <row r="1319" spans="1:6" x14ac:dyDescent="0.3">
      <c r="A1319" t="s">
        <v>2519</v>
      </c>
      <c r="B1319" t="str" cm="1">
        <f t="array" ref="B1319">_xlfn.XLOOKUP(C1319, INDEX([1]!카테고리매핑,,2), INDEX([1]!카테고리매핑,,1), "미등록 카테고리")</f>
        <v>간편식</v>
      </c>
      <c r="C1319" t="s">
        <v>46</v>
      </c>
      <c r="D1319" t="str">
        <f>VLOOKUP(C1319, '[1]VLOOKUP 함수용 카테고리'!$A$1:$B$59, 2, 0)</f>
        <v>RTC_MEAL</v>
      </c>
      <c r="E1319" t="s">
        <v>46</v>
      </c>
      <c r="F1319" t="s">
        <v>2520</v>
      </c>
    </row>
    <row r="1320" spans="1:6" x14ac:dyDescent="0.3">
      <c r="A1320" t="s">
        <v>2521</v>
      </c>
      <c r="B1320" t="str" cm="1">
        <f t="array" ref="B1320">_xlfn.XLOOKUP(C1320, INDEX([1]!카테고리매핑,,2), INDEX([1]!카테고리매핑,,1), "미등록 카테고리")</f>
        <v>간식류</v>
      </c>
      <c r="C1320" t="s">
        <v>63</v>
      </c>
      <c r="D1320" t="str">
        <f>VLOOKUP(C1320, '[1]VLOOKUP 함수용 카테고리'!$A$1:$B$59, 2, 0)</f>
        <v>BAKERY</v>
      </c>
      <c r="E1320" t="s">
        <v>2522</v>
      </c>
      <c r="F1320" t="s">
        <v>463</v>
      </c>
    </row>
    <row r="1321" spans="1:6" x14ac:dyDescent="0.3">
      <c r="A1321" t="s">
        <v>2523</v>
      </c>
      <c r="B1321" t="str" cm="1">
        <f t="array" ref="B1321">_xlfn.XLOOKUP(C1321, INDEX([1]!카테고리매핑,,2), INDEX([1]!카테고리매핑,,1), "미등록 카테고리")</f>
        <v>간식류</v>
      </c>
      <c r="C1321" t="s">
        <v>63</v>
      </c>
      <c r="D1321" t="str">
        <f>VLOOKUP(C1321, '[1]VLOOKUP 함수용 카테고리'!$A$1:$B$59, 2, 0)</f>
        <v>BAKERY</v>
      </c>
      <c r="E1321" t="s">
        <v>1594</v>
      </c>
      <c r="F1321" t="s">
        <v>1595</v>
      </c>
    </row>
    <row r="1322" spans="1:6" x14ac:dyDescent="0.3">
      <c r="A1322" t="s">
        <v>2524</v>
      </c>
      <c r="B1322" t="str" cm="1">
        <f t="array" ref="B1322">_xlfn.XLOOKUP(C1322, INDEX([1]!카테고리매핑,,2), INDEX([1]!카테고리매핑,,1), "미등록 카테고리")</f>
        <v>유제품</v>
      </c>
      <c r="C1322" t="s">
        <v>98</v>
      </c>
      <c r="D1322" t="str">
        <f>VLOOKUP(C1322, '[1]VLOOKUP 함수용 카테고리'!$A$1:$B$59, 2, 0)</f>
        <v>DAIRY</v>
      </c>
      <c r="E1322" t="s">
        <v>98</v>
      </c>
      <c r="F1322" t="s">
        <v>2525</v>
      </c>
    </row>
    <row r="1323" spans="1:6" x14ac:dyDescent="0.3">
      <c r="A1323" t="s">
        <v>2526</v>
      </c>
      <c r="B1323" t="str" cm="1">
        <f t="array" ref="B1323">_xlfn.XLOOKUP(C1323, INDEX([1]!카테고리매핑,,2), INDEX([1]!카테고리매핑,,1), "미등록 카테고리")</f>
        <v>조미료</v>
      </c>
      <c r="C1323" t="s">
        <v>84</v>
      </c>
      <c r="D1323" t="str">
        <f>VLOOKUP(C1323, '[1]VLOOKUP 함수용 카테고리'!$A$1:$B$59, 2, 0)</f>
        <v>SAUCE_SEASONING</v>
      </c>
      <c r="E1323" t="s">
        <v>444</v>
      </c>
      <c r="F1323" t="s">
        <v>2527</v>
      </c>
    </row>
    <row r="1324" spans="1:6" x14ac:dyDescent="0.3">
      <c r="A1324" t="s">
        <v>2528</v>
      </c>
      <c r="B1324" t="str" cm="1">
        <f t="array" ref="B1324">_xlfn.XLOOKUP(C1324, INDEX([1]!카테고리매핑,,2), INDEX([1]!카테고리매핑,,1), "미등록 카테고리")</f>
        <v>수산물</v>
      </c>
      <c r="C1324" t="s">
        <v>1397</v>
      </c>
      <c r="D1324" t="str">
        <f>VLOOKUP(C1324, '[1]VLOOKUP 함수용 카테고리'!$A$1:$B$59, 2, 0)</f>
        <v>RAW_SEAFOOD</v>
      </c>
      <c r="E1324" t="s">
        <v>1398</v>
      </c>
      <c r="F1324" t="s">
        <v>151</v>
      </c>
    </row>
    <row r="1325" spans="1:6" x14ac:dyDescent="0.3">
      <c r="A1325" t="s">
        <v>2529</v>
      </c>
      <c r="B1325" t="str" cm="1">
        <f t="array" ref="B1325">_xlfn.XLOOKUP(C1325, INDEX([1]!카테고리매핑,,2), INDEX([1]!카테고리매핑,,1), "미등록 카테고리")</f>
        <v>채소/곡물류</v>
      </c>
      <c r="C1325" t="s">
        <v>7</v>
      </c>
      <c r="D1325" t="str">
        <f>VLOOKUP(C1325, '[1]VLOOKUP 함수용 카테고리'!$A$1:$B$59, 2, 0)</f>
        <v>RAW_PRODUCE</v>
      </c>
      <c r="E1325" t="s">
        <v>2530</v>
      </c>
      <c r="F1325" t="s">
        <v>406</v>
      </c>
    </row>
    <row r="1326" spans="1:6" x14ac:dyDescent="0.3">
      <c r="A1326" t="s">
        <v>2531</v>
      </c>
      <c r="B1326" t="str" cm="1">
        <f t="array" ref="B1326">_xlfn.XLOOKUP(C1326, INDEX([1]!카테고리매핑,,2), INDEX([1]!카테고리매핑,,1), "미등록 카테고리")</f>
        <v>간편식</v>
      </c>
      <c r="C1326" t="s">
        <v>256</v>
      </c>
      <c r="D1326" t="str">
        <f>VLOOKUP(C1326, '[1]VLOOKUP 함수용 카테고리'!$A$1:$B$59, 2, 0)</f>
        <v>RTC_MEAL</v>
      </c>
      <c r="E1326" t="s">
        <v>256</v>
      </c>
      <c r="F1326" t="s">
        <v>2532</v>
      </c>
    </row>
    <row r="1327" spans="1:6" x14ac:dyDescent="0.3">
      <c r="A1327" t="s">
        <v>2533</v>
      </c>
      <c r="B1327" t="str" cm="1">
        <f t="array" ref="B1327">_xlfn.XLOOKUP(C1327, INDEX([1]!카테고리매핑,,2), INDEX([1]!카테고리매핑,,1), "미등록 카테고리")</f>
        <v>간식류</v>
      </c>
      <c r="C1327" t="s">
        <v>11</v>
      </c>
      <c r="D1327" t="str">
        <f>VLOOKUP(C1327, '[1]VLOOKUP 함수용 카테고리'!$A$1:$B$59, 2, 0)</f>
        <v>SNACK</v>
      </c>
      <c r="E1327" t="s">
        <v>81</v>
      </c>
      <c r="F1327" t="s">
        <v>2534</v>
      </c>
    </row>
    <row r="1328" spans="1:6" x14ac:dyDescent="0.3">
      <c r="A1328" t="s">
        <v>2535</v>
      </c>
      <c r="B1328" t="str" cm="1">
        <f t="array" ref="B1328">_xlfn.XLOOKUP(C1328, INDEX([1]!카테고리매핑,,2), INDEX([1]!카테고리매핑,,1), "미등록 카테고리")</f>
        <v>간편식</v>
      </c>
      <c r="C1328" t="s">
        <v>19</v>
      </c>
      <c r="D1328" t="str">
        <f>VLOOKUP(C1328, '[1]VLOOKUP 함수용 카테고리'!$A$1:$B$59, 2, 0)</f>
        <v>FROZEN_MEAL</v>
      </c>
      <c r="E1328" t="s">
        <v>2536</v>
      </c>
      <c r="F1328" t="s">
        <v>2537</v>
      </c>
    </row>
    <row r="1329" spans="1:6" x14ac:dyDescent="0.3">
      <c r="A1329" t="s">
        <v>2538</v>
      </c>
      <c r="B1329" t="str" cm="1">
        <f t="array" ref="B1329">_xlfn.XLOOKUP(C1329, INDEX([1]!카테고리매핑,,2), INDEX([1]!카테고리매핑,,1), "미등록 카테고리")</f>
        <v>수산물</v>
      </c>
      <c r="C1329" t="s">
        <v>229</v>
      </c>
      <c r="D1329" t="str">
        <f>VLOOKUP(C1329, '[1]VLOOKUP 함수용 카테고리'!$A$1:$B$59, 2, 0)</f>
        <v>RAW_SEAFOOD</v>
      </c>
      <c r="E1329" t="s">
        <v>230</v>
      </c>
      <c r="F1329" t="s">
        <v>350</v>
      </c>
    </row>
    <row r="1330" spans="1:6" x14ac:dyDescent="0.3">
      <c r="A1330" t="s">
        <v>2539</v>
      </c>
      <c r="B1330" t="str" cm="1">
        <f t="array" ref="B1330">_xlfn.XLOOKUP(C1330, INDEX([1]!카테고리매핑,,2), INDEX([1]!카테고리매핑,,1), "미등록 카테고리")</f>
        <v>간편식</v>
      </c>
      <c r="C1330" t="s">
        <v>131</v>
      </c>
      <c r="D1330" t="str">
        <f>VLOOKUP(C1330, '[1]VLOOKUP 함수용 카테고리'!$A$1:$B$59, 2, 0)</f>
        <v>SIMPLE_PROCESSED</v>
      </c>
      <c r="E1330" t="s">
        <v>2540</v>
      </c>
      <c r="F1330" t="s">
        <v>237</v>
      </c>
    </row>
    <row r="1331" spans="1:6" x14ac:dyDescent="0.3">
      <c r="A1331" t="s">
        <v>2541</v>
      </c>
      <c r="B1331" t="str" cm="1">
        <f t="array" ref="B1331">_xlfn.XLOOKUP(C1331, INDEX([1]!카테고리매핑,,2), INDEX([1]!카테고리매핑,,1), "미등록 카테고리")</f>
        <v>간편식</v>
      </c>
      <c r="C1331" t="s">
        <v>19</v>
      </c>
      <c r="D1331" t="str">
        <f>VLOOKUP(C1331, '[1]VLOOKUP 함수용 카테고리'!$A$1:$B$59, 2, 0)</f>
        <v>FROZEN_MEAL</v>
      </c>
      <c r="E1331" t="s">
        <v>1854</v>
      </c>
      <c r="F1331" t="s">
        <v>632</v>
      </c>
    </row>
    <row r="1332" spans="1:6" x14ac:dyDescent="0.3">
      <c r="A1332" t="s">
        <v>2542</v>
      </c>
      <c r="B1332" t="str" cm="1">
        <f t="array" ref="B1332">_xlfn.XLOOKUP(C1332, INDEX([1]!카테고리매핑,,2), INDEX([1]!카테고리매핑,,1), "미등록 카테고리")</f>
        <v>간편식</v>
      </c>
      <c r="C1332" t="s">
        <v>131</v>
      </c>
      <c r="D1332" t="str">
        <f>VLOOKUP(C1332, '[1]VLOOKUP 함수용 카테고리'!$A$1:$B$59, 2, 0)</f>
        <v>SIMPLE_PROCESSED</v>
      </c>
      <c r="E1332" t="s">
        <v>2380</v>
      </c>
      <c r="F1332" t="s">
        <v>133</v>
      </c>
    </row>
    <row r="1333" spans="1:6" x14ac:dyDescent="0.3">
      <c r="A1333" t="s">
        <v>2543</v>
      </c>
      <c r="B1333" t="str" cm="1">
        <f t="array" ref="B1333">_xlfn.XLOOKUP(C1333, INDEX([1]!카테고리매핑,,2), INDEX([1]!카테고리매핑,,1), "미등록 카테고리")</f>
        <v>조미료</v>
      </c>
      <c r="C1333" t="s">
        <v>117</v>
      </c>
      <c r="D1333" t="str">
        <f>VLOOKUP(C1333, '[1]VLOOKUP 함수용 카테고리'!$A$1:$B$59, 2, 0)</f>
        <v>SAUCE_SEASONING</v>
      </c>
      <c r="E1333" t="s">
        <v>2544</v>
      </c>
      <c r="F1333" t="s">
        <v>1136</v>
      </c>
    </row>
    <row r="1334" spans="1:6" x14ac:dyDescent="0.3">
      <c r="A1334" t="s">
        <v>2545</v>
      </c>
      <c r="B1334" t="str" cm="1">
        <f t="array" ref="B1334">_xlfn.XLOOKUP(C1334, INDEX([1]!카테고리매핑,,2), INDEX([1]!카테고리매핑,,1), "미등록 카테고리")</f>
        <v>육류/계란</v>
      </c>
      <c r="C1334" t="s">
        <v>105</v>
      </c>
      <c r="D1334" t="str">
        <f>VLOOKUP(C1334, '[1]VLOOKUP 함수용 카테고리'!$A$1:$B$59, 2, 0)</f>
        <v>RAW_MEAT</v>
      </c>
      <c r="E1334" t="s">
        <v>469</v>
      </c>
      <c r="F1334" t="s">
        <v>2546</v>
      </c>
    </row>
    <row r="1335" spans="1:6" x14ac:dyDescent="0.3">
      <c r="A1335" t="s">
        <v>2547</v>
      </c>
      <c r="B1335" t="str" cm="1">
        <f t="array" ref="B1335">_xlfn.XLOOKUP(C1335, INDEX([1]!카테고리매핑,,2), INDEX([1]!카테고리매핑,,1), "미등록 카테고리")</f>
        <v>조미료</v>
      </c>
      <c r="C1335" t="s">
        <v>117</v>
      </c>
      <c r="D1335" t="str">
        <f>VLOOKUP(C1335, '[1]VLOOKUP 함수용 카테고리'!$A$1:$B$59, 2, 0)</f>
        <v>SAUCE_SEASONING</v>
      </c>
      <c r="E1335" t="s">
        <v>2025</v>
      </c>
      <c r="F1335" t="s">
        <v>2132</v>
      </c>
    </row>
    <row r="1336" spans="1:6" x14ac:dyDescent="0.3">
      <c r="A1336" t="s">
        <v>2548</v>
      </c>
      <c r="B1336" t="str" cm="1">
        <f t="array" ref="B1336">_xlfn.XLOOKUP(C1336, INDEX([1]!카테고리매핑,,2), INDEX([1]!카테고리매핑,,1), "미등록 카테고리")</f>
        <v>유제품</v>
      </c>
      <c r="C1336" t="s">
        <v>98</v>
      </c>
      <c r="D1336" t="str">
        <f>VLOOKUP(C1336, '[1]VLOOKUP 함수용 카테고리'!$A$1:$B$59, 2, 0)</f>
        <v>DAIRY</v>
      </c>
      <c r="E1336" t="s">
        <v>2549</v>
      </c>
      <c r="F1336" t="s">
        <v>2550</v>
      </c>
    </row>
    <row r="1337" spans="1:6" x14ac:dyDescent="0.3">
      <c r="A1337" t="s">
        <v>2551</v>
      </c>
      <c r="B1337" t="str" cm="1">
        <f t="array" ref="B1337">_xlfn.XLOOKUP(C1337, INDEX([1]!카테고리매핑,,2), INDEX([1]!카테고리매핑,,1), "미등록 카테고리")</f>
        <v>미등록 카테고리</v>
      </c>
      <c r="C1337" t="s">
        <v>334</v>
      </c>
      <c r="D1337" t="str">
        <f>VLOOKUP(C1337, '[1]VLOOKUP 함수용 카테고리'!$A$1:$B$59, 2, 0)</f>
        <v>UNKNOWN</v>
      </c>
      <c r="E1337" t="s">
        <v>334</v>
      </c>
      <c r="F1337" t="s">
        <v>2552</v>
      </c>
    </row>
    <row r="1338" spans="1:6" x14ac:dyDescent="0.3">
      <c r="A1338" t="s">
        <v>2553</v>
      </c>
      <c r="B1338" t="str" cm="1">
        <f t="array" ref="B1338">_xlfn.XLOOKUP(C1338, INDEX([1]!카테고리매핑,,2), INDEX([1]!카테고리매핑,,1), "미등록 카테고리")</f>
        <v>유제품</v>
      </c>
      <c r="C1338" t="s">
        <v>211</v>
      </c>
      <c r="D1338" t="str">
        <f>VLOOKUP(C1338, '[1]VLOOKUP 함수용 카테고리'!$A$1:$B$59, 2, 0)</f>
        <v>DAIRY</v>
      </c>
      <c r="E1338" t="s">
        <v>2223</v>
      </c>
      <c r="F1338" t="s">
        <v>2554</v>
      </c>
    </row>
    <row r="1339" spans="1:6" x14ac:dyDescent="0.3">
      <c r="A1339" t="s">
        <v>2555</v>
      </c>
      <c r="B1339" t="str" cm="1">
        <f t="array" ref="B1339">_xlfn.XLOOKUP(C1339, INDEX([1]!카테고리매핑,,2), INDEX([1]!카테고리매핑,,1), "미등록 카테고리")</f>
        <v>유제품</v>
      </c>
      <c r="C1339" t="s">
        <v>98</v>
      </c>
      <c r="D1339" t="str">
        <f>VLOOKUP(C1339, '[1]VLOOKUP 함수용 카테고리'!$A$1:$B$59, 2, 0)</f>
        <v>DAIRY</v>
      </c>
      <c r="E1339" t="s">
        <v>1143</v>
      </c>
      <c r="F1339" t="s">
        <v>2556</v>
      </c>
    </row>
    <row r="1340" spans="1:6" x14ac:dyDescent="0.3">
      <c r="A1340" t="s">
        <v>2557</v>
      </c>
      <c r="B1340" t="str" cm="1">
        <f t="array" ref="B1340">_xlfn.XLOOKUP(C1340, INDEX([1]!카테고리매핑,,2), INDEX([1]!카테고리매핑,,1), "미등록 카테고리")</f>
        <v>육류/계란</v>
      </c>
      <c r="C1340" t="s">
        <v>298</v>
      </c>
      <c r="D1340" t="str">
        <f>VLOOKUP(C1340, '[1]VLOOKUP 함수용 카테고리'!$A$1:$B$59, 2, 0)</f>
        <v>RAW_MEAT</v>
      </c>
      <c r="E1340" t="s">
        <v>298</v>
      </c>
    </row>
    <row r="1341" spans="1:6" x14ac:dyDescent="0.3">
      <c r="A1341" t="s">
        <v>2558</v>
      </c>
      <c r="B1341" t="str" cm="1">
        <f t="array" ref="B1341">_xlfn.XLOOKUP(C1341, INDEX([1]!카테고리매핑,,2), INDEX([1]!카테고리매핑,,1), "미등록 카테고리")</f>
        <v>유제품</v>
      </c>
      <c r="C1341" t="s">
        <v>98</v>
      </c>
      <c r="D1341" t="str">
        <f>VLOOKUP(C1341, '[1]VLOOKUP 함수용 카테고리'!$A$1:$B$59, 2, 0)</f>
        <v>DAIRY</v>
      </c>
      <c r="E1341" t="s">
        <v>2559</v>
      </c>
      <c r="F1341" t="s">
        <v>2560</v>
      </c>
    </row>
    <row r="1342" spans="1:6" x14ac:dyDescent="0.3">
      <c r="A1342" t="s">
        <v>2561</v>
      </c>
      <c r="B1342" t="str" cm="1">
        <f t="array" ref="B1342">_xlfn.XLOOKUP(C1342, INDEX([1]!카테고리매핑,,2), INDEX([1]!카테고리매핑,,1), "미등록 카테고리")</f>
        <v>미등록 카테고리</v>
      </c>
      <c r="C1342" t="s">
        <v>334</v>
      </c>
      <c r="D1342" t="str">
        <f>VLOOKUP(C1342, '[1]VLOOKUP 함수용 카테고리'!$A$1:$B$59, 2, 0)</f>
        <v>UNKNOWN</v>
      </c>
      <c r="E1342" t="s">
        <v>334</v>
      </c>
      <c r="F1342" t="s">
        <v>457</v>
      </c>
    </row>
    <row r="1343" spans="1:6" x14ac:dyDescent="0.3">
      <c r="A1343" t="s">
        <v>2562</v>
      </c>
      <c r="B1343" t="str" cm="1">
        <f t="array" ref="B1343">_xlfn.XLOOKUP(C1343, INDEX([1]!카테고리매핑,,2), INDEX([1]!카테고리매핑,,1), "미등록 카테고리")</f>
        <v>수산물</v>
      </c>
      <c r="C1343" t="s">
        <v>183</v>
      </c>
      <c r="D1343" t="str">
        <f>VLOOKUP(C1343, '[1]VLOOKUP 함수용 카테고리'!$A$1:$B$59, 2, 0)</f>
        <v>DRIED_SEAFOOD</v>
      </c>
      <c r="E1343" t="s">
        <v>2563</v>
      </c>
      <c r="F1343" t="s">
        <v>977</v>
      </c>
    </row>
    <row r="1344" spans="1:6" x14ac:dyDescent="0.3">
      <c r="A1344" t="s">
        <v>2564</v>
      </c>
      <c r="B1344" t="str" cm="1">
        <f t="array" ref="B1344">_xlfn.XLOOKUP(C1344, INDEX([1]!카테고리매핑,,2), INDEX([1]!카테고리매핑,,1), "미등록 카테고리")</f>
        <v>육류/계란</v>
      </c>
      <c r="C1344" t="s">
        <v>105</v>
      </c>
      <c r="D1344" t="str">
        <f>VLOOKUP(C1344, '[1]VLOOKUP 함수용 카테고리'!$A$1:$B$59, 2, 0)</f>
        <v>RAW_MEAT</v>
      </c>
      <c r="E1344" t="s">
        <v>291</v>
      </c>
      <c r="F1344" t="s">
        <v>151</v>
      </c>
    </row>
    <row r="1345" spans="1:6" x14ac:dyDescent="0.3">
      <c r="A1345" t="s">
        <v>2565</v>
      </c>
      <c r="B1345" t="str" cm="1">
        <f t="array" ref="B1345">_xlfn.XLOOKUP(C1345, INDEX([1]!카테고리매핑,,2), INDEX([1]!카테고리매핑,,1), "미등록 카테고리")</f>
        <v>음료</v>
      </c>
      <c r="C1345" t="s">
        <v>584</v>
      </c>
      <c r="D1345" t="str">
        <f>VLOOKUP(C1345, '[1]VLOOKUP 함수용 카테고리'!$A$1:$B$59, 2, 0)</f>
        <v>BEVERAGE</v>
      </c>
      <c r="E1345" t="s">
        <v>1868</v>
      </c>
      <c r="F1345" t="s">
        <v>586</v>
      </c>
    </row>
    <row r="1346" spans="1:6" x14ac:dyDescent="0.3">
      <c r="A1346" t="s">
        <v>2566</v>
      </c>
      <c r="B1346" t="str" cm="1">
        <f t="array" ref="B1346">_xlfn.XLOOKUP(C1346, INDEX([1]!카테고리매핑,,2), INDEX([1]!카테고리매핑,,1), "미등록 카테고리")</f>
        <v>간편식</v>
      </c>
      <c r="C1346" t="s">
        <v>46</v>
      </c>
      <c r="D1346" t="str">
        <f>VLOOKUP(C1346, '[1]VLOOKUP 함수용 카테고리'!$A$1:$B$59, 2, 0)</f>
        <v>RTC_MEAL</v>
      </c>
      <c r="E1346" t="s">
        <v>46</v>
      </c>
      <c r="F1346" t="s">
        <v>221</v>
      </c>
    </row>
    <row r="1347" spans="1:6" x14ac:dyDescent="0.3">
      <c r="A1347" t="s">
        <v>2567</v>
      </c>
      <c r="B1347" t="str" cm="1">
        <f t="array" ref="B1347">_xlfn.XLOOKUP(C1347, INDEX([1]!카테고리매핑,,2), INDEX([1]!카테고리매핑,,1), "미등록 카테고리")</f>
        <v>간식류</v>
      </c>
      <c r="C1347" t="s">
        <v>11</v>
      </c>
      <c r="D1347" t="str">
        <f>VLOOKUP(C1347, '[1]VLOOKUP 함수용 카테고리'!$A$1:$B$59, 2, 0)</f>
        <v>SNACK</v>
      </c>
      <c r="E1347" t="s">
        <v>1042</v>
      </c>
      <c r="F1347" t="s">
        <v>2568</v>
      </c>
    </row>
    <row r="1348" spans="1:6" x14ac:dyDescent="0.3">
      <c r="A1348" t="s">
        <v>2569</v>
      </c>
      <c r="B1348" t="str" cm="1">
        <f t="array" ref="B1348">_xlfn.XLOOKUP(C1348, INDEX([1]!카테고리매핑,,2), INDEX([1]!카테고리매핑,,1), "미등록 카테고리")</f>
        <v>간식류</v>
      </c>
      <c r="C1348" t="s">
        <v>63</v>
      </c>
      <c r="D1348" t="str">
        <f>VLOOKUP(C1348, '[1]VLOOKUP 함수용 카테고리'!$A$1:$B$59, 2, 0)</f>
        <v>BAKERY</v>
      </c>
      <c r="E1348" t="s">
        <v>2570</v>
      </c>
      <c r="F1348" t="s">
        <v>2571</v>
      </c>
    </row>
    <row r="1349" spans="1:6" x14ac:dyDescent="0.3">
      <c r="A1349" t="s">
        <v>2572</v>
      </c>
      <c r="B1349" t="str" cm="1">
        <f t="array" ref="B1349">_xlfn.XLOOKUP(C1349, INDEX([1]!카테고리매핑,,2), INDEX([1]!카테고리매핑,,1), "미등록 카테고리")</f>
        <v>간식류</v>
      </c>
      <c r="C1349" t="s">
        <v>11</v>
      </c>
      <c r="D1349" t="str">
        <f>VLOOKUP(C1349, '[1]VLOOKUP 함수용 카테고리'!$A$1:$B$59, 2, 0)</f>
        <v>SNACK</v>
      </c>
      <c r="E1349" t="s">
        <v>2573</v>
      </c>
      <c r="F1349" t="s">
        <v>7799</v>
      </c>
    </row>
    <row r="1350" spans="1:6" x14ac:dyDescent="0.3">
      <c r="A1350" t="s">
        <v>2574</v>
      </c>
      <c r="B1350" t="str" cm="1">
        <f t="array" ref="B1350">_xlfn.XLOOKUP(C1350, INDEX([1]!카테고리매핑,,2), INDEX([1]!카테고리매핑,,1), "미등록 카테고리")</f>
        <v>유제품</v>
      </c>
      <c r="C1350" t="s">
        <v>123</v>
      </c>
      <c r="D1350" t="str">
        <f>VLOOKUP(C1350, '[1]VLOOKUP 함수용 카테고리'!$A$1:$B$59, 2, 0)</f>
        <v>DAIRY</v>
      </c>
      <c r="E1350" t="s">
        <v>239</v>
      </c>
      <c r="F1350" t="s">
        <v>953</v>
      </c>
    </row>
    <row r="1351" spans="1:6" x14ac:dyDescent="0.3">
      <c r="A1351" t="s">
        <v>2575</v>
      </c>
      <c r="B1351" t="str" cm="1">
        <f t="array" ref="B1351">_xlfn.XLOOKUP(C1351, INDEX([1]!카테고리매핑,,2), INDEX([1]!카테고리매핑,,1), "미등록 카테고리")</f>
        <v>조미료</v>
      </c>
      <c r="C1351" t="s">
        <v>127</v>
      </c>
      <c r="D1351" t="str">
        <f>VLOOKUP(C1351, '[1]VLOOKUP 함수용 카테고리'!$A$1:$B$59, 2, 0)</f>
        <v>SAUCE_SEASONING</v>
      </c>
      <c r="E1351" t="s">
        <v>2576</v>
      </c>
      <c r="F1351" t="s">
        <v>136</v>
      </c>
    </row>
    <row r="1352" spans="1:6" x14ac:dyDescent="0.3">
      <c r="A1352" t="s">
        <v>2577</v>
      </c>
      <c r="B1352" t="str" cm="1">
        <f t="array" ref="B1352">_xlfn.XLOOKUP(C1352, INDEX([1]!카테고리매핑,,2), INDEX([1]!카테고리매핑,,1), "미등록 카테고리")</f>
        <v>음료</v>
      </c>
      <c r="C1352" t="s">
        <v>23</v>
      </c>
      <c r="D1352" t="str">
        <f>VLOOKUP(C1352, '[1]VLOOKUP 함수용 카테고리'!$A$1:$B$59, 2, 0)</f>
        <v>BEVERAGE</v>
      </c>
      <c r="E1352" t="s">
        <v>355</v>
      </c>
      <c r="F1352" t="s">
        <v>7800</v>
      </c>
    </row>
    <row r="1353" spans="1:6" x14ac:dyDescent="0.3">
      <c r="A1353" t="s">
        <v>2578</v>
      </c>
      <c r="B1353" t="str" cm="1">
        <f t="array" ref="B1353">_xlfn.XLOOKUP(C1353, INDEX([1]!카테고리매핑,,2), INDEX([1]!카테고리매핑,,1), "미등록 카테고리")</f>
        <v>채소/곡물류</v>
      </c>
      <c r="C1353" t="s">
        <v>301</v>
      </c>
      <c r="D1353" t="str">
        <f>VLOOKUP(C1353, '[1]VLOOKUP 함수용 카테고리'!$A$1:$B$59, 2, 0)</f>
        <v>GRAIN</v>
      </c>
      <c r="E1353" t="s">
        <v>611</v>
      </c>
      <c r="F1353" t="s">
        <v>303</v>
      </c>
    </row>
    <row r="1354" spans="1:6" x14ac:dyDescent="0.3">
      <c r="A1354" t="s">
        <v>2579</v>
      </c>
      <c r="B1354" t="str" cm="1">
        <f t="array" ref="B1354">_xlfn.XLOOKUP(C1354, INDEX([1]!카테고리매핑,,2), INDEX([1]!카테고리매핑,,1), "미등록 카테고리")</f>
        <v>음료</v>
      </c>
      <c r="C1354" t="s">
        <v>23</v>
      </c>
      <c r="D1354" t="str">
        <f>VLOOKUP(C1354, '[1]VLOOKUP 함수용 카테고리'!$A$1:$B$59, 2, 0)</f>
        <v>BEVERAGE</v>
      </c>
      <c r="E1354" t="s">
        <v>502</v>
      </c>
      <c r="F1354" t="s">
        <v>2580</v>
      </c>
    </row>
    <row r="1355" spans="1:6" x14ac:dyDescent="0.3">
      <c r="A1355" t="s">
        <v>2581</v>
      </c>
      <c r="B1355" t="str" cm="1">
        <f t="array" ref="B1355">_xlfn.XLOOKUP(C1355, INDEX([1]!카테고리매핑,,2), INDEX([1]!카테고리매핑,,1), "미등록 카테고리")</f>
        <v>상온식품</v>
      </c>
      <c r="C1355" t="s">
        <v>276</v>
      </c>
      <c r="D1355" t="str">
        <f>VLOOKUP(C1355, '[1]VLOOKUP 함수용 카테고리'!$A$1:$B$59, 2, 0)</f>
        <v>DRIED_SEAFOOD</v>
      </c>
      <c r="E1355" t="s">
        <v>2582</v>
      </c>
      <c r="F1355" t="s">
        <v>2583</v>
      </c>
    </row>
    <row r="1356" spans="1:6" x14ac:dyDescent="0.3">
      <c r="A1356" t="s">
        <v>2584</v>
      </c>
      <c r="B1356" t="str" cm="1">
        <f t="array" ref="B1356">_xlfn.XLOOKUP(C1356, INDEX([1]!카테고리매핑,,2), INDEX([1]!카테고리매핑,,1), "미등록 카테고리")</f>
        <v>조미료</v>
      </c>
      <c r="C1356" t="s">
        <v>127</v>
      </c>
      <c r="D1356" t="str">
        <f>VLOOKUP(C1356, '[1]VLOOKUP 함수용 카테고리'!$A$1:$B$59, 2, 0)</f>
        <v>SAUCE_SEASONING</v>
      </c>
      <c r="E1356" t="s">
        <v>1941</v>
      </c>
      <c r="F1356" t="s">
        <v>383</v>
      </c>
    </row>
    <row r="1357" spans="1:6" x14ac:dyDescent="0.3">
      <c r="A1357" t="s">
        <v>2585</v>
      </c>
      <c r="B1357" t="str" cm="1">
        <f t="array" ref="B1357">_xlfn.XLOOKUP(C1357, INDEX([1]!카테고리매핑,,2), INDEX([1]!카테고리매핑,,1), "미등록 카테고리")</f>
        <v>간편식</v>
      </c>
      <c r="C1357" t="s">
        <v>131</v>
      </c>
      <c r="D1357" t="str">
        <f>VLOOKUP(C1357, '[1]VLOOKUP 함수용 카테고리'!$A$1:$B$59, 2, 0)</f>
        <v>SIMPLE_PROCESSED</v>
      </c>
      <c r="E1357" t="s">
        <v>2586</v>
      </c>
      <c r="F1357" t="s">
        <v>237</v>
      </c>
    </row>
    <row r="1358" spans="1:6" x14ac:dyDescent="0.3">
      <c r="A1358" t="s">
        <v>2587</v>
      </c>
      <c r="B1358" t="str" cm="1">
        <f t="array" ref="B1358">_xlfn.XLOOKUP(C1358, INDEX([1]!카테고리매핑,,2), INDEX([1]!카테고리매핑,,1), "미등록 카테고리")</f>
        <v>채소/곡물류</v>
      </c>
      <c r="C1358" t="s">
        <v>207</v>
      </c>
      <c r="D1358" t="str">
        <f>VLOOKUP(C1358, '[1]VLOOKUP 함수용 카테고리'!$A$1:$B$59, 2, 0)</f>
        <v>GRAIN</v>
      </c>
      <c r="E1358" t="s">
        <v>2588</v>
      </c>
      <c r="F1358" t="s">
        <v>2589</v>
      </c>
    </row>
    <row r="1359" spans="1:6" x14ac:dyDescent="0.3">
      <c r="A1359" t="s">
        <v>2590</v>
      </c>
      <c r="B1359" t="str" cm="1">
        <f t="array" ref="B1359">_xlfn.XLOOKUP(C1359, INDEX([1]!카테고리매핑,,2), INDEX([1]!카테고리매핑,,1), "미등록 카테고리")</f>
        <v>음료</v>
      </c>
      <c r="C1359" t="s">
        <v>23</v>
      </c>
      <c r="D1359" t="str">
        <f>VLOOKUP(C1359, '[1]VLOOKUP 함수용 카테고리'!$A$1:$B$59, 2, 0)</f>
        <v>BEVERAGE</v>
      </c>
      <c r="E1359" t="s">
        <v>581</v>
      </c>
      <c r="F1359" t="s">
        <v>306</v>
      </c>
    </row>
    <row r="1360" spans="1:6" x14ac:dyDescent="0.3">
      <c r="A1360" t="s">
        <v>2591</v>
      </c>
      <c r="B1360" t="str" cm="1">
        <f t="array" ref="B1360">_xlfn.XLOOKUP(C1360, INDEX([1]!카테고리매핑,,2), INDEX([1]!카테고리매핑,,1), "미등록 카테고리")</f>
        <v>간식류</v>
      </c>
      <c r="C1360" t="s">
        <v>15</v>
      </c>
      <c r="D1360" t="str">
        <f>VLOOKUP(C1360, '[1]VLOOKUP 함수용 카테고리'!$A$1:$B$59, 2, 0)</f>
        <v>BAKERY</v>
      </c>
      <c r="E1360" t="s">
        <v>2592</v>
      </c>
      <c r="F1360" t="s">
        <v>2593</v>
      </c>
    </row>
    <row r="1361" spans="1:6" x14ac:dyDescent="0.3">
      <c r="A1361" t="s">
        <v>2594</v>
      </c>
      <c r="B1361" t="str" cm="1">
        <f t="array" ref="B1361">_xlfn.XLOOKUP(C1361, INDEX([1]!카테고리매핑,,2), INDEX([1]!카테고리매핑,,1), "미등록 카테고리")</f>
        <v>조미료</v>
      </c>
      <c r="C1361" t="s">
        <v>83</v>
      </c>
      <c r="D1361" t="str">
        <f>VLOOKUP(C1361, '[1]VLOOKUP 함수용 카테고리'!$A$1:$B$59, 2, 0)</f>
        <v>SAUCE_SEASONING</v>
      </c>
      <c r="E1361" t="s">
        <v>2595</v>
      </c>
      <c r="F1361" t="s">
        <v>2596</v>
      </c>
    </row>
    <row r="1362" spans="1:6" x14ac:dyDescent="0.3">
      <c r="A1362" t="s">
        <v>2597</v>
      </c>
      <c r="B1362" t="str" cm="1">
        <f t="array" ref="B1362">_xlfn.XLOOKUP(C1362, INDEX([1]!카테고리매핑,,2), INDEX([1]!카테고리매핑,,1), "미등록 카테고리")</f>
        <v>조미료</v>
      </c>
      <c r="C1362" t="s">
        <v>127</v>
      </c>
      <c r="D1362" t="str">
        <f>VLOOKUP(C1362, '[1]VLOOKUP 함수용 카테고리'!$A$1:$B$59, 2, 0)</f>
        <v>SAUCE_SEASONING</v>
      </c>
      <c r="E1362" t="s">
        <v>2598</v>
      </c>
      <c r="F1362" t="s">
        <v>1404</v>
      </c>
    </row>
    <row r="1363" spans="1:6" x14ac:dyDescent="0.3">
      <c r="A1363" t="s">
        <v>2599</v>
      </c>
      <c r="B1363" t="str" cm="1">
        <f t="array" ref="B1363">_xlfn.XLOOKUP(C1363, INDEX([1]!카테고리매핑,,2), INDEX([1]!카테고리매핑,,1), "미등록 카테고리")</f>
        <v>간식류</v>
      </c>
      <c r="C1363" t="s">
        <v>15</v>
      </c>
      <c r="D1363" t="str">
        <f>VLOOKUP(C1363, '[1]VLOOKUP 함수용 카테고리'!$A$1:$B$59, 2, 0)</f>
        <v>BAKERY</v>
      </c>
      <c r="E1363" t="s">
        <v>2600</v>
      </c>
      <c r="F1363" t="s">
        <v>2601</v>
      </c>
    </row>
    <row r="1364" spans="1:6" x14ac:dyDescent="0.3">
      <c r="A1364" t="s">
        <v>2602</v>
      </c>
      <c r="B1364" t="str" cm="1">
        <f t="array" ref="B1364">_xlfn.XLOOKUP(C1364, INDEX([1]!카테고리매핑,,2), INDEX([1]!카테고리매핑,,1), "미등록 카테고리")</f>
        <v>유제품</v>
      </c>
      <c r="C1364" t="s">
        <v>211</v>
      </c>
      <c r="D1364" t="str">
        <f>VLOOKUP(C1364, '[1]VLOOKUP 함수용 카테고리'!$A$1:$B$59, 2, 0)</f>
        <v>DAIRY</v>
      </c>
      <c r="E1364" t="s">
        <v>211</v>
      </c>
      <c r="F1364" t="s">
        <v>2603</v>
      </c>
    </row>
    <row r="1365" spans="1:6" x14ac:dyDescent="0.3">
      <c r="A1365" t="s">
        <v>2604</v>
      </c>
      <c r="B1365" t="str" cm="1">
        <f t="array" ref="B1365">_xlfn.XLOOKUP(C1365, INDEX([1]!카테고리매핑,,2), INDEX([1]!카테고리매핑,,1), "미등록 카테고리")</f>
        <v>채소/곡물류</v>
      </c>
      <c r="C1365" t="s">
        <v>27</v>
      </c>
      <c r="D1365" t="str">
        <f>VLOOKUP(C1365, '[1]VLOOKUP 함수용 카테고리'!$A$1:$B$59, 2, 0)</f>
        <v>SIMPLE_PROCESSED</v>
      </c>
      <c r="E1365" t="s">
        <v>28</v>
      </c>
      <c r="F1365" t="s">
        <v>2274</v>
      </c>
    </row>
    <row r="1366" spans="1:6" x14ac:dyDescent="0.3">
      <c r="A1366" t="s">
        <v>2605</v>
      </c>
      <c r="B1366" t="str" cm="1">
        <f t="array" ref="B1366">_xlfn.XLOOKUP(C1366, INDEX([1]!카테고리매핑,,2), INDEX([1]!카테고리매핑,,1), "미등록 카테고리")</f>
        <v>미등록 카테고리</v>
      </c>
      <c r="C1366" t="s">
        <v>334</v>
      </c>
      <c r="D1366" t="str">
        <f>VLOOKUP(C1366, '[1]VLOOKUP 함수용 카테고리'!$A$1:$B$59, 2, 0)</f>
        <v>UNKNOWN</v>
      </c>
      <c r="E1366" t="s">
        <v>334</v>
      </c>
      <c r="F1366" t="s">
        <v>2269</v>
      </c>
    </row>
    <row r="1367" spans="1:6" x14ac:dyDescent="0.3">
      <c r="A1367" t="s">
        <v>2606</v>
      </c>
      <c r="B1367" t="str" cm="1">
        <f t="array" ref="B1367">_xlfn.XLOOKUP(C1367, INDEX([1]!카테고리매핑,,2), INDEX([1]!카테고리매핑,,1), "미등록 카테고리")</f>
        <v>수산물</v>
      </c>
      <c r="C1367" t="s">
        <v>1397</v>
      </c>
      <c r="D1367" t="str">
        <f>VLOOKUP(C1367, '[1]VLOOKUP 함수용 카테고리'!$A$1:$B$59, 2, 0)</f>
        <v>RAW_SEAFOOD</v>
      </c>
      <c r="E1367" t="s">
        <v>2607</v>
      </c>
    </row>
    <row r="1368" spans="1:6" x14ac:dyDescent="0.3">
      <c r="A1368" t="s">
        <v>2608</v>
      </c>
      <c r="B1368" t="str" cm="1">
        <f t="array" ref="B1368">_xlfn.XLOOKUP(C1368, INDEX([1]!카테고리매핑,,2), INDEX([1]!카테고리매핑,,1), "미등록 카테고리")</f>
        <v>간식류</v>
      </c>
      <c r="C1368" t="s">
        <v>11</v>
      </c>
      <c r="D1368" t="str">
        <f>VLOOKUP(C1368, '[1]VLOOKUP 함수용 카테고리'!$A$1:$B$59, 2, 0)</f>
        <v>SNACK</v>
      </c>
      <c r="E1368" t="s">
        <v>2609</v>
      </c>
      <c r="F1368" t="s">
        <v>54</v>
      </c>
    </row>
    <row r="1369" spans="1:6" x14ac:dyDescent="0.3">
      <c r="A1369" t="s">
        <v>2610</v>
      </c>
      <c r="B1369" t="str" cm="1">
        <f t="array" ref="B1369">_xlfn.XLOOKUP(C1369, INDEX([1]!카테고리매핑,,2), INDEX([1]!카테고리매핑,,1), "미등록 카테고리")</f>
        <v>간식류</v>
      </c>
      <c r="C1369" t="s">
        <v>11</v>
      </c>
      <c r="D1369" t="str">
        <f>VLOOKUP(C1369, '[1]VLOOKUP 함수용 카테고리'!$A$1:$B$59, 2, 0)</f>
        <v>SNACK</v>
      </c>
      <c r="E1369" t="s">
        <v>1775</v>
      </c>
      <c r="F1369" t="s">
        <v>666</v>
      </c>
    </row>
    <row r="1370" spans="1:6" x14ac:dyDescent="0.3">
      <c r="A1370" t="s">
        <v>2611</v>
      </c>
      <c r="B1370" t="str" cm="1">
        <f t="array" ref="B1370">_xlfn.XLOOKUP(C1370, INDEX([1]!카테고리매핑,,2), INDEX([1]!카테고리매핑,,1), "미등록 카테고리")</f>
        <v>간편식</v>
      </c>
      <c r="C1370" t="s">
        <v>19</v>
      </c>
      <c r="D1370" t="str">
        <f>VLOOKUP(C1370, '[1]VLOOKUP 함수용 카테고리'!$A$1:$B$59, 2, 0)</f>
        <v>FROZEN_MEAL</v>
      </c>
      <c r="E1370" t="s">
        <v>245</v>
      </c>
      <c r="F1370" t="s">
        <v>2612</v>
      </c>
    </row>
    <row r="1371" spans="1:6" x14ac:dyDescent="0.3">
      <c r="A1371" t="s">
        <v>2613</v>
      </c>
      <c r="B1371" t="str" cm="1">
        <f t="array" ref="B1371">_xlfn.XLOOKUP(C1371, INDEX([1]!카테고리매핑,,2), INDEX([1]!카테고리매핑,,1), "미등록 카테고리")</f>
        <v>간식류</v>
      </c>
      <c r="C1371" t="s">
        <v>11</v>
      </c>
      <c r="D1371" t="str">
        <f>VLOOKUP(C1371, '[1]VLOOKUP 함수용 카테고리'!$A$1:$B$59, 2, 0)</f>
        <v>SNACK</v>
      </c>
      <c r="E1371" t="s">
        <v>2614</v>
      </c>
      <c r="F1371" t="s">
        <v>798</v>
      </c>
    </row>
    <row r="1372" spans="1:6" x14ac:dyDescent="0.3">
      <c r="A1372" t="s">
        <v>2615</v>
      </c>
      <c r="B1372" t="str" cm="1">
        <f t="array" ref="B1372">_xlfn.XLOOKUP(C1372, INDEX([1]!카테고리매핑,,2), INDEX([1]!카테고리매핑,,1), "미등록 카테고리")</f>
        <v>채소/곡물류</v>
      </c>
      <c r="C1372" t="s">
        <v>301</v>
      </c>
      <c r="D1372" t="str">
        <f>VLOOKUP(C1372, '[1]VLOOKUP 함수용 카테고리'!$A$1:$B$59, 2, 0)</f>
        <v>GRAIN</v>
      </c>
      <c r="E1372" t="s">
        <v>611</v>
      </c>
      <c r="F1372" t="s">
        <v>2616</v>
      </c>
    </row>
    <row r="1373" spans="1:6" x14ac:dyDescent="0.3">
      <c r="A1373" t="s">
        <v>2617</v>
      </c>
      <c r="B1373" t="str" cm="1">
        <f t="array" ref="B1373">_xlfn.XLOOKUP(C1373, INDEX([1]!카테고리매핑,,2), INDEX([1]!카테고리매핑,,1), "미등록 카테고리")</f>
        <v>간편식</v>
      </c>
      <c r="C1373" t="s">
        <v>131</v>
      </c>
      <c r="D1373" t="str">
        <f>VLOOKUP(C1373, '[1]VLOOKUP 함수용 카테고리'!$A$1:$B$59, 2, 0)</f>
        <v>SIMPLE_PROCESSED</v>
      </c>
      <c r="E1373" t="s">
        <v>2618</v>
      </c>
      <c r="F1373" t="s">
        <v>257</v>
      </c>
    </row>
    <row r="1374" spans="1:6" x14ac:dyDescent="0.3">
      <c r="A1374" t="s">
        <v>2619</v>
      </c>
      <c r="B1374" t="str" cm="1">
        <f t="array" ref="B1374">_xlfn.XLOOKUP(C1374, INDEX([1]!카테고리매핑,,2), INDEX([1]!카테고리매핑,,1), "미등록 카테고리")</f>
        <v>음료</v>
      </c>
      <c r="C1374" t="s">
        <v>23</v>
      </c>
      <c r="D1374" t="str">
        <f>VLOOKUP(C1374, '[1]VLOOKUP 함수용 카테고리'!$A$1:$B$59, 2, 0)</f>
        <v>BEVERAGE</v>
      </c>
      <c r="E1374" t="s">
        <v>355</v>
      </c>
      <c r="F1374" t="s">
        <v>356</v>
      </c>
    </row>
    <row r="1375" spans="1:6" x14ac:dyDescent="0.3">
      <c r="A1375" t="s">
        <v>2620</v>
      </c>
      <c r="B1375" t="str" cm="1">
        <f t="array" ref="B1375">_xlfn.XLOOKUP(C1375, INDEX([1]!카테고리매핑,,2), INDEX([1]!카테고리매핑,,1), "미등록 카테고리")</f>
        <v>육류/계란</v>
      </c>
      <c r="C1375" t="s">
        <v>105</v>
      </c>
      <c r="D1375" t="str">
        <f>VLOOKUP(C1375, '[1]VLOOKUP 함수용 카테고리'!$A$1:$B$59, 2, 0)</f>
        <v>RAW_MEAT</v>
      </c>
      <c r="E1375" t="s">
        <v>2145</v>
      </c>
      <c r="F1375" t="s">
        <v>151</v>
      </c>
    </row>
    <row r="1376" spans="1:6" x14ac:dyDescent="0.3">
      <c r="A1376" t="s">
        <v>2621</v>
      </c>
      <c r="B1376" t="str" cm="1">
        <f t="array" ref="B1376">_xlfn.XLOOKUP(C1376, INDEX([1]!카테고리매핑,,2), INDEX([1]!카테고리매핑,,1), "미등록 카테고리")</f>
        <v>간편식</v>
      </c>
      <c r="C1376" t="s">
        <v>256</v>
      </c>
      <c r="D1376" t="str">
        <f>VLOOKUP(C1376, '[1]VLOOKUP 함수용 카테고리'!$A$1:$B$59, 2, 0)</f>
        <v>RTC_MEAL</v>
      </c>
      <c r="E1376" t="s">
        <v>256</v>
      </c>
      <c r="F1376" t="s">
        <v>615</v>
      </c>
    </row>
    <row r="1377" spans="1:6" x14ac:dyDescent="0.3">
      <c r="A1377" t="s">
        <v>2622</v>
      </c>
      <c r="B1377" t="str" cm="1">
        <f t="array" ref="B1377">_xlfn.XLOOKUP(C1377, INDEX([1]!카테고리매핑,,2), INDEX([1]!카테고리매핑,,1), "미등록 카테고리")</f>
        <v>조미료</v>
      </c>
      <c r="C1377" t="s">
        <v>84</v>
      </c>
      <c r="D1377" t="str">
        <f>VLOOKUP(C1377, '[1]VLOOKUP 함수용 카테고리'!$A$1:$B$59, 2, 0)</f>
        <v>SAUCE_SEASONING</v>
      </c>
      <c r="E1377" t="s">
        <v>2623</v>
      </c>
      <c r="F1377" t="s">
        <v>2624</v>
      </c>
    </row>
    <row r="1378" spans="1:6" x14ac:dyDescent="0.3">
      <c r="A1378" t="s">
        <v>2625</v>
      </c>
      <c r="B1378" t="str" cm="1">
        <f t="array" ref="B1378">_xlfn.XLOOKUP(C1378, INDEX([1]!카테고리매핑,,2), INDEX([1]!카테고리매핑,,1), "미등록 카테고리")</f>
        <v>간편식</v>
      </c>
      <c r="C1378" t="s">
        <v>256</v>
      </c>
      <c r="D1378" t="str">
        <f>VLOOKUP(C1378, '[1]VLOOKUP 함수용 카테고리'!$A$1:$B$59, 2, 0)</f>
        <v>RTC_MEAL</v>
      </c>
      <c r="E1378" t="s">
        <v>256</v>
      </c>
      <c r="F1378" t="s">
        <v>541</v>
      </c>
    </row>
    <row r="1379" spans="1:6" x14ac:dyDescent="0.3">
      <c r="A1379" t="s">
        <v>2626</v>
      </c>
      <c r="B1379" t="str" cm="1">
        <f t="array" ref="B1379">_xlfn.XLOOKUP(C1379, INDEX([1]!카테고리매핑,,2), INDEX([1]!카테고리매핑,,1), "미등록 카테고리")</f>
        <v>육류/계란</v>
      </c>
      <c r="C1379" t="s">
        <v>34</v>
      </c>
      <c r="D1379" t="str">
        <f>VLOOKUP(C1379, '[1]VLOOKUP 함수용 카테고리'!$A$1:$B$59, 2, 0)</f>
        <v>RAW_MEAT</v>
      </c>
      <c r="E1379" t="s">
        <v>35</v>
      </c>
      <c r="F1379" t="s">
        <v>1273</v>
      </c>
    </row>
    <row r="1380" spans="1:6" x14ac:dyDescent="0.3">
      <c r="A1380" t="s">
        <v>2627</v>
      </c>
      <c r="B1380" t="str" cm="1">
        <f t="array" ref="B1380">_xlfn.XLOOKUP(C1380, INDEX([1]!카테고리매핑,,2), INDEX([1]!카테고리매핑,,1), "미등록 카테고리")</f>
        <v>채소/곡물류</v>
      </c>
      <c r="C1380" t="s">
        <v>7</v>
      </c>
      <c r="D1380" t="str">
        <f>VLOOKUP(C1380, '[1]VLOOKUP 함수용 카테고리'!$A$1:$B$59, 2, 0)</f>
        <v>RAW_PRODUCE</v>
      </c>
      <c r="E1380" t="s">
        <v>1898</v>
      </c>
      <c r="F1380" t="s">
        <v>332</v>
      </c>
    </row>
    <row r="1381" spans="1:6" x14ac:dyDescent="0.3">
      <c r="A1381" t="s">
        <v>2628</v>
      </c>
      <c r="B1381" t="str" cm="1">
        <f t="array" ref="B1381">_xlfn.XLOOKUP(C1381, INDEX([1]!카테고리매핑,,2), INDEX([1]!카테고리매핑,,1), "미등록 카테고리")</f>
        <v>채소/곡물류</v>
      </c>
      <c r="C1381" t="s">
        <v>7</v>
      </c>
      <c r="D1381" t="str">
        <f>VLOOKUP(C1381, '[1]VLOOKUP 함수용 카테고리'!$A$1:$B$59, 2, 0)</f>
        <v>RAW_PRODUCE</v>
      </c>
      <c r="E1381" t="s">
        <v>331</v>
      </c>
    </row>
    <row r="1382" spans="1:6" x14ac:dyDescent="0.3">
      <c r="A1382" t="s">
        <v>2629</v>
      </c>
      <c r="B1382" t="str" cm="1">
        <f t="array" ref="B1382">_xlfn.XLOOKUP(C1382, INDEX([1]!카테고리매핑,,2), INDEX([1]!카테고리매핑,,1), "미등록 카테고리")</f>
        <v>간식류</v>
      </c>
      <c r="C1382" t="s">
        <v>109</v>
      </c>
      <c r="D1382" t="str">
        <f>VLOOKUP(C1382, '[1]VLOOKUP 함수용 카테고리'!$A$1:$B$59, 2, 0)</f>
        <v>SNACK</v>
      </c>
      <c r="E1382" t="s">
        <v>2630</v>
      </c>
      <c r="F1382" t="s">
        <v>2631</v>
      </c>
    </row>
    <row r="1383" spans="1:6" x14ac:dyDescent="0.3">
      <c r="A1383" t="s">
        <v>2632</v>
      </c>
      <c r="B1383" t="str" cm="1">
        <f t="array" ref="B1383">_xlfn.XLOOKUP(C1383, INDEX([1]!카테고리매핑,,2), INDEX([1]!카테고리매핑,,1), "미등록 카테고리")</f>
        <v>채소/곡물류</v>
      </c>
      <c r="C1383" t="s">
        <v>7</v>
      </c>
      <c r="D1383" t="str">
        <f>VLOOKUP(C1383, '[1]VLOOKUP 함수용 카테고리'!$A$1:$B$59, 2, 0)</f>
        <v>RAW_PRODUCE</v>
      </c>
      <c r="E1383" t="s">
        <v>2633</v>
      </c>
      <c r="F1383" t="s">
        <v>332</v>
      </c>
    </row>
    <row r="1384" spans="1:6" x14ac:dyDescent="0.3">
      <c r="A1384" t="s">
        <v>2634</v>
      </c>
      <c r="B1384" t="str" cm="1">
        <f t="array" ref="B1384">_xlfn.XLOOKUP(C1384, INDEX([1]!카테고리매핑,,2), INDEX([1]!카테고리매핑,,1), "미등록 카테고리")</f>
        <v>간편식</v>
      </c>
      <c r="C1384" t="s">
        <v>158</v>
      </c>
      <c r="D1384" t="str">
        <f>VLOOKUP(C1384, '[1]VLOOKUP 함수용 카테고리'!$A$1:$B$59, 2, 0)</f>
        <v>INSTANT</v>
      </c>
      <c r="E1384" t="s">
        <v>2635</v>
      </c>
      <c r="F1384" t="s">
        <v>129</v>
      </c>
    </row>
    <row r="1385" spans="1:6" x14ac:dyDescent="0.3">
      <c r="A1385" t="s">
        <v>2636</v>
      </c>
      <c r="B1385" t="str" cm="1">
        <f t="array" ref="B1385">_xlfn.XLOOKUP(C1385, INDEX([1]!카테고리매핑,,2), INDEX([1]!카테고리매핑,,1), "미등록 카테고리")</f>
        <v>간식류</v>
      </c>
      <c r="C1385" t="s">
        <v>15</v>
      </c>
      <c r="D1385" t="str">
        <f>VLOOKUP(C1385, '[1]VLOOKUP 함수용 카테고리'!$A$1:$B$59, 2, 0)</f>
        <v>BAKERY</v>
      </c>
      <c r="E1385" t="s">
        <v>53</v>
      </c>
      <c r="F1385" t="s">
        <v>2637</v>
      </c>
    </row>
    <row r="1386" spans="1:6" x14ac:dyDescent="0.3">
      <c r="A1386" t="s">
        <v>2638</v>
      </c>
      <c r="B1386" t="str" cm="1">
        <f t="array" ref="B1386">_xlfn.XLOOKUP(C1386, INDEX([1]!카테고리매핑,,2), INDEX([1]!카테고리매핑,,1), "미등록 카테고리")</f>
        <v>음료</v>
      </c>
      <c r="C1386" t="s">
        <v>584</v>
      </c>
      <c r="D1386" t="str">
        <f>VLOOKUP(C1386, '[1]VLOOKUP 함수용 카테고리'!$A$1:$B$59, 2, 0)</f>
        <v>BEVERAGE</v>
      </c>
      <c r="E1386" t="s">
        <v>1257</v>
      </c>
      <c r="F1386" t="s">
        <v>1258</v>
      </c>
    </row>
    <row r="1387" spans="1:6" x14ac:dyDescent="0.3">
      <c r="A1387" t="s">
        <v>2639</v>
      </c>
      <c r="B1387" t="str" cm="1">
        <f t="array" ref="B1387">_xlfn.XLOOKUP(C1387, INDEX([1]!카테고리매핑,,2), INDEX([1]!카테고리매핑,,1), "미등록 카테고리")</f>
        <v>조미료</v>
      </c>
      <c r="C1387" t="s">
        <v>127</v>
      </c>
      <c r="D1387" t="str">
        <f>VLOOKUP(C1387, '[1]VLOOKUP 함수용 카테고리'!$A$1:$B$59, 2, 0)</f>
        <v>SAUCE_SEASONING</v>
      </c>
      <c r="E1387" t="s">
        <v>171</v>
      </c>
      <c r="F1387" t="s">
        <v>129</v>
      </c>
    </row>
    <row r="1388" spans="1:6" x14ac:dyDescent="0.3">
      <c r="A1388" t="s">
        <v>2640</v>
      </c>
      <c r="B1388" t="str" cm="1">
        <f t="array" ref="B1388">_xlfn.XLOOKUP(C1388, INDEX([1]!카테고리매핑,,2), INDEX([1]!카테고리매핑,,1), "미등록 카테고리")</f>
        <v>유제품</v>
      </c>
      <c r="C1388" t="s">
        <v>123</v>
      </c>
      <c r="D1388" t="str">
        <f>VLOOKUP(C1388, '[1]VLOOKUP 함수용 카테고리'!$A$1:$B$59, 2, 0)</f>
        <v>DAIRY</v>
      </c>
      <c r="E1388" t="s">
        <v>239</v>
      </c>
      <c r="F1388" t="s">
        <v>2641</v>
      </c>
    </row>
    <row r="1389" spans="1:6" x14ac:dyDescent="0.3">
      <c r="A1389" t="s">
        <v>2642</v>
      </c>
      <c r="B1389" t="str" cm="1">
        <f t="array" ref="B1389">_xlfn.XLOOKUP(C1389, INDEX([1]!카테고리매핑,,2), INDEX([1]!카테고리매핑,,1), "미등록 카테고리")</f>
        <v>상온식품</v>
      </c>
      <c r="C1389" t="s">
        <v>835</v>
      </c>
      <c r="D1389" t="str">
        <f>VLOOKUP(C1389, '[1]VLOOKUP 함수용 카테고리'!$A$1:$B$59, 2, 0)</f>
        <v>SAUCE_SEASONING</v>
      </c>
      <c r="E1389" t="s">
        <v>2643</v>
      </c>
      <c r="F1389" t="s">
        <v>2644</v>
      </c>
    </row>
    <row r="1390" spans="1:6" x14ac:dyDescent="0.3">
      <c r="A1390" t="s">
        <v>2645</v>
      </c>
      <c r="B1390" t="str" cm="1">
        <f t="array" ref="B1390">_xlfn.XLOOKUP(C1390, INDEX([1]!카테고리매핑,,2), INDEX([1]!카테고리매핑,,1), "미등록 카테고리")</f>
        <v>조미료</v>
      </c>
      <c r="C1390" t="s">
        <v>127</v>
      </c>
      <c r="D1390" t="str">
        <f>VLOOKUP(C1390, '[1]VLOOKUP 함수용 카테고리'!$A$1:$B$59, 2, 0)</f>
        <v>SAUCE_SEASONING</v>
      </c>
      <c r="E1390" t="s">
        <v>2646</v>
      </c>
      <c r="F1390" t="s">
        <v>257</v>
      </c>
    </row>
    <row r="1391" spans="1:6" x14ac:dyDescent="0.3">
      <c r="A1391" t="s">
        <v>2647</v>
      </c>
      <c r="B1391" t="str" cm="1">
        <f t="array" ref="B1391">_xlfn.XLOOKUP(C1391, INDEX([1]!카테고리매핑,,2), INDEX([1]!카테고리매핑,,1), "미등록 카테고리")</f>
        <v>채소/곡물류</v>
      </c>
      <c r="C1391" t="s">
        <v>7</v>
      </c>
      <c r="D1391" t="str">
        <f>VLOOKUP(C1391, '[1]VLOOKUP 함수용 카테고리'!$A$1:$B$59, 2, 0)</f>
        <v>RAW_PRODUCE</v>
      </c>
      <c r="E1391" t="s">
        <v>405</v>
      </c>
    </row>
    <row r="1392" spans="1:6" x14ac:dyDescent="0.3">
      <c r="A1392" t="s">
        <v>2648</v>
      </c>
      <c r="B1392" t="str" cm="1">
        <f t="array" ref="B1392">_xlfn.XLOOKUP(C1392, INDEX([1]!카테고리매핑,,2), INDEX([1]!카테고리매핑,,1), "미등록 카테고리")</f>
        <v>육류/계란</v>
      </c>
      <c r="C1392" t="s">
        <v>149</v>
      </c>
      <c r="D1392" t="str">
        <f>VLOOKUP(C1392, '[1]VLOOKUP 함수용 카테고리'!$A$1:$B$59, 2, 0)</f>
        <v>RAW_MEAT</v>
      </c>
      <c r="E1392" t="s">
        <v>573</v>
      </c>
      <c r="F1392" t="s">
        <v>2649</v>
      </c>
    </row>
    <row r="1393" spans="1:6" x14ac:dyDescent="0.3">
      <c r="A1393" t="s">
        <v>2650</v>
      </c>
      <c r="B1393" t="str" cm="1">
        <f t="array" ref="B1393">_xlfn.XLOOKUP(C1393, INDEX([1]!카테고리매핑,,2), INDEX([1]!카테고리매핑,,1), "미등록 카테고리")</f>
        <v>유제품</v>
      </c>
      <c r="C1393" t="s">
        <v>123</v>
      </c>
      <c r="D1393" t="str">
        <f>VLOOKUP(C1393, '[1]VLOOKUP 함수용 카테고리'!$A$1:$B$59, 2, 0)</f>
        <v>DAIRY</v>
      </c>
      <c r="E1393" t="s">
        <v>2651</v>
      </c>
      <c r="F1393" t="s">
        <v>191</v>
      </c>
    </row>
    <row r="1394" spans="1:6" x14ac:dyDescent="0.3">
      <c r="A1394" t="s">
        <v>2652</v>
      </c>
      <c r="B1394" t="str" cm="1">
        <f t="array" ref="B1394">_xlfn.XLOOKUP(C1394, INDEX([1]!카테고리매핑,,2), INDEX([1]!카테고리매핑,,1), "미등록 카테고리")</f>
        <v>유제품</v>
      </c>
      <c r="C1394" t="s">
        <v>98</v>
      </c>
      <c r="D1394" t="str">
        <f>VLOOKUP(C1394, '[1]VLOOKUP 함수용 카테고리'!$A$1:$B$59, 2, 0)</f>
        <v>DAIRY</v>
      </c>
      <c r="E1394" t="s">
        <v>273</v>
      </c>
      <c r="F1394" t="s">
        <v>274</v>
      </c>
    </row>
    <row r="1395" spans="1:6" x14ac:dyDescent="0.3">
      <c r="A1395" t="s">
        <v>2653</v>
      </c>
      <c r="B1395" t="str" cm="1">
        <f t="array" ref="B1395">_xlfn.XLOOKUP(C1395, INDEX([1]!카테고리매핑,,2), INDEX([1]!카테고리매핑,,1), "미등록 카테고리")</f>
        <v>유제품</v>
      </c>
      <c r="C1395" t="s">
        <v>211</v>
      </c>
      <c r="D1395" t="str">
        <f>VLOOKUP(C1395, '[1]VLOOKUP 함수용 카테고리'!$A$1:$B$59, 2, 0)</f>
        <v>DAIRY</v>
      </c>
      <c r="E1395" t="s">
        <v>212</v>
      </c>
      <c r="F1395" t="s">
        <v>1043</v>
      </c>
    </row>
    <row r="1396" spans="1:6" x14ac:dyDescent="0.3">
      <c r="A1396" t="s">
        <v>2654</v>
      </c>
      <c r="B1396" t="str" cm="1">
        <f t="array" ref="B1396">_xlfn.XLOOKUP(C1396, INDEX([1]!카테고리매핑,,2), INDEX([1]!카테고리매핑,,1), "미등록 카테고리")</f>
        <v>채소/곡물류</v>
      </c>
      <c r="C1396" t="s">
        <v>301</v>
      </c>
      <c r="D1396" t="str">
        <f>VLOOKUP(C1396, '[1]VLOOKUP 함수용 카테고리'!$A$1:$B$59, 2, 0)</f>
        <v>GRAIN</v>
      </c>
      <c r="E1396" t="s">
        <v>2353</v>
      </c>
      <c r="F1396" t="s">
        <v>2655</v>
      </c>
    </row>
    <row r="1397" spans="1:6" x14ac:dyDescent="0.3">
      <c r="A1397" t="s">
        <v>2656</v>
      </c>
      <c r="B1397" t="str" cm="1">
        <f t="array" ref="B1397">_xlfn.XLOOKUP(C1397, INDEX([1]!카테고리매핑,,2), INDEX([1]!카테고리매핑,,1), "미등록 카테고리")</f>
        <v>간편식</v>
      </c>
      <c r="C1397" t="s">
        <v>158</v>
      </c>
      <c r="D1397" t="str">
        <f>VLOOKUP(C1397, '[1]VLOOKUP 함수용 카테고리'!$A$1:$B$59, 2, 0)</f>
        <v>INSTANT</v>
      </c>
      <c r="E1397" t="s">
        <v>2657</v>
      </c>
      <c r="F1397" t="s">
        <v>154</v>
      </c>
    </row>
    <row r="1398" spans="1:6" x14ac:dyDescent="0.3">
      <c r="A1398" t="s">
        <v>2658</v>
      </c>
      <c r="B1398" t="str" cm="1">
        <f t="array" ref="B1398">_xlfn.XLOOKUP(C1398, INDEX([1]!카테고리매핑,,2), INDEX([1]!카테고리매핑,,1), "미등록 카테고리")</f>
        <v>술</v>
      </c>
      <c r="C1398" t="s">
        <v>42</v>
      </c>
      <c r="D1398" t="str">
        <f>VLOOKUP(C1398, '[1]VLOOKUP 함수용 카테고리'!$A$1:$B$59, 2, 0)</f>
        <v>ALCOHOL</v>
      </c>
      <c r="E1398" t="s">
        <v>43</v>
      </c>
    </row>
    <row r="1399" spans="1:6" x14ac:dyDescent="0.3">
      <c r="A1399" t="s">
        <v>2659</v>
      </c>
      <c r="B1399" t="str" cm="1">
        <f t="array" ref="B1399">_xlfn.XLOOKUP(C1399, INDEX([1]!카테고리매핑,,2), INDEX([1]!카테고리매핑,,1), "미등록 카테고리")</f>
        <v>술</v>
      </c>
      <c r="C1399" t="s">
        <v>56</v>
      </c>
      <c r="D1399" t="str">
        <f>VLOOKUP(C1399, '[1]VLOOKUP 함수용 카테고리'!$A$1:$B$59, 2, 0)</f>
        <v>ALCOHOL</v>
      </c>
      <c r="E1399" t="s">
        <v>57</v>
      </c>
    </row>
    <row r="1400" spans="1:6" x14ac:dyDescent="0.3">
      <c r="A1400" t="s">
        <v>2660</v>
      </c>
      <c r="B1400" t="str" cm="1">
        <f t="array" ref="B1400">_xlfn.XLOOKUP(C1400, INDEX([1]!카테고리매핑,,2), INDEX([1]!카테고리매핑,,1), "미등록 카테고리")</f>
        <v>간편식</v>
      </c>
      <c r="C1400" t="s">
        <v>158</v>
      </c>
      <c r="D1400" t="str">
        <f>VLOOKUP(C1400, '[1]VLOOKUP 함수용 카테고리'!$A$1:$B$59, 2, 0)</f>
        <v>INSTANT</v>
      </c>
      <c r="E1400" t="s">
        <v>2111</v>
      </c>
      <c r="F1400" t="s">
        <v>129</v>
      </c>
    </row>
    <row r="1401" spans="1:6" x14ac:dyDescent="0.3">
      <c r="A1401" t="s">
        <v>2661</v>
      </c>
      <c r="B1401" t="str" cm="1">
        <f t="array" ref="B1401">_xlfn.XLOOKUP(C1401, INDEX([1]!카테고리매핑,,2), INDEX([1]!카테고리매핑,,1), "미등록 카테고리")</f>
        <v>음료</v>
      </c>
      <c r="C1401" t="s">
        <v>23</v>
      </c>
      <c r="D1401" t="str">
        <f>VLOOKUP(C1401, '[1]VLOOKUP 함수용 카테고리'!$A$1:$B$59, 2, 0)</f>
        <v>BEVERAGE</v>
      </c>
      <c r="E1401" t="s">
        <v>74</v>
      </c>
      <c r="F1401" t="s">
        <v>7801</v>
      </c>
    </row>
    <row r="1402" spans="1:6" x14ac:dyDescent="0.3">
      <c r="A1402" t="s">
        <v>2662</v>
      </c>
      <c r="B1402" t="str" cm="1">
        <f t="array" ref="B1402">_xlfn.XLOOKUP(C1402, INDEX([1]!카테고리매핑,,2), INDEX([1]!카테고리매핑,,1), "미등록 카테고리")</f>
        <v>간편식</v>
      </c>
      <c r="C1402" t="s">
        <v>19</v>
      </c>
      <c r="D1402" t="str">
        <f>VLOOKUP(C1402, '[1]VLOOKUP 함수용 카테고리'!$A$1:$B$59, 2, 0)</f>
        <v>FROZEN_MEAL</v>
      </c>
      <c r="E1402" t="s">
        <v>2663</v>
      </c>
      <c r="F1402" t="s">
        <v>1969</v>
      </c>
    </row>
    <row r="1403" spans="1:6" x14ac:dyDescent="0.3">
      <c r="A1403" t="s">
        <v>2664</v>
      </c>
      <c r="B1403" t="str" cm="1">
        <f t="array" ref="B1403">_xlfn.XLOOKUP(C1403, INDEX([1]!카테고리매핑,,2), INDEX([1]!카테고리매핑,,1), "미등록 카테고리")</f>
        <v>채소/곡물류</v>
      </c>
      <c r="C1403" t="s">
        <v>7</v>
      </c>
      <c r="D1403" t="str">
        <f>VLOOKUP(C1403, '[1]VLOOKUP 함수용 카테고리'!$A$1:$B$59, 2, 0)</f>
        <v>RAW_PRODUCE</v>
      </c>
      <c r="E1403" t="s">
        <v>2665</v>
      </c>
      <c r="F1403" t="s">
        <v>151</v>
      </c>
    </row>
    <row r="1404" spans="1:6" x14ac:dyDescent="0.3">
      <c r="A1404" t="s">
        <v>2666</v>
      </c>
      <c r="B1404" t="str" cm="1">
        <f t="array" ref="B1404">_xlfn.XLOOKUP(C1404, INDEX([1]!카테고리매핑,,2), INDEX([1]!카테고리매핑,,1), "미등록 카테고리")</f>
        <v>육류/계란</v>
      </c>
      <c r="C1404" t="s">
        <v>105</v>
      </c>
      <c r="D1404" t="str">
        <f>VLOOKUP(C1404, '[1]VLOOKUP 함수용 카테고리'!$A$1:$B$59, 2, 0)</f>
        <v>RAW_MEAT</v>
      </c>
      <c r="E1404" t="s">
        <v>176</v>
      </c>
      <c r="F1404" t="s">
        <v>151</v>
      </c>
    </row>
    <row r="1405" spans="1:6" x14ac:dyDescent="0.3">
      <c r="A1405" t="s">
        <v>2667</v>
      </c>
      <c r="B1405" t="str" cm="1">
        <f t="array" ref="B1405">_xlfn.XLOOKUP(C1405, INDEX([1]!카테고리매핑,,2), INDEX([1]!카테고리매핑,,1), "미등록 카테고리")</f>
        <v>간식류</v>
      </c>
      <c r="C1405" t="s">
        <v>15</v>
      </c>
      <c r="D1405" t="str">
        <f>VLOOKUP(C1405, '[1]VLOOKUP 함수용 카테고리'!$A$1:$B$59, 2, 0)</f>
        <v>BAKERY</v>
      </c>
      <c r="E1405" t="s">
        <v>16</v>
      </c>
      <c r="F1405" t="s">
        <v>2668</v>
      </c>
    </row>
    <row r="1406" spans="1:6" x14ac:dyDescent="0.3">
      <c r="A1406" t="s">
        <v>2669</v>
      </c>
      <c r="B1406" t="str" cm="1">
        <f t="array" ref="B1406">_xlfn.XLOOKUP(C1406, INDEX([1]!카테고리매핑,,2), INDEX([1]!카테고리매핑,,1), "미등록 카테고리")</f>
        <v>유제품</v>
      </c>
      <c r="C1406" t="s">
        <v>211</v>
      </c>
      <c r="D1406" t="str">
        <f>VLOOKUP(C1406, '[1]VLOOKUP 함수용 카테고리'!$A$1:$B$59, 2, 0)</f>
        <v>DAIRY</v>
      </c>
      <c r="E1406" t="s">
        <v>212</v>
      </c>
      <c r="F1406" t="s">
        <v>1369</v>
      </c>
    </row>
    <row r="1407" spans="1:6" x14ac:dyDescent="0.3">
      <c r="A1407" t="s">
        <v>2670</v>
      </c>
      <c r="B1407" t="str" cm="1">
        <f t="array" ref="B1407">_xlfn.XLOOKUP(C1407, INDEX([1]!카테고리매핑,,2), INDEX([1]!카테고리매핑,,1), "미등록 카테고리")</f>
        <v>미등록 카테고리</v>
      </c>
      <c r="C1407" t="s">
        <v>334</v>
      </c>
      <c r="D1407" t="str">
        <f>VLOOKUP(C1407, '[1]VLOOKUP 함수용 카테고리'!$A$1:$B$59, 2, 0)</f>
        <v>UNKNOWN</v>
      </c>
      <c r="E1407" t="s">
        <v>334</v>
      </c>
      <c r="F1407" t="s">
        <v>2216</v>
      </c>
    </row>
    <row r="1408" spans="1:6" x14ac:dyDescent="0.3">
      <c r="A1408" t="s">
        <v>2671</v>
      </c>
      <c r="B1408" t="str" cm="1">
        <f t="array" ref="B1408">_xlfn.XLOOKUP(C1408, INDEX([1]!카테고리매핑,,2), INDEX([1]!카테고리매핑,,1), "미등록 카테고리")</f>
        <v>조미료</v>
      </c>
      <c r="C1408" t="s">
        <v>127</v>
      </c>
      <c r="D1408" t="str">
        <f>VLOOKUP(C1408, '[1]VLOOKUP 함수용 카테고리'!$A$1:$B$59, 2, 0)</f>
        <v>SAUCE_SEASONING</v>
      </c>
      <c r="E1408" t="s">
        <v>1585</v>
      </c>
      <c r="F1408" t="s">
        <v>136</v>
      </c>
    </row>
    <row r="1409" spans="1:6" x14ac:dyDescent="0.3">
      <c r="A1409" t="s">
        <v>2672</v>
      </c>
      <c r="B1409" t="str" cm="1">
        <f t="array" ref="B1409">_xlfn.XLOOKUP(C1409, INDEX([1]!카테고리매핑,,2), INDEX([1]!카테고리매핑,,1), "미등록 카테고리")</f>
        <v>육류/계란</v>
      </c>
      <c r="C1409" t="s">
        <v>105</v>
      </c>
      <c r="D1409" t="str">
        <f>VLOOKUP(C1409, '[1]VLOOKUP 함수용 카테고리'!$A$1:$B$59, 2, 0)</f>
        <v>RAW_MEAT</v>
      </c>
      <c r="E1409" t="s">
        <v>1031</v>
      </c>
      <c r="F1409" t="s">
        <v>2673</v>
      </c>
    </row>
    <row r="1410" spans="1:6" x14ac:dyDescent="0.3">
      <c r="A1410" t="s">
        <v>2674</v>
      </c>
      <c r="B1410" t="str" cm="1">
        <f t="array" ref="B1410">_xlfn.XLOOKUP(C1410, INDEX([1]!카테고리매핑,,2), INDEX([1]!카테고리매핑,,1), "미등록 카테고리")</f>
        <v>음료</v>
      </c>
      <c r="C1410" t="s">
        <v>23</v>
      </c>
      <c r="D1410" t="str">
        <f>VLOOKUP(C1410, '[1]VLOOKUP 함수용 카테고리'!$A$1:$B$59, 2, 0)</f>
        <v>BEVERAGE</v>
      </c>
      <c r="E1410" t="s">
        <v>352</v>
      </c>
      <c r="F1410" t="s">
        <v>129</v>
      </c>
    </row>
    <row r="1411" spans="1:6" x14ac:dyDescent="0.3">
      <c r="A1411" t="s">
        <v>2675</v>
      </c>
      <c r="B1411" t="str" cm="1">
        <f t="array" ref="B1411">_xlfn.XLOOKUP(C1411, INDEX([1]!카테고리매핑,,2), INDEX([1]!카테고리매핑,,1), "미등록 카테고리")</f>
        <v>미등록 카테고리</v>
      </c>
      <c r="C1411" t="s">
        <v>334</v>
      </c>
      <c r="D1411" t="str">
        <f>VLOOKUP(C1411, '[1]VLOOKUP 함수용 카테고리'!$A$1:$B$59, 2, 0)</f>
        <v>UNKNOWN</v>
      </c>
      <c r="E1411" t="s">
        <v>334</v>
      </c>
      <c r="F1411" t="s">
        <v>731</v>
      </c>
    </row>
    <row r="1412" spans="1:6" x14ac:dyDescent="0.3">
      <c r="A1412" t="s">
        <v>2676</v>
      </c>
      <c r="B1412" t="str" cm="1">
        <f t="array" ref="B1412">_xlfn.XLOOKUP(C1412, INDEX([1]!카테고리매핑,,2), INDEX([1]!카테고리매핑,,1), "미등록 카테고리")</f>
        <v>음료</v>
      </c>
      <c r="C1412" t="s">
        <v>708</v>
      </c>
      <c r="D1412" t="str">
        <f>VLOOKUP(C1412, '[1]VLOOKUP 함수용 카테고리'!$A$1:$B$59, 2, 0)</f>
        <v>BEVERAGE</v>
      </c>
      <c r="E1412" t="s">
        <v>708</v>
      </c>
      <c r="F1412" t="s">
        <v>2677</v>
      </c>
    </row>
    <row r="1413" spans="1:6" x14ac:dyDescent="0.3">
      <c r="A1413" t="s">
        <v>2678</v>
      </c>
      <c r="B1413" t="str" cm="1">
        <f t="array" ref="B1413">_xlfn.XLOOKUP(C1413, INDEX([1]!카테고리매핑,,2), INDEX([1]!카테고리매핑,,1), "미등록 카테고리")</f>
        <v>조미료</v>
      </c>
      <c r="C1413" t="s">
        <v>127</v>
      </c>
      <c r="D1413" t="str">
        <f>VLOOKUP(C1413, '[1]VLOOKUP 함수용 카테고리'!$A$1:$B$59, 2, 0)</f>
        <v>SAUCE_SEASONING</v>
      </c>
      <c r="E1413" t="s">
        <v>316</v>
      </c>
      <c r="F1413" t="s">
        <v>2679</v>
      </c>
    </row>
    <row r="1414" spans="1:6" x14ac:dyDescent="0.3">
      <c r="A1414" t="s">
        <v>2680</v>
      </c>
      <c r="B1414" t="str" cm="1">
        <f t="array" ref="B1414">_xlfn.XLOOKUP(C1414, INDEX([1]!카테고리매핑,,2), INDEX([1]!카테고리매핑,,1), "미등록 카테고리")</f>
        <v>간식류</v>
      </c>
      <c r="C1414" t="s">
        <v>11</v>
      </c>
      <c r="D1414" t="str">
        <f>VLOOKUP(C1414, '[1]VLOOKUP 함수용 카테고리'!$A$1:$B$59, 2, 0)</f>
        <v>SNACK</v>
      </c>
      <c r="E1414" t="s">
        <v>2681</v>
      </c>
      <c r="F1414" t="s">
        <v>2682</v>
      </c>
    </row>
    <row r="1415" spans="1:6" x14ac:dyDescent="0.3">
      <c r="A1415" t="s">
        <v>2683</v>
      </c>
      <c r="B1415" t="str" cm="1">
        <f t="array" ref="B1415">_xlfn.XLOOKUP(C1415, INDEX([1]!카테고리매핑,,2), INDEX([1]!카테고리매핑,,1), "미등록 카테고리")</f>
        <v>음료</v>
      </c>
      <c r="C1415" t="s">
        <v>23</v>
      </c>
      <c r="D1415" t="str">
        <f>VLOOKUP(C1415, '[1]VLOOKUP 함수용 카테고리'!$A$1:$B$59, 2, 0)</f>
        <v>BEVERAGE</v>
      </c>
      <c r="E1415" t="s">
        <v>2684</v>
      </c>
      <c r="F1415" t="s">
        <v>2456</v>
      </c>
    </row>
    <row r="1416" spans="1:6" x14ac:dyDescent="0.3">
      <c r="A1416" t="s">
        <v>2685</v>
      </c>
      <c r="B1416" t="str" cm="1">
        <f t="array" ref="B1416">_xlfn.XLOOKUP(C1416, INDEX([1]!카테고리매핑,,2), INDEX([1]!카테고리매핑,,1), "미등록 카테고리")</f>
        <v>술</v>
      </c>
      <c r="C1416" t="s">
        <v>42</v>
      </c>
      <c r="D1416" t="str">
        <f>VLOOKUP(C1416, '[1]VLOOKUP 함수용 카테고리'!$A$1:$B$59, 2, 0)</f>
        <v>ALCOHOL</v>
      </c>
      <c r="E1416" t="s">
        <v>43</v>
      </c>
      <c r="F1416" t="s">
        <v>1829</v>
      </c>
    </row>
    <row r="1417" spans="1:6" x14ac:dyDescent="0.3">
      <c r="A1417" t="s">
        <v>2686</v>
      </c>
      <c r="B1417" t="str" cm="1">
        <f t="array" ref="B1417">_xlfn.XLOOKUP(C1417, INDEX([1]!카테고리매핑,,2), INDEX([1]!카테고리매핑,,1), "미등록 카테고리")</f>
        <v>조미료</v>
      </c>
      <c r="C1417" t="s">
        <v>558</v>
      </c>
      <c r="D1417" t="str">
        <f>VLOOKUP(C1417, '[1]VLOOKUP 함수용 카테고리'!$A$1:$B$59, 2, 0)</f>
        <v>SAUCE_SEASONING</v>
      </c>
      <c r="E1417" t="s">
        <v>2687</v>
      </c>
    </row>
    <row r="1418" spans="1:6" x14ac:dyDescent="0.3">
      <c r="A1418" t="s">
        <v>2688</v>
      </c>
      <c r="B1418" t="str" cm="1">
        <f t="array" ref="B1418">_xlfn.XLOOKUP(C1418, INDEX([1]!카테고리매핑,,2), INDEX([1]!카테고리매핑,,1), "미등록 카테고리")</f>
        <v>간편식</v>
      </c>
      <c r="C1418" t="s">
        <v>167</v>
      </c>
      <c r="D1418" t="str">
        <f>VLOOKUP(C1418, '[1]VLOOKUP 함수용 카테고리'!$A$1:$B$59, 2, 0)</f>
        <v>INSTANT</v>
      </c>
      <c r="E1418" t="s">
        <v>1386</v>
      </c>
      <c r="F1418" t="s">
        <v>1387</v>
      </c>
    </row>
    <row r="1419" spans="1:6" x14ac:dyDescent="0.3">
      <c r="A1419" t="s">
        <v>2689</v>
      </c>
      <c r="B1419" t="str" cm="1">
        <f t="array" ref="B1419">_xlfn.XLOOKUP(C1419, INDEX([1]!카테고리매핑,,2), INDEX([1]!카테고리매핑,,1), "미등록 카테고리")</f>
        <v>간편식</v>
      </c>
      <c r="C1419" t="s">
        <v>131</v>
      </c>
      <c r="D1419" t="str">
        <f>VLOOKUP(C1419, '[1]VLOOKUP 함수용 카테고리'!$A$1:$B$59, 2, 0)</f>
        <v>SIMPLE_PROCESSED</v>
      </c>
      <c r="E1419" t="s">
        <v>755</v>
      </c>
      <c r="F1419" t="s">
        <v>237</v>
      </c>
    </row>
    <row r="1420" spans="1:6" x14ac:dyDescent="0.3">
      <c r="A1420" t="s">
        <v>2690</v>
      </c>
      <c r="B1420" t="str" cm="1">
        <f t="array" ref="B1420">_xlfn.XLOOKUP(C1420, INDEX([1]!카테고리매핑,,2), INDEX([1]!카테고리매핑,,1), "미등록 카테고리")</f>
        <v>간식류</v>
      </c>
      <c r="C1420" t="s">
        <v>15</v>
      </c>
      <c r="D1420" t="str">
        <f>VLOOKUP(C1420, '[1]VLOOKUP 함수용 카테고리'!$A$1:$B$59, 2, 0)</f>
        <v>BAKERY</v>
      </c>
      <c r="E1420" t="s">
        <v>2600</v>
      </c>
    </row>
    <row r="1421" spans="1:6" x14ac:dyDescent="0.3">
      <c r="A1421" t="s">
        <v>2692</v>
      </c>
      <c r="B1421" t="str" cm="1">
        <f t="array" ref="B1421">_xlfn.XLOOKUP(C1421, INDEX([1]!카테고리매핑,,2), INDEX([1]!카테고리매핑,,1), "미등록 카테고리")</f>
        <v>채소/곡물류</v>
      </c>
      <c r="C1421" t="s">
        <v>7</v>
      </c>
      <c r="D1421" t="str">
        <f>VLOOKUP(C1421, '[1]VLOOKUP 함수용 카테고리'!$A$1:$B$59, 2, 0)</f>
        <v>RAW_PRODUCE</v>
      </c>
      <c r="E1421" t="s">
        <v>405</v>
      </c>
      <c r="F1421" t="s">
        <v>2174</v>
      </c>
    </row>
    <row r="1422" spans="1:6" x14ac:dyDescent="0.3">
      <c r="A1422" t="s">
        <v>2693</v>
      </c>
      <c r="B1422" t="str" cm="1">
        <f t="array" ref="B1422">_xlfn.XLOOKUP(C1422, INDEX([1]!카테고리매핑,,2), INDEX([1]!카테고리매핑,,1), "미등록 카테고리")</f>
        <v>육류/계란</v>
      </c>
      <c r="C1422" t="s">
        <v>428</v>
      </c>
      <c r="D1422" t="str">
        <f>VLOOKUP(C1422, '[1]VLOOKUP 함수용 카테고리'!$A$1:$B$59, 2, 0)</f>
        <v>PROCESSED_MEAT</v>
      </c>
      <c r="E1422" t="s">
        <v>776</v>
      </c>
      <c r="F1422" t="s">
        <v>1141</v>
      </c>
    </row>
    <row r="1423" spans="1:6" x14ac:dyDescent="0.3">
      <c r="A1423" t="s">
        <v>2694</v>
      </c>
      <c r="B1423" t="str" cm="1">
        <f t="array" ref="B1423">_xlfn.XLOOKUP(C1423, INDEX([1]!카테고리매핑,,2), INDEX([1]!카테고리매핑,,1), "미등록 카테고리")</f>
        <v>수산물</v>
      </c>
      <c r="C1423" t="s">
        <v>229</v>
      </c>
      <c r="D1423" t="str">
        <f>VLOOKUP(C1423, '[1]VLOOKUP 함수용 카테고리'!$A$1:$B$59, 2, 0)</f>
        <v>RAW_SEAFOOD</v>
      </c>
      <c r="E1423" t="s">
        <v>230</v>
      </c>
    </row>
    <row r="1424" spans="1:6" x14ac:dyDescent="0.3">
      <c r="A1424" t="s">
        <v>2695</v>
      </c>
      <c r="B1424" t="str" cm="1">
        <f t="array" ref="B1424">_xlfn.XLOOKUP(C1424, INDEX([1]!카테고리매핑,,2), INDEX([1]!카테고리매핑,,1), "미등록 카테고리")</f>
        <v>술</v>
      </c>
      <c r="C1424" t="s">
        <v>42</v>
      </c>
      <c r="D1424" t="str">
        <f>VLOOKUP(C1424, '[1]VLOOKUP 함수용 카테고리'!$A$1:$B$59, 2, 0)</f>
        <v>ALCOHOL</v>
      </c>
      <c r="E1424" t="s">
        <v>2696</v>
      </c>
    </row>
    <row r="1425" spans="1:6" x14ac:dyDescent="0.3">
      <c r="A1425" t="s">
        <v>2697</v>
      </c>
      <c r="B1425" t="str" cm="1">
        <f t="array" ref="B1425">_xlfn.XLOOKUP(C1425, INDEX([1]!카테고리매핑,,2), INDEX([1]!카테고리매핑,,1), "미등록 카테고리")</f>
        <v>간식류</v>
      </c>
      <c r="C1425" t="s">
        <v>11</v>
      </c>
      <c r="D1425" t="str">
        <f>VLOOKUP(C1425, '[1]VLOOKUP 함수용 카테고리'!$A$1:$B$59, 2, 0)</f>
        <v>SNACK</v>
      </c>
      <c r="E1425" t="s">
        <v>2698</v>
      </c>
      <c r="F1425" t="s">
        <v>215</v>
      </c>
    </row>
    <row r="1426" spans="1:6" x14ac:dyDescent="0.3">
      <c r="A1426" t="s">
        <v>2699</v>
      </c>
      <c r="B1426" t="str" cm="1">
        <f t="array" ref="B1426">_xlfn.XLOOKUP(C1426, INDEX([1]!카테고리매핑,,2), INDEX([1]!카테고리매핑,,1), "미등록 카테고리")</f>
        <v>채소/곡물류</v>
      </c>
      <c r="C1426" t="s">
        <v>27</v>
      </c>
      <c r="D1426" t="str">
        <f>VLOOKUP(C1426, '[1]VLOOKUP 함수용 카테고리'!$A$1:$B$59, 2, 0)</f>
        <v>SIMPLE_PROCESSED</v>
      </c>
      <c r="E1426" t="s">
        <v>28</v>
      </c>
      <c r="F1426" t="s">
        <v>2700</v>
      </c>
    </row>
    <row r="1427" spans="1:6" x14ac:dyDescent="0.3">
      <c r="A1427" t="s">
        <v>2701</v>
      </c>
      <c r="B1427" t="str" cm="1">
        <f t="array" ref="B1427">_xlfn.XLOOKUP(C1427, INDEX([1]!카테고리매핑,,2), INDEX([1]!카테고리매핑,,1), "미등록 카테고리")</f>
        <v>음료</v>
      </c>
      <c r="C1427" t="s">
        <v>23</v>
      </c>
      <c r="D1427" t="str">
        <f>VLOOKUP(C1427, '[1]VLOOKUP 함수용 카테고리'!$A$1:$B$59, 2, 0)</f>
        <v>BEVERAGE</v>
      </c>
      <c r="E1427" t="s">
        <v>502</v>
      </c>
      <c r="F1427" t="s">
        <v>2702</v>
      </c>
    </row>
    <row r="1428" spans="1:6" x14ac:dyDescent="0.3">
      <c r="A1428" t="s">
        <v>2703</v>
      </c>
      <c r="B1428" t="str" cm="1">
        <f t="array" ref="B1428">_xlfn.XLOOKUP(C1428, INDEX([1]!카테고리매핑,,2), INDEX([1]!카테고리매핑,,1), "미등록 카테고리")</f>
        <v>유제품</v>
      </c>
      <c r="C1428" t="s">
        <v>123</v>
      </c>
      <c r="D1428" t="str">
        <f>VLOOKUP(C1428, '[1]VLOOKUP 함수용 카테고리'!$A$1:$B$59, 2, 0)</f>
        <v>DAIRY</v>
      </c>
      <c r="E1428" t="s">
        <v>190</v>
      </c>
      <c r="F1428" t="s">
        <v>193</v>
      </c>
    </row>
    <row r="1429" spans="1:6" x14ac:dyDescent="0.3">
      <c r="A1429" t="s">
        <v>2704</v>
      </c>
      <c r="B1429" t="str" cm="1">
        <f t="array" ref="B1429">_xlfn.XLOOKUP(C1429, INDEX([1]!카테고리매핑,,2), INDEX([1]!카테고리매핑,,1), "미등록 카테고리")</f>
        <v>간편식</v>
      </c>
      <c r="C1429" t="s">
        <v>256</v>
      </c>
      <c r="D1429" t="str">
        <f>VLOOKUP(C1429, '[1]VLOOKUP 함수용 카테고리'!$A$1:$B$59, 2, 0)</f>
        <v>RTC_MEAL</v>
      </c>
      <c r="E1429" t="s">
        <v>256</v>
      </c>
      <c r="F1429" t="s">
        <v>541</v>
      </c>
    </row>
    <row r="1430" spans="1:6" x14ac:dyDescent="0.3">
      <c r="A1430" t="s">
        <v>2705</v>
      </c>
      <c r="B1430" t="str" cm="1">
        <f t="array" ref="B1430">_xlfn.XLOOKUP(C1430, INDEX([1]!카테고리매핑,,2), INDEX([1]!카테고리매핑,,1), "미등록 카테고리")</f>
        <v>수산물</v>
      </c>
      <c r="C1430" t="s">
        <v>203</v>
      </c>
      <c r="D1430" t="str">
        <f>VLOOKUP(C1430, '[1]VLOOKUP 함수용 카테고리'!$A$1:$B$59, 2, 0)</f>
        <v>RAW_SEAFOOD</v>
      </c>
      <c r="E1430" t="s">
        <v>1318</v>
      </c>
      <c r="F1430" t="s">
        <v>2706</v>
      </c>
    </row>
    <row r="1431" spans="1:6" x14ac:dyDescent="0.3">
      <c r="A1431" t="s">
        <v>2707</v>
      </c>
      <c r="B1431" t="str" cm="1">
        <f t="array" ref="B1431">_xlfn.XLOOKUP(C1431, INDEX([1]!카테고리매핑,,2), INDEX([1]!카테고리매핑,,1), "미등록 카테고리")</f>
        <v>간식류</v>
      </c>
      <c r="C1431" t="s">
        <v>11</v>
      </c>
      <c r="D1431" t="str">
        <f>VLOOKUP(C1431, '[1]VLOOKUP 함수용 카테고리'!$A$1:$B$59, 2, 0)</f>
        <v>SNACK</v>
      </c>
      <c r="E1431" t="s">
        <v>2708</v>
      </c>
      <c r="F1431" t="s">
        <v>54</v>
      </c>
    </row>
    <row r="1432" spans="1:6" x14ac:dyDescent="0.3">
      <c r="A1432" t="s">
        <v>2709</v>
      </c>
      <c r="B1432" t="str" cm="1">
        <f t="array" ref="B1432">_xlfn.XLOOKUP(C1432, INDEX([1]!카테고리매핑,,2), INDEX([1]!카테고리매핑,,1), "미등록 카테고리")</f>
        <v>음료</v>
      </c>
      <c r="C1432" t="s">
        <v>23</v>
      </c>
      <c r="D1432" t="str">
        <f>VLOOKUP(C1432, '[1]VLOOKUP 함수용 카테고리'!$A$1:$B$59, 2, 0)</f>
        <v>BEVERAGE</v>
      </c>
      <c r="E1432" t="s">
        <v>2051</v>
      </c>
      <c r="F1432" t="s">
        <v>2710</v>
      </c>
    </row>
    <row r="1433" spans="1:6" x14ac:dyDescent="0.3">
      <c r="A1433" t="s">
        <v>2711</v>
      </c>
      <c r="B1433" t="str" cm="1">
        <f t="array" ref="B1433">_xlfn.XLOOKUP(C1433, INDEX([1]!카테고리매핑,,2), INDEX([1]!카테고리매핑,,1), "미등록 카테고리")</f>
        <v>간식류</v>
      </c>
      <c r="C1433" t="s">
        <v>109</v>
      </c>
      <c r="D1433" t="str">
        <f>VLOOKUP(C1433, '[1]VLOOKUP 함수용 카테고리'!$A$1:$B$59, 2, 0)</f>
        <v>SNACK</v>
      </c>
      <c r="E1433" t="s">
        <v>2712</v>
      </c>
      <c r="F1433" t="s">
        <v>121</v>
      </c>
    </row>
    <row r="1434" spans="1:6" x14ac:dyDescent="0.3">
      <c r="A1434" t="s">
        <v>2713</v>
      </c>
      <c r="B1434" t="str" cm="1">
        <f t="array" ref="B1434">_xlfn.XLOOKUP(C1434, INDEX([1]!카테고리매핑,,2), INDEX([1]!카테고리매핑,,1), "미등록 카테고리")</f>
        <v>간편식</v>
      </c>
      <c r="C1434" t="s">
        <v>158</v>
      </c>
      <c r="D1434" t="str">
        <f>VLOOKUP(C1434, '[1]VLOOKUP 함수용 카테고리'!$A$1:$B$59, 2, 0)</f>
        <v>INSTANT</v>
      </c>
      <c r="E1434" t="s">
        <v>7654</v>
      </c>
      <c r="F1434" t="s">
        <v>154</v>
      </c>
    </row>
    <row r="1435" spans="1:6" x14ac:dyDescent="0.3">
      <c r="A1435" t="s">
        <v>2714</v>
      </c>
      <c r="B1435" t="str" cm="1">
        <f t="array" ref="B1435">_xlfn.XLOOKUP(C1435, INDEX([1]!카테고리매핑,,2), INDEX([1]!카테고리매핑,,1), "미등록 카테고리")</f>
        <v>상온식품</v>
      </c>
      <c r="C1435" t="s">
        <v>1104</v>
      </c>
      <c r="D1435" t="str">
        <f>VLOOKUP(C1435, '[1]VLOOKUP 함수용 카테고리'!$A$1:$B$59, 2, 0)</f>
        <v>CANNED</v>
      </c>
      <c r="E1435" t="s">
        <v>1105</v>
      </c>
      <c r="F1435" t="s">
        <v>246</v>
      </c>
    </row>
    <row r="1436" spans="1:6" x14ac:dyDescent="0.3">
      <c r="A1436" t="s">
        <v>2715</v>
      </c>
      <c r="B1436" t="str" cm="1">
        <f t="array" ref="B1436">_xlfn.XLOOKUP(C1436, INDEX([1]!카테고리매핑,,2), INDEX([1]!카테고리매핑,,1), "미등록 카테고리")</f>
        <v>유제품</v>
      </c>
      <c r="C1436" t="s">
        <v>98</v>
      </c>
      <c r="D1436" t="str">
        <f>VLOOKUP(C1436, '[1]VLOOKUP 함수용 카테고리'!$A$1:$B$59, 2, 0)</f>
        <v>DAIRY</v>
      </c>
      <c r="E1436" t="s">
        <v>273</v>
      </c>
      <c r="F1436" t="s">
        <v>2716</v>
      </c>
    </row>
    <row r="1437" spans="1:6" x14ac:dyDescent="0.3">
      <c r="A1437" t="s">
        <v>2717</v>
      </c>
      <c r="B1437" t="str" cm="1">
        <f t="array" ref="B1437">_xlfn.XLOOKUP(C1437, INDEX([1]!카테고리매핑,,2), INDEX([1]!카테고리매핑,,1), "미등록 카테고리")</f>
        <v>간편식</v>
      </c>
      <c r="C1437" t="s">
        <v>46</v>
      </c>
      <c r="D1437" t="str">
        <f>VLOOKUP(C1437, '[1]VLOOKUP 함수용 카테고리'!$A$1:$B$59, 2, 0)</f>
        <v>RTC_MEAL</v>
      </c>
      <c r="E1437" t="s">
        <v>46</v>
      </c>
      <c r="F1437" t="s">
        <v>2718</v>
      </c>
    </row>
    <row r="1438" spans="1:6" x14ac:dyDescent="0.3">
      <c r="A1438" t="s">
        <v>2719</v>
      </c>
      <c r="B1438" t="str" cm="1">
        <f t="array" ref="B1438">_xlfn.XLOOKUP(C1438, INDEX([1]!카테고리매핑,,2), INDEX([1]!카테고리매핑,,1), "미등록 카테고리")</f>
        <v>간편식</v>
      </c>
      <c r="C1438" t="s">
        <v>46</v>
      </c>
      <c r="D1438" t="str">
        <f>VLOOKUP(C1438, '[1]VLOOKUP 함수용 카테고리'!$A$1:$B$59, 2, 0)</f>
        <v>RTC_MEAL</v>
      </c>
      <c r="E1438" t="s">
        <v>46</v>
      </c>
      <c r="F1438" t="s">
        <v>760</v>
      </c>
    </row>
    <row r="1439" spans="1:6" x14ac:dyDescent="0.3">
      <c r="A1439" t="s">
        <v>2720</v>
      </c>
      <c r="B1439" t="str" cm="1">
        <f t="array" ref="B1439">_xlfn.XLOOKUP(C1439, INDEX([1]!카테고리매핑,,2), INDEX([1]!카테고리매핑,,1), "미등록 카테고리")</f>
        <v>육류/계란</v>
      </c>
      <c r="C1439" t="s">
        <v>298</v>
      </c>
      <c r="D1439" t="str">
        <f>VLOOKUP(C1439, '[1]VLOOKUP 함수용 카테고리'!$A$1:$B$59, 2, 0)</f>
        <v>RAW_MEAT</v>
      </c>
      <c r="E1439" t="s">
        <v>751</v>
      </c>
      <c r="F1439" t="s">
        <v>350</v>
      </c>
    </row>
    <row r="1440" spans="1:6" x14ac:dyDescent="0.3">
      <c r="A1440" t="s">
        <v>2721</v>
      </c>
      <c r="B1440" t="str" cm="1">
        <f t="array" ref="B1440">_xlfn.XLOOKUP(C1440, INDEX([1]!카테고리매핑,,2), INDEX([1]!카테고리매핑,,1), "미등록 카테고리")</f>
        <v>음료</v>
      </c>
      <c r="C1440" t="s">
        <v>23</v>
      </c>
      <c r="D1440" t="str">
        <f>VLOOKUP(C1440, '[1]VLOOKUP 함수용 카테고리'!$A$1:$B$59, 2, 0)</f>
        <v>BEVERAGE</v>
      </c>
      <c r="E1440" t="s">
        <v>355</v>
      </c>
      <c r="F1440" t="s">
        <v>356</v>
      </c>
    </row>
    <row r="1441" spans="1:6" x14ac:dyDescent="0.3">
      <c r="A1441" t="s">
        <v>2722</v>
      </c>
      <c r="B1441" t="str" cm="1">
        <f t="array" ref="B1441">_xlfn.XLOOKUP(C1441, INDEX([1]!카테고리매핑,,2), INDEX([1]!카테고리매핑,,1), "미등록 카테고리")</f>
        <v>간식류</v>
      </c>
      <c r="C1441" t="s">
        <v>11</v>
      </c>
      <c r="D1441" t="str">
        <f>VLOOKUP(C1441, '[1]VLOOKUP 함수용 카테고리'!$A$1:$B$59, 2, 0)</f>
        <v>SNACK</v>
      </c>
      <c r="E1441" t="s">
        <v>2614</v>
      </c>
      <c r="F1441" t="s">
        <v>798</v>
      </c>
    </row>
    <row r="1442" spans="1:6" x14ac:dyDescent="0.3">
      <c r="A1442" t="s">
        <v>2723</v>
      </c>
      <c r="B1442" t="str" cm="1">
        <f t="array" ref="B1442">_xlfn.XLOOKUP(C1442, INDEX([1]!카테고리매핑,,2), INDEX([1]!카테고리매핑,,1), "미등록 카테고리")</f>
        <v>유제품</v>
      </c>
      <c r="C1442" t="s">
        <v>98</v>
      </c>
      <c r="D1442" t="str">
        <f>VLOOKUP(C1442, '[1]VLOOKUP 함수용 카테고리'!$A$1:$B$59, 2, 0)</f>
        <v>DAIRY</v>
      </c>
      <c r="E1442" t="s">
        <v>98</v>
      </c>
      <c r="F1442" t="s">
        <v>2724</v>
      </c>
    </row>
    <row r="1443" spans="1:6" x14ac:dyDescent="0.3">
      <c r="A1443" t="s">
        <v>2725</v>
      </c>
      <c r="B1443" t="str" cm="1">
        <f t="array" ref="B1443">_xlfn.XLOOKUP(C1443, INDEX([1]!카테고리매핑,,2), INDEX([1]!카테고리매핑,,1), "미등록 카테고리")</f>
        <v>간식류</v>
      </c>
      <c r="C1443" t="s">
        <v>63</v>
      </c>
      <c r="D1443" t="str">
        <f>VLOOKUP(C1443, '[1]VLOOKUP 함수용 카테고리'!$A$1:$B$59, 2, 0)</f>
        <v>BAKERY</v>
      </c>
      <c r="E1443" t="s">
        <v>1758</v>
      </c>
      <c r="F1443" t="s">
        <v>2726</v>
      </c>
    </row>
    <row r="1444" spans="1:6" x14ac:dyDescent="0.3">
      <c r="A1444" t="s">
        <v>2727</v>
      </c>
      <c r="B1444" t="str" cm="1">
        <f t="array" ref="B1444">_xlfn.XLOOKUP(C1444, INDEX([1]!카테고리매핑,,2), INDEX([1]!카테고리매핑,,1), "미등록 카테고리")</f>
        <v>술</v>
      </c>
      <c r="C1444" t="s">
        <v>56</v>
      </c>
      <c r="D1444" t="str">
        <f>VLOOKUP(C1444, '[1]VLOOKUP 함수용 카테고리'!$A$1:$B$59, 2, 0)</f>
        <v>ALCOHOL</v>
      </c>
      <c r="E1444" t="s">
        <v>505</v>
      </c>
    </row>
    <row r="1445" spans="1:6" x14ac:dyDescent="0.3">
      <c r="A1445" t="s">
        <v>2728</v>
      </c>
      <c r="B1445" t="str" cm="1">
        <f t="array" ref="B1445">_xlfn.XLOOKUP(C1445, INDEX([1]!카테고리매핑,,2), INDEX([1]!카테고리매핑,,1), "미등록 카테고리")</f>
        <v>육류/계란</v>
      </c>
      <c r="C1445" t="s">
        <v>149</v>
      </c>
      <c r="D1445" t="str">
        <f>VLOOKUP(C1445, '[1]VLOOKUP 함수용 카테고리'!$A$1:$B$59, 2, 0)</f>
        <v>RAW_MEAT</v>
      </c>
      <c r="E1445" t="s">
        <v>1647</v>
      </c>
    </row>
    <row r="1446" spans="1:6" x14ac:dyDescent="0.3">
      <c r="A1446" t="s">
        <v>2729</v>
      </c>
      <c r="B1446" t="str" cm="1">
        <f t="array" ref="B1446">_xlfn.XLOOKUP(C1446, INDEX([1]!카테고리매핑,,2), INDEX([1]!카테고리매핑,,1), "미등록 카테고리")</f>
        <v>채소/곡물류</v>
      </c>
      <c r="C1446" t="s">
        <v>7</v>
      </c>
      <c r="D1446" t="str">
        <f>VLOOKUP(C1446, '[1]VLOOKUP 함수용 카테고리'!$A$1:$B$59, 2, 0)</f>
        <v>RAW_PRODUCE</v>
      </c>
      <c r="E1446" t="s">
        <v>50</v>
      </c>
      <c r="F1446" t="s">
        <v>156</v>
      </c>
    </row>
    <row r="1447" spans="1:6" x14ac:dyDescent="0.3">
      <c r="A1447" t="s">
        <v>2730</v>
      </c>
      <c r="B1447" t="str" cm="1">
        <f t="array" ref="B1447">_xlfn.XLOOKUP(C1447, INDEX([1]!카테고리매핑,,2), INDEX([1]!카테고리매핑,,1), "미등록 카테고리")</f>
        <v>유제품</v>
      </c>
      <c r="C1447" t="s">
        <v>123</v>
      </c>
      <c r="D1447" t="str">
        <f>VLOOKUP(C1447, '[1]VLOOKUP 함수용 카테고리'!$A$1:$B$59, 2, 0)</f>
        <v>DAIRY</v>
      </c>
      <c r="E1447" t="s">
        <v>239</v>
      </c>
      <c r="F1447" t="s">
        <v>240</v>
      </c>
    </row>
    <row r="1448" spans="1:6" x14ac:dyDescent="0.3">
      <c r="A1448" t="s">
        <v>2731</v>
      </c>
      <c r="B1448" t="str" cm="1">
        <f t="array" ref="B1448">_xlfn.XLOOKUP(C1448, INDEX([1]!카테고리매핑,,2), INDEX([1]!카테고리매핑,,1), "미등록 카테고리")</f>
        <v>수산물</v>
      </c>
      <c r="C1448" t="s">
        <v>183</v>
      </c>
      <c r="D1448" t="str">
        <f>VLOOKUP(C1448, '[1]VLOOKUP 함수용 카테고리'!$A$1:$B$59, 2, 0)</f>
        <v>DRIED_SEAFOOD</v>
      </c>
      <c r="E1448" t="s">
        <v>184</v>
      </c>
      <c r="F1448" t="s">
        <v>977</v>
      </c>
    </row>
    <row r="1449" spans="1:6" x14ac:dyDescent="0.3">
      <c r="A1449" t="s">
        <v>2732</v>
      </c>
      <c r="B1449" t="str" cm="1">
        <f t="array" ref="B1449">_xlfn.XLOOKUP(C1449, INDEX([1]!카테고리매핑,,2), INDEX([1]!카테고리매핑,,1), "미등록 카테고리")</f>
        <v>상온식품</v>
      </c>
      <c r="C1449" t="s">
        <v>1104</v>
      </c>
      <c r="D1449" t="str">
        <f>VLOOKUP(C1449, '[1]VLOOKUP 함수용 카테고리'!$A$1:$B$59, 2, 0)</f>
        <v>CANNED</v>
      </c>
      <c r="E1449" t="s">
        <v>1105</v>
      </c>
      <c r="F1449" t="s">
        <v>246</v>
      </c>
    </row>
    <row r="1450" spans="1:6" x14ac:dyDescent="0.3">
      <c r="A1450" t="s">
        <v>2733</v>
      </c>
      <c r="B1450" t="str" cm="1">
        <f t="array" ref="B1450">_xlfn.XLOOKUP(C1450, INDEX([1]!카테고리매핑,,2), INDEX([1]!카테고리매핑,,1), "미등록 카테고리")</f>
        <v>술</v>
      </c>
      <c r="C1450" t="s">
        <v>42</v>
      </c>
      <c r="D1450" t="str">
        <f>VLOOKUP(C1450, '[1]VLOOKUP 함수용 카테고리'!$A$1:$B$59, 2, 0)</f>
        <v>ALCOHOL</v>
      </c>
      <c r="E1450" t="s">
        <v>43</v>
      </c>
    </row>
    <row r="1451" spans="1:6" x14ac:dyDescent="0.3">
      <c r="A1451" t="s">
        <v>2734</v>
      </c>
      <c r="B1451" t="str" cm="1">
        <f t="array" ref="B1451">_xlfn.XLOOKUP(C1451, INDEX([1]!카테고리매핑,,2), INDEX([1]!카테고리매핑,,1), "미등록 카테고리")</f>
        <v>간편식</v>
      </c>
      <c r="C1451" t="s">
        <v>158</v>
      </c>
      <c r="D1451" t="str">
        <f>VLOOKUP(C1451, '[1]VLOOKUP 함수용 카테고리'!$A$1:$B$59, 2, 0)</f>
        <v>INSTANT</v>
      </c>
      <c r="E1451" t="s">
        <v>2111</v>
      </c>
      <c r="F1451" t="s">
        <v>129</v>
      </c>
    </row>
    <row r="1452" spans="1:6" x14ac:dyDescent="0.3">
      <c r="A1452" t="s">
        <v>2735</v>
      </c>
      <c r="B1452" t="str" cm="1">
        <f t="array" ref="B1452">_xlfn.XLOOKUP(C1452, INDEX([1]!카테고리매핑,,2), INDEX([1]!카테고리매핑,,1), "미등록 카테고리")</f>
        <v>채소/곡물류</v>
      </c>
      <c r="C1452" t="s">
        <v>7</v>
      </c>
      <c r="D1452" t="str">
        <f>VLOOKUP(C1452, '[1]VLOOKUP 함수용 카테고리'!$A$1:$B$59, 2, 0)</f>
        <v>RAW_PRODUCE</v>
      </c>
      <c r="E1452" t="s">
        <v>2736</v>
      </c>
      <c r="F1452" t="s">
        <v>2737</v>
      </c>
    </row>
    <row r="1453" spans="1:6" x14ac:dyDescent="0.3">
      <c r="A1453" t="s">
        <v>2738</v>
      </c>
      <c r="B1453" t="str" cm="1">
        <f t="array" ref="B1453">_xlfn.XLOOKUP(C1453, INDEX([1]!카테고리매핑,,2), INDEX([1]!카테고리매핑,,1), "미등록 카테고리")</f>
        <v>유제품</v>
      </c>
      <c r="C1453" t="s">
        <v>123</v>
      </c>
      <c r="D1453" t="str">
        <f>VLOOKUP(C1453, '[1]VLOOKUP 함수용 카테고리'!$A$1:$B$59, 2, 0)</f>
        <v>DAIRY</v>
      </c>
      <c r="E1453" t="s">
        <v>239</v>
      </c>
      <c r="F1453" t="s">
        <v>377</v>
      </c>
    </row>
    <row r="1454" spans="1:6" x14ac:dyDescent="0.3">
      <c r="A1454" t="s">
        <v>2739</v>
      </c>
      <c r="B1454" t="str" cm="1">
        <f t="array" ref="B1454">_xlfn.XLOOKUP(C1454, INDEX([1]!카테고리매핑,,2), INDEX([1]!카테고리매핑,,1), "미등록 카테고리")</f>
        <v>상온식품</v>
      </c>
      <c r="C1454" t="s">
        <v>276</v>
      </c>
      <c r="D1454" t="str">
        <f>VLOOKUP(C1454, '[1]VLOOKUP 함수용 카테고리'!$A$1:$B$59, 2, 0)</f>
        <v>DRIED_SEAFOOD</v>
      </c>
      <c r="E1454" t="s">
        <v>277</v>
      </c>
      <c r="F1454" t="s">
        <v>7759</v>
      </c>
    </row>
    <row r="1455" spans="1:6" x14ac:dyDescent="0.3">
      <c r="A1455" t="s">
        <v>2740</v>
      </c>
      <c r="B1455" t="str" cm="1">
        <f t="array" ref="B1455">_xlfn.XLOOKUP(C1455, INDEX([1]!카테고리매핑,,2), INDEX([1]!카테고리매핑,,1), "미등록 카테고리")</f>
        <v>음료</v>
      </c>
      <c r="C1455" t="s">
        <v>23</v>
      </c>
      <c r="D1455" t="str">
        <f>VLOOKUP(C1455, '[1]VLOOKUP 함수용 카테고리'!$A$1:$B$59, 2, 0)</f>
        <v>BEVERAGE</v>
      </c>
      <c r="E1455" t="s">
        <v>288</v>
      </c>
      <c r="F1455" t="s">
        <v>1882</v>
      </c>
    </row>
    <row r="1456" spans="1:6" x14ac:dyDescent="0.3">
      <c r="A1456" t="s">
        <v>2741</v>
      </c>
      <c r="B1456" t="str" cm="1">
        <f t="array" ref="B1456">_xlfn.XLOOKUP(C1456, INDEX([1]!카테고리매핑,,2), INDEX([1]!카테고리매핑,,1), "미등록 카테고리")</f>
        <v>육류/계란</v>
      </c>
      <c r="C1456" t="s">
        <v>149</v>
      </c>
      <c r="D1456" t="str">
        <f>VLOOKUP(C1456, '[1]VLOOKUP 함수용 카테고리'!$A$1:$B$59, 2, 0)</f>
        <v>RAW_MEAT</v>
      </c>
      <c r="E1456" t="s">
        <v>573</v>
      </c>
      <c r="F1456" t="s">
        <v>1087</v>
      </c>
    </row>
    <row r="1457" spans="1:6" x14ac:dyDescent="0.3">
      <c r="A1457" t="s">
        <v>2742</v>
      </c>
      <c r="B1457" t="str" cm="1">
        <f t="array" ref="B1457">_xlfn.XLOOKUP(C1457, INDEX([1]!카테고리매핑,,2), INDEX([1]!카테고리매핑,,1), "미등록 카테고리")</f>
        <v>육류/계란</v>
      </c>
      <c r="C1457" t="s">
        <v>428</v>
      </c>
      <c r="D1457" t="str">
        <f>VLOOKUP(C1457, '[1]VLOOKUP 함수용 카테고리'!$A$1:$B$59, 2, 0)</f>
        <v>PROCESSED_MEAT</v>
      </c>
      <c r="E1457" t="s">
        <v>429</v>
      </c>
      <c r="F1457" t="s">
        <v>2743</v>
      </c>
    </row>
    <row r="1458" spans="1:6" x14ac:dyDescent="0.3">
      <c r="A1458" t="s">
        <v>2744</v>
      </c>
      <c r="B1458" t="str" cm="1">
        <f t="array" ref="B1458">_xlfn.XLOOKUP(C1458, INDEX([1]!카테고리매핑,,2), INDEX([1]!카테고리매핑,,1), "미등록 카테고리")</f>
        <v>간편식</v>
      </c>
      <c r="C1458" t="s">
        <v>161</v>
      </c>
      <c r="D1458" t="str">
        <f>VLOOKUP(C1458, '[1]VLOOKUP 함수용 카테고리'!$A$1:$B$59, 2, 0)</f>
        <v>RTC_MEAL</v>
      </c>
      <c r="E1458" t="s">
        <v>2745</v>
      </c>
      <c r="F1458" t="s">
        <v>416</v>
      </c>
    </row>
    <row r="1459" spans="1:6" x14ac:dyDescent="0.3">
      <c r="A1459" t="s">
        <v>2746</v>
      </c>
      <c r="B1459" t="str" cm="1">
        <f t="array" ref="B1459">_xlfn.XLOOKUP(C1459, INDEX([1]!카테고리매핑,,2), INDEX([1]!카테고리매핑,,1), "미등록 카테고리")</f>
        <v>간편식</v>
      </c>
      <c r="C1459" t="s">
        <v>256</v>
      </c>
      <c r="D1459" t="str">
        <f>VLOOKUP(C1459, '[1]VLOOKUP 함수용 카테고리'!$A$1:$B$59, 2, 0)</f>
        <v>RTC_MEAL</v>
      </c>
      <c r="E1459" t="s">
        <v>256</v>
      </c>
      <c r="F1459" t="s">
        <v>2747</v>
      </c>
    </row>
    <row r="1460" spans="1:6" x14ac:dyDescent="0.3">
      <c r="A1460" t="s">
        <v>2748</v>
      </c>
      <c r="B1460" t="str" cm="1">
        <f t="array" ref="B1460">_xlfn.XLOOKUP(C1460, INDEX([1]!카테고리매핑,,2), INDEX([1]!카테고리매핑,,1), "미등록 카테고리")</f>
        <v>상온식품</v>
      </c>
      <c r="C1460" t="s">
        <v>769</v>
      </c>
      <c r="D1460" t="str">
        <f>VLOOKUP(C1460, '[1]VLOOKUP 함수용 카테고리'!$A$1:$B$59, 2, 0)</f>
        <v>GRAIN</v>
      </c>
      <c r="E1460" t="s">
        <v>769</v>
      </c>
      <c r="F1460" t="s">
        <v>2749</v>
      </c>
    </row>
    <row r="1461" spans="1:6" x14ac:dyDescent="0.3">
      <c r="A1461" t="s">
        <v>2750</v>
      </c>
      <c r="B1461" t="str" cm="1">
        <f t="array" ref="B1461">_xlfn.XLOOKUP(C1461, INDEX([1]!카테고리매핑,,2), INDEX([1]!카테고리매핑,,1), "미등록 카테고리")</f>
        <v>간편식</v>
      </c>
      <c r="C1461" t="s">
        <v>19</v>
      </c>
      <c r="D1461" t="str">
        <f>VLOOKUP(C1461, '[1]VLOOKUP 함수용 카테고리'!$A$1:$B$59, 2, 0)</f>
        <v>FROZEN_MEAL</v>
      </c>
      <c r="E1461" t="s">
        <v>245</v>
      </c>
      <c r="F1461" t="s">
        <v>2751</v>
      </c>
    </row>
    <row r="1462" spans="1:6" x14ac:dyDescent="0.3">
      <c r="A1462" t="s">
        <v>2752</v>
      </c>
      <c r="B1462" t="str" cm="1">
        <f t="array" ref="B1462">_xlfn.XLOOKUP(C1462, INDEX([1]!카테고리매핑,,2), INDEX([1]!카테고리매핑,,1), "미등록 카테고리")</f>
        <v>간식류</v>
      </c>
      <c r="C1462" t="s">
        <v>11</v>
      </c>
      <c r="D1462" t="str">
        <f>VLOOKUP(C1462, '[1]VLOOKUP 함수용 카테고리'!$A$1:$B$59, 2, 0)</f>
        <v>SNACK</v>
      </c>
      <c r="E1462" t="s">
        <v>2753</v>
      </c>
      <c r="F1462" t="s">
        <v>2754</v>
      </c>
    </row>
    <row r="1463" spans="1:6" x14ac:dyDescent="0.3">
      <c r="A1463" t="s">
        <v>2755</v>
      </c>
      <c r="B1463" t="str" cm="1">
        <f t="array" ref="B1463">_xlfn.XLOOKUP(C1463, INDEX([1]!카테고리매핑,,2), INDEX([1]!카테고리매핑,,1), "미등록 카테고리")</f>
        <v>유제품</v>
      </c>
      <c r="C1463" t="s">
        <v>432</v>
      </c>
      <c r="D1463" t="str">
        <f>VLOOKUP(C1463, '[1]VLOOKUP 함수용 카테고리'!$A$1:$B$59, 2, 0)</f>
        <v>DAIRY</v>
      </c>
      <c r="E1463" t="s">
        <v>549</v>
      </c>
      <c r="F1463" t="s">
        <v>2756</v>
      </c>
    </row>
    <row r="1464" spans="1:6" x14ac:dyDescent="0.3">
      <c r="A1464" t="s">
        <v>2757</v>
      </c>
      <c r="B1464" t="str" cm="1">
        <f t="array" ref="B1464">_xlfn.XLOOKUP(C1464, INDEX([1]!카테고리매핑,,2), INDEX([1]!카테고리매핑,,1), "미등록 카테고리")</f>
        <v>채소/곡물류</v>
      </c>
      <c r="C1464" t="s">
        <v>207</v>
      </c>
      <c r="D1464" t="str">
        <f>VLOOKUP(C1464, '[1]VLOOKUP 함수용 카테고리'!$A$1:$B$59, 2, 0)</f>
        <v>GRAIN</v>
      </c>
      <c r="E1464" t="s">
        <v>561</v>
      </c>
      <c r="F1464" t="s">
        <v>156</v>
      </c>
    </row>
    <row r="1465" spans="1:6" x14ac:dyDescent="0.3">
      <c r="A1465" t="s">
        <v>2758</v>
      </c>
      <c r="B1465" t="str" cm="1">
        <f t="array" ref="B1465">_xlfn.XLOOKUP(C1465, INDEX([1]!카테고리매핑,,2), INDEX([1]!카테고리매핑,,1), "미등록 카테고리")</f>
        <v>간편식</v>
      </c>
      <c r="C1465" t="s">
        <v>46</v>
      </c>
      <c r="D1465" t="str">
        <f>VLOOKUP(C1465, '[1]VLOOKUP 함수용 카테고리'!$A$1:$B$59, 2, 0)</f>
        <v>RTC_MEAL</v>
      </c>
      <c r="E1465" t="s">
        <v>46</v>
      </c>
      <c r="F1465" t="s">
        <v>2759</v>
      </c>
    </row>
    <row r="1466" spans="1:6" x14ac:dyDescent="0.3">
      <c r="A1466" t="s">
        <v>2760</v>
      </c>
      <c r="B1466" t="str" cm="1">
        <f t="array" ref="B1466">_xlfn.XLOOKUP(C1466, INDEX([1]!카테고리매핑,,2), INDEX([1]!카테고리매핑,,1), "미등록 카테고리")</f>
        <v>간식류</v>
      </c>
      <c r="C1466" t="s">
        <v>15</v>
      </c>
      <c r="D1466" t="str">
        <f>VLOOKUP(C1466, '[1]VLOOKUP 함수용 카테고리'!$A$1:$B$59, 2, 0)</f>
        <v>BAKERY</v>
      </c>
      <c r="E1466" t="s">
        <v>2761</v>
      </c>
      <c r="F1466" t="s">
        <v>2762</v>
      </c>
    </row>
    <row r="1467" spans="1:6" x14ac:dyDescent="0.3">
      <c r="A1467" t="s">
        <v>2763</v>
      </c>
      <c r="B1467" t="str" cm="1">
        <f t="array" ref="B1467">_xlfn.XLOOKUP(C1467, INDEX([1]!카테고리매핑,,2), INDEX([1]!카테고리매핑,,1), "미등록 카테고리")</f>
        <v>과일/견과류</v>
      </c>
      <c r="C1467" t="s">
        <v>654</v>
      </c>
      <c r="D1467" t="str">
        <f>VLOOKUP(C1467, '[1]VLOOKUP 함수용 카테고리'!$A$1:$B$59, 2, 0)</f>
        <v>RAW_FRUIT</v>
      </c>
      <c r="E1467" t="s">
        <v>1201</v>
      </c>
      <c r="F1467" t="s">
        <v>2764</v>
      </c>
    </row>
    <row r="1468" spans="1:6" x14ac:dyDescent="0.3">
      <c r="A1468" t="s">
        <v>2765</v>
      </c>
      <c r="B1468" t="str" cm="1">
        <f t="array" ref="B1468">_xlfn.XLOOKUP(C1468, INDEX([1]!카테고리매핑,,2), INDEX([1]!카테고리매핑,,1), "미등록 카테고리")</f>
        <v>유제품</v>
      </c>
      <c r="C1468" t="s">
        <v>123</v>
      </c>
      <c r="D1468" t="str">
        <f>VLOOKUP(C1468, '[1]VLOOKUP 함수용 카테고리'!$A$1:$B$59, 2, 0)</f>
        <v>DAIRY</v>
      </c>
      <c r="E1468" t="s">
        <v>239</v>
      </c>
      <c r="F1468" t="s">
        <v>2766</v>
      </c>
    </row>
    <row r="1469" spans="1:6" x14ac:dyDescent="0.3">
      <c r="A1469" t="s">
        <v>2767</v>
      </c>
      <c r="B1469" t="str" cm="1">
        <f t="array" ref="B1469">_xlfn.XLOOKUP(C1469, INDEX([1]!카테고리매핑,,2), INDEX([1]!카테고리매핑,,1), "미등록 카테고리")</f>
        <v>간식류</v>
      </c>
      <c r="C1469" t="s">
        <v>15</v>
      </c>
      <c r="D1469" t="str">
        <f>VLOOKUP(C1469, '[1]VLOOKUP 함수용 카테고리'!$A$1:$B$59, 2, 0)</f>
        <v>BAKERY</v>
      </c>
      <c r="E1469" t="s">
        <v>2768</v>
      </c>
      <c r="F1469" t="s">
        <v>2769</v>
      </c>
    </row>
    <row r="1470" spans="1:6" x14ac:dyDescent="0.3">
      <c r="A1470" t="s">
        <v>2770</v>
      </c>
      <c r="B1470" t="str" cm="1">
        <f t="array" ref="B1470">_xlfn.XLOOKUP(C1470, INDEX([1]!카테고리매핑,,2), INDEX([1]!카테고리매핑,,1), "미등록 카테고리")</f>
        <v>간편식</v>
      </c>
      <c r="C1470" t="s">
        <v>167</v>
      </c>
      <c r="D1470" t="str">
        <f>VLOOKUP(C1470, '[1]VLOOKUP 함수용 카테고리'!$A$1:$B$59, 2, 0)</f>
        <v>INSTANT</v>
      </c>
      <c r="E1470" t="s">
        <v>874</v>
      </c>
      <c r="F1470" t="s">
        <v>246</v>
      </c>
    </row>
    <row r="1471" spans="1:6" x14ac:dyDescent="0.3">
      <c r="A1471" t="s">
        <v>2771</v>
      </c>
      <c r="B1471" t="str" cm="1">
        <f t="array" ref="B1471">_xlfn.XLOOKUP(C1471, INDEX([1]!카테고리매핑,,2), INDEX([1]!카테고리매핑,,1), "미등록 카테고리")</f>
        <v>조미료</v>
      </c>
      <c r="C1471" t="s">
        <v>117</v>
      </c>
      <c r="D1471" t="str">
        <f>VLOOKUP(C1471, '[1]VLOOKUP 함수용 카테고리'!$A$1:$B$59, 2, 0)</f>
        <v>SAUCE_SEASONING</v>
      </c>
      <c r="E1471" t="s">
        <v>421</v>
      </c>
      <c r="F1471" t="s">
        <v>2772</v>
      </c>
    </row>
    <row r="1472" spans="1:6" x14ac:dyDescent="0.3">
      <c r="A1472" t="s">
        <v>2773</v>
      </c>
      <c r="B1472" t="str" cm="1">
        <f t="array" ref="B1472">_xlfn.XLOOKUP(C1472, INDEX([1]!카테고리매핑,,2), INDEX([1]!카테고리매핑,,1), "미등록 카테고리")</f>
        <v>간식류</v>
      </c>
      <c r="C1472" t="s">
        <v>63</v>
      </c>
      <c r="D1472" t="str">
        <f>VLOOKUP(C1472, '[1]VLOOKUP 함수용 카테고리'!$A$1:$B$59, 2, 0)</f>
        <v>BAKERY</v>
      </c>
      <c r="E1472" t="s">
        <v>2774</v>
      </c>
      <c r="F1472" t="s">
        <v>582</v>
      </c>
    </row>
    <row r="1473" spans="1:6" x14ac:dyDescent="0.3">
      <c r="A1473" t="s">
        <v>2775</v>
      </c>
      <c r="B1473" t="str" cm="1">
        <f t="array" ref="B1473">_xlfn.XLOOKUP(C1473, INDEX([1]!카테고리매핑,,2), INDEX([1]!카테고리매핑,,1), "미등록 카테고리")</f>
        <v>수산물</v>
      </c>
      <c r="C1473" t="s">
        <v>101</v>
      </c>
      <c r="D1473" t="str">
        <f>VLOOKUP(C1473, '[1]VLOOKUP 함수용 카테고리'!$A$1:$B$59, 2, 0)</f>
        <v>DRIED_SEAFOOD</v>
      </c>
      <c r="E1473" t="s">
        <v>693</v>
      </c>
      <c r="F1473" t="s">
        <v>1399</v>
      </c>
    </row>
    <row r="1474" spans="1:6" x14ac:dyDescent="0.3">
      <c r="A1474" t="s">
        <v>2776</v>
      </c>
      <c r="B1474" t="str" cm="1">
        <f t="array" ref="B1474">_xlfn.XLOOKUP(C1474, INDEX([1]!카테고리매핑,,2), INDEX([1]!카테고리매핑,,1), "미등록 카테고리")</f>
        <v>간편식</v>
      </c>
      <c r="C1474" t="s">
        <v>131</v>
      </c>
      <c r="D1474" t="str">
        <f>VLOOKUP(C1474, '[1]VLOOKUP 함수용 카테고리'!$A$1:$B$59, 2, 0)</f>
        <v>SIMPLE_PROCESSED</v>
      </c>
      <c r="E1474" t="s">
        <v>2777</v>
      </c>
      <c r="F1474" t="s">
        <v>285</v>
      </c>
    </row>
    <row r="1475" spans="1:6" x14ac:dyDescent="0.3">
      <c r="A1475" t="s">
        <v>2778</v>
      </c>
      <c r="B1475" t="str" cm="1">
        <f t="array" ref="B1475">_xlfn.XLOOKUP(C1475, INDEX([1]!카테고리매핑,,2), INDEX([1]!카테고리매핑,,1), "미등록 카테고리")</f>
        <v>간식류</v>
      </c>
      <c r="C1475" t="s">
        <v>38</v>
      </c>
      <c r="D1475" t="str">
        <f>VLOOKUP(C1475, '[1]VLOOKUP 함수용 카테고리'!$A$1:$B$59, 2, 0)</f>
        <v>SNACK</v>
      </c>
      <c r="E1475" t="s">
        <v>179</v>
      </c>
      <c r="F1475" t="s">
        <v>403</v>
      </c>
    </row>
    <row r="1476" spans="1:6" x14ac:dyDescent="0.3">
      <c r="A1476" t="s">
        <v>2779</v>
      </c>
      <c r="B1476" t="str" cm="1">
        <f t="array" ref="B1476">_xlfn.XLOOKUP(C1476, INDEX([1]!카테고리매핑,,2), INDEX([1]!카테고리매핑,,1), "미등록 카테고리")</f>
        <v>간식류</v>
      </c>
      <c r="C1476" t="s">
        <v>63</v>
      </c>
      <c r="D1476" t="str">
        <f>VLOOKUP(C1476, '[1]VLOOKUP 함수용 카테고리'!$A$1:$B$59, 2, 0)</f>
        <v>BAKERY</v>
      </c>
      <c r="E1476" t="s">
        <v>2522</v>
      </c>
      <c r="F1476" t="s">
        <v>531</v>
      </c>
    </row>
    <row r="1477" spans="1:6" x14ac:dyDescent="0.3">
      <c r="A1477" t="s">
        <v>2780</v>
      </c>
      <c r="B1477" t="str" cm="1">
        <f t="array" ref="B1477">_xlfn.XLOOKUP(C1477, INDEX([1]!카테고리매핑,,2), INDEX([1]!카테고리매핑,,1), "미등록 카테고리")</f>
        <v>유제품</v>
      </c>
      <c r="C1477" t="s">
        <v>432</v>
      </c>
      <c r="D1477" t="str">
        <f>VLOOKUP(C1477, '[1]VLOOKUP 함수용 카테고리'!$A$1:$B$59, 2, 0)</f>
        <v>DAIRY</v>
      </c>
      <c r="E1477" t="s">
        <v>2781</v>
      </c>
      <c r="F1477" t="s">
        <v>198</v>
      </c>
    </row>
    <row r="1478" spans="1:6" x14ac:dyDescent="0.3">
      <c r="A1478" t="s">
        <v>2782</v>
      </c>
      <c r="B1478" t="str" cm="1">
        <f t="array" ref="B1478">_xlfn.XLOOKUP(C1478, INDEX([1]!카테고리매핑,,2), INDEX([1]!카테고리매핑,,1), "미등록 카테고리")</f>
        <v>간편식</v>
      </c>
      <c r="C1478" t="s">
        <v>46</v>
      </c>
      <c r="D1478" t="str">
        <f>VLOOKUP(C1478, '[1]VLOOKUP 함수용 카테고리'!$A$1:$B$59, 2, 0)</f>
        <v>RTC_MEAL</v>
      </c>
      <c r="E1478" t="s">
        <v>46</v>
      </c>
      <c r="F1478" t="s">
        <v>114</v>
      </c>
    </row>
    <row r="1479" spans="1:6" x14ac:dyDescent="0.3">
      <c r="A1479" t="s">
        <v>2783</v>
      </c>
      <c r="B1479" t="str" cm="1">
        <f t="array" ref="B1479">_xlfn.XLOOKUP(C1479, INDEX([1]!카테고리매핑,,2), INDEX([1]!카테고리매핑,,1), "미등록 카테고리")</f>
        <v>간편식</v>
      </c>
      <c r="C1479" t="s">
        <v>46</v>
      </c>
      <c r="D1479" t="str">
        <f>VLOOKUP(C1479, '[1]VLOOKUP 함수용 카테고리'!$A$1:$B$59, 2, 0)</f>
        <v>RTC_MEAL</v>
      </c>
      <c r="E1479" t="s">
        <v>46</v>
      </c>
      <c r="F1479" t="s">
        <v>151</v>
      </c>
    </row>
    <row r="1480" spans="1:6" x14ac:dyDescent="0.3">
      <c r="A1480" t="s">
        <v>2784</v>
      </c>
      <c r="B1480" t="str" cm="1">
        <f t="array" ref="B1480">_xlfn.XLOOKUP(C1480, INDEX([1]!카테고리매핑,,2), INDEX([1]!카테고리매핑,,1), "미등록 카테고리")</f>
        <v>간편식</v>
      </c>
      <c r="C1480" t="s">
        <v>167</v>
      </c>
      <c r="D1480" t="str">
        <f>VLOOKUP(C1480, '[1]VLOOKUP 함수용 카테고리'!$A$1:$B$59, 2, 0)</f>
        <v>INSTANT</v>
      </c>
      <c r="E1480" t="s">
        <v>2785</v>
      </c>
      <c r="F1480" t="s">
        <v>1387</v>
      </c>
    </row>
    <row r="1481" spans="1:6" x14ac:dyDescent="0.3">
      <c r="A1481" t="s">
        <v>2786</v>
      </c>
      <c r="B1481" t="str" cm="1">
        <f t="array" ref="B1481">_xlfn.XLOOKUP(C1481, INDEX([1]!카테고리매핑,,2), INDEX([1]!카테고리매핑,,1), "미등록 카테고리")</f>
        <v>채소/곡물류</v>
      </c>
      <c r="C1481" t="s">
        <v>7</v>
      </c>
      <c r="D1481" t="str">
        <f>VLOOKUP(C1481, '[1]VLOOKUP 함수용 카테고리'!$A$1:$B$59, 2, 0)</f>
        <v>RAW_PRODUCE</v>
      </c>
      <c r="E1481" t="s">
        <v>716</v>
      </c>
    </row>
    <row r="1482" spans="1:6" x14ac:dyDescent="0.3">
      <c r="A1482" t="s">
        <v>2787</v>
      </c>
      <c r="B1482" t="str" cm="1">
        <f t="array" ref="B1482">_xlfn.XLOOKUP(C1482, INDEX([1]!카테고리매핑,,2), INDEX([1]!카테고리매핑,,1), "미등록 카테고리")</f>
        <v>간식류</v>
      </c>
      <c r="C1482" t="s">
        <v>63</v>
      </c>
      <c r="D1482" t="str">
        <f>VLOOKUP(C1482, '[1]VLOOKUP 함수용 카테고리'!$A$1:$B$59, 2, 0)</f>
        <v>BAKERY</v>
      </c>
      <c r="E1482" t="s">
        <v>2788</v>
      </c>
      <c r="F1482" t="s">
        <v>1019</v>
      </c>
    </row>
    <row r="1483" spans="1:6" x14ac:dyDescent="0.3">
      <c r="A1483" t="s">
        <v>2789</v>
      </c>
      <c r="B1483" t="str" cm="1">
        <f t="array" ref="B1483">_xlfn.XLOOKUP(C1483, INDEX([1]!카테고리매핑,,2), INDEX([1]!카테고리매핑,,1), "미등록 카테고리")</f>
        <v>유제품</v>
      </c>
      <c r="C1483" t="s">
        <v>123</v>
      </c>
      <c r="D1483" t="str">
        <f>VLOOKUP(C1483, '[1]VLOOKUP 함수용 카테고리'!$A$1:$B$59, 2, 0)</f>
        <v>DAIRY</v>
      </c>
      <c r="E1483" t="s">
        <v>190</v>
      </c>
      <c r="F1483" t="s">
        <v>2790</v>
      </c>
    </row>
    <row r="1484" spans="1:6" x14ac:dyDescent="0.3">
      <c r="A1484" t="s">
        <v>2791</v>
      </c>
      <c r="B1484" t="str" cm="1">
        <f t="array" ref="B1484">_xlfn.XLOOKUP(C1484, INDEX([1]!카테고리매핑,,2), INDEX([1]!카테고리매핑,,1), "미등록 카테고리")</f>
        <v>간편식</v>
      </c>
      <c r="C1484" t="s">
        <v>131</v>
      </c>
      <c r="D1484" t="str">
        <f>VLOOKUP(C1484, '[1]VLOOKUP 함수용 카테고리'!$A$1:$B$59, 2, 0)</f>
        <v>SIMPLE_PROCESSED</v>
      </c>
      <c r="E1484" t="s">
        <v>2792</v>
      </c>
      <c r="F1484" t="s">
        <v>133</v>
      </c>
    </row>
    <row r="1485" spans="1:6" x14ac:dyDescent="0.3">
      <c r="A1485" t="s">
        <v>2793</v>
      </c>
      <c r="B1485" t="str" cm="1">
        <f t="array" ref="B1485">_xlfn.XLOOKUP(C1485, INDEX([1]!카테고리매핑,,2), INDEX([1]!카테고리매핑,,1), "미등록 카테고리")</f>
        <v>조미료</v>
      </c>
      <c r="C1485" t="s">
        <v>83</v>
      </c>
      <c r="D1485" t="str">
        <f>VLOOKUP(C1485, '[1]VLOOKUP 함수용 카테고리'!$A$1:$B$59, 2, 0)</f>
        <v>SAUCE_SEASONING</v>
      </c>
      <c r="E1485" t="s">
        <v>2794</v>
      </c>
      <c r="F1485" t="s">
        <v>646</v>
      </c>
    </row>
    <row r="1486" spans="1:6" x14ac:dyDescent="0.3">
      <c r="A1486" t="s">
        <v>2795</v>
      </c>
      <c r="B1486" t="str" cm="1">
        <f t="array" ref="B1486">_xlfn.XLOOKUP(C1486, INDEX([1]!카테고리매핑,,2), INDEX([1]!카테고리매핑,,1), "미등록 카테고리")</f>
        <v>간편식</v>
      </c>
      <c r="C1486" t="s">
        <v>46</v>
      </c>
      <c r="D1486" t="str">
        <f>VLOOKUP(C1486, '[1]VLOOKUP 함수용 카테고리'!$A$1:$B$59, 2, 0)</f>
        <v>RTC_MEAL</v>
      </c>
      <c r="E1486" t="s">
        <v>46</v>
      </c>
      <c r="F1486" t="s">
        <v>156</v>
      </c>
    </row>
    <row r="1487" spans="1:6" x14ac:dyDescent="0.3">
      <c r="A1487" t="s">
        <v>2796</v>
      </c>
      <c r="B1487" t="str" cm="1">
        <f t="array" ref="B1487">_xlfn.XLOOKUP(C1487, INDEX([1]!카테고리매핑,,2), INDEX([1]!카테고리매핑,,1), "미등록 카테고리")</f>
        <v>육류/계란</v>
      </c>
      <c r="C1487" t="s">
        <v>298</v>
      </c>
      <c r="D1487" t="str">
        <f>VLOOKUP(C1487, '[1]VLOOKUP 함수용 카테고리'!$A$1:$B$59, 2, 0)</f>
        <v>RAW_MEAT</v>
      </c>
      <c r="E1487" t="s">
        <v>751</v>
      </c>
      <c r="F1487" t="s">
        <v>2797</v>
      </c>
    </row>
    <row r="1488" spans="1:6" x14ac:dyDescent="0.3">
      <c r="A1488" t="s">
        <v>2798</v>
      </c>
      <c r="B1488" t="str" cm="1">
        <f t="array" ref="B1488">_xlfn.XLOOKUP(C1488, INDEX([1]!카테고리매핑,,2), INDEX([1]!카테고리매핑,,1), "미등록 카테고리")</f>
        <v>조미료</v>
      </c>
      <c r="C1488" t="s">
        <v>84</v>
      </c>
      <c r="D1488" t="str">
        <f>VLOOKUP(C1488, '[1]VLOOKUP 함수용 카테고리'!$A$1:$B$59, 2, 0)</f>
        <v>SAUCE_SEASONING</v>
      </c>
      <c r="E1488" t="s">
        <v>85</v>
      </c>
      <c r="F1488" t="s">
        <v>7760</v>
      </c>
    </row>
    <row r="1489" spans="1:6" x14ac:dyDescent="0.3">
      <c r="A1489" t="s">
        <v>2799</v>
      </c>
      <c r="B1489" t="str" cm="1">
        <f t="array" ref="B1489">_xlfn.XLOOKUP(C1489, INDEX([1]!카테고리매핑,,2), INDEX([1]!카테고리매핑,,1), "미등록 카테고리")</f>
        <v>간식류</v>
      </c>
      <c r="C1489" t="s">
        <v>15</v>
      </c>
      <c r="D1489" t="str">
        <f>VLOOKUP(C1489, '[1]VLOOKUP 함수용 카테고리'!$A$1:$B$59, 2, 0)</f>
        <v>BAKERY</v>
      </c>
      <c r="E1489" t="s">
        <v>16</v>
      </c>
      <c r="F1489" t="s">
        <v>1969</v>
      </c>
    </row>
    <row r="1490" spans="1:6" x14ac:dyDescent="0.3">
      <c r="A1490" t="s">
        <v>2800</v>
      </c>
      <c r="B1490" t="str" cm="1">
        <f t="array" ref="B1490">_xlfn.XLOOKUP(C1490, INDEX([1]!카테고리매핑,,2), INDEX([1]!카테고리매핑,,1), "미등록 카테고리")</f>
        <v>음료</v>
      </c>
      <c r="C1490" t="s">
        <v>708</v>
      </c>
      <c r="D1490" t="str">
        <f>VLOOKUP(C1490, '[1]VLOOKUP 함수용 카테고리'!$A$1:$B$59, 2, 0)</f>
        <v>BEVERAGE</v>
      </c>
      <c r="E1490" t="s">
        <v>708</v>
      </c>
      <c r="F1490" t="s">
        <v>7802</v>
      </c>
    </row>
    <row r="1491" spans="1:6" x14ac:dyDescent="0.3">
      <c r="A1491" t="s">
        <v>2801</v>
      </c>
      <c r="B1491" t="str" cm="1">
        <f t="array" ref="B1491">_xlfn.XLOOKUP(C1491, INDEX([1]!카테고리매핑,,2), INDEX([1]!카테고리매핑,,1), "미등록 카테고리")</f>
        <v>유제품</v>
      </c>
      <c r="C1491" t="s">
        <v>123</v>
      </c>
      <c r="D1491" t="str">
        <f>VLOOKUP(C1491, '[1]VLOOKUP 함수용 카테고리'!$A$1:$B$59, 2, 0)</f>
        <v>DAIRY</v>
      </c>
      <c r="E1491" t="s">
        <v>190</v>
      </c>
      <c r="F1491" t="s">
        <v>191</v>
      </c>
    </row>
    <row r="1492" spans="1:6" x14ac:dyDescent="0.3">
      <c r="A1492" t="s">
        <v>2802</v>
      </c>
      <c r="B1492" t="str" cm="1">
        <f t="array" ref="B1492">_xlfn.XLOOKUP(C1492, INDEX([1]!카테고리매핑,,2), INDEX([1]!카테고리매핑,,1), "미등록 카테고리")</f>
        <v>유제품</v>
      </c>
      <c r="C1492" t="s">
        <v>98</v>
      </c>
      <c r="D1492" t="str">
        <f>VLOOKUP(C1492, '[1]VLOOKUP 함수용 카테고리'!$A$1:$B$59, 2, 0)</f>
        <v>DAIRY</v>
      </c>
      <c r="E1492" t="s">
        <v>98</v>
      </c>
      <c r="F1492" t="s">
        <v>2803</v>
      </c>
    </row>
    <row r="1493" spans="1:6" x14ac:dyDescent="0.3">
      <c r="A1493" t="s">
        <v>2804</v>
      </c>
      <c r="B1493" t="str" cm="1">
        <f t="array" ref="B1493">_xlfn.XLOOKUP(C1493, INDEX([1]!카테고리매핑,,2), INDEX([1]!카테고리매핑,,1), "미등록 카테고리")</f>
        <v>수산물</v>
      </c>
      <c r="C1493" t="s">
        <v>140</v>
      </c>
      <c r="D1493" t="str">
        <f>VLOOKUP(C1493, '[1]VLOOKUP 함수용 카테고리'!$A$1:$B$59, 2, 0)</f>
        <v>SIMPLE_PROCESSED</v>
      </c>
      <c r="E1493" t="s">
        <v>2805</v>
      </c>
      <c r="F1493" t="s">
        <v>2806</v>
      </c>
    </row>
    <row r="1494" spans="1:6" x14ac:dyDescent="0.3">
      <c r="A1494" t="s">
        <v>2807</v>
      </c>
      <c r="B1494" t="str" cm="1">
        <f t="array" ref="B1494">_xlfn.XLOOKUP(C1494, INDEX([1]!카테고리매핑,,2), INDEX([1]!카테고리매핑,,1), "미등록 카테고리")</f>
        <v>유제품</v>
      </c>
      <c r="C1494" t="s">
        <v>98</v>
      </c>
      <c r="D1494" t="str">
        <f>VLOOKUP(C1494, '[1]VLOOKUP 함수용 카테고리'!$A$1:$B$59, 2, 0)</f>
        <v>DAIRY</v>
      </c>
      <c r="E1494" t="s">
        <v>2288</v>
      </c>
      <c r="F1494" t="s">
        <v>475</v>
      </c>
    </row>
    <row r="1495" spans="1:6" x14ac:dyDescent="0.3">
      <c r="A1495" t="s">
        <v>2808</v>
      </c>
      <c r="B1495" t="str" cm="1">
        <f t="array" ref="B1495">_xlfn.XLOOKUP(C1495, INDEX([1]!카테고리매핑,,2), INDEX([1]!카테고리매핑,,1), "미등록 카테고리")</f>
        <v>간편식</v>
      </c>
      <c r="C1495" t="s">
        <v>158</v>
      </c>
      <c r="D1495" t="str">
        <f>VLOOKUP(C1495, '[1]VLOOKUP 함수용 카테고리'!$A$1:$B$59, 2, 0)</f>
        <v>INSTANT</v>
      </c>
      <c r="E1495" t="s">
        <v>2809</v>
      </c>
      <c r="F1495" t="s">
        <v>2230</v>
      </c>
    </row>
    <row r="1496" spans="1:6" x14ac:dyDescent="0.3">
      <c r="A1496" t="s">
        <v>2810</v>
      </c>
      <c r="B1496" t="str" cm="1">
        <f t="array" ref="B1496">_xlfn.XLOOKUP(C1496, INDEX([1]!카테고리매핑,,2), INDEX([1]!카테고리매핑,,1), "미등록 카테고리")</f>
        <v>간식류</v>
      </c>
      <c r="C1496" t="s">
        <v>109</v>
      </c>
      <c r="D1496" t="str">
        <f>VLOOKUP(C1496, '[1]VLOOKUP 함수용 카테고리'!$A$1:$B$59, 2, 0)</f>
        <v>SNACK</v>
      </c>
      <c r="E1496" t="s">
        <v>217</v>
      </c>
      <c r="F1496" t="s">
        <v>646</v>
      </c>
    </row>
    <row r="1497" spans="1:6" x14ac:dyDescent="0.3">
      <c r="A1497" t="s">
        <v>2811</v>
      </c>
      <c r="B1497" t="str" cm="1">
        <f t="array" ref="B1497">_xlfn.XLOOKUP(C1497, INDEX([1]!카테고리매핑,,2), INDEX([1]!카테고리매핑,,1), "미등록 카테고리")</f>
        <v>간편식</v>
      </c>
      <c r="C1497" t="s">
        <v>46</v>
      </c>
      <c r="D1497" t="str">
        <f>VLOOKUP(C1497, '[1]VLOOKUP 함수용 카테고리'!$A$1:$B$59, 2, 0)</f>
        <v>RTC_MEAL</v>
      </c>
      <c r="E1497" t="s">
        <v>46</v>
      </c>
      <c r="F1497" t="s">
        <v>2812</v>
      </c>
    </row>
    <row r="1498" spans="1:6" x14ac:dyDescent="0.3">
      <c r="A1498" t="s">
        <v>2813</v>
      </c>
      <c r="B1498" t="str" cm="1">
        <f t="array" ref="B1498">_xlfn.XLOOKUP(C1498, INDEX([1]!카테고리매핑,,2), INDEX([1]!카테고리매핑,,1), "미등록 카테고리")</f>
        <v>유제품</v>
      </c>
      <c r="C1498" t="s">
        <v>211</v>
      </c>
      <c r="D1498" t="str">
        <f>VLOOKUP(C1498, '[1]VLOOKUP 함수용 카테고리'!$A$1:$B$59, 2, 0)</f>
        <v>DAIRY</v>
      </c>
      <c r="E1498" t="s">
        <v>1714</v>
      </c>
      <c r="F1498" t="s">
        <v>1714</v>
      </c>
    </row>
    <row r="1499" spans="1:6" x14ac:dyDescent="0.3">
      <c r="A1499" t="s">
        <v>2814</v>
      </c>
      <c r="B1499" t="str" cm="1">
        <f t="array" ref="B1499">_xlfn.XLOOKUP(C1499, INDEX([1]!카테고리매핑,,2), INDEX([1]!카테고리매핑,,1), "미등록 카테고리")</f>
        <v>조미료</v>
      </c>
      <c r="C1499" t="s">
        <v>83</v>
      </c>
      <c r="D1499" t="str">
        <f>VLOOKUP(C1499, '[1]VLOOKUP 함수용 카테고리'!$A$1:$B$59, 2, 0)</f>
        <v>SAUCE_SEASONING</v>
      </c>
      <c r="E1499" t="s">
        <v>1036</v>
      </c>
      <c r="F1499" t="s">
        <v>2815</v>
      </c>
    </row>
    <row r="1500" spans="1:6" x14ac:dyDescent="0.3">
      <c r="A1500" t="s">
        <v>2816</v>
      </c>
      <c r="B1500" t="str" cm="1">
        <f t="array" ref="B1500">_xlfn.XLOOKUP(C1500, INDEX([1]!카테고리매핑,,2), INDEX([1]!카테고리매핑,,1), "미등록 카테고리")</f>
        <v>조미료</v>
      </c>
      <c r="C1500" t="s">
        <v>127</v>
      </c>
      <c r="D1500" t="str">
        <f>VLOOKUP(C1500, '[1]VLOOKUP 함수용 카테고리'!$A$1:$B$59, 2, 0)</f>
        <v>SAUCE_SEASONING</v>
      </c>
      <c r="E1500" t="s">
        <v>2817</v>
      </c>
      <c r="F1500" t="s">
        <v>383</v>
      </c>
    </row>
    <row r="1501" spans="1:6" x14ac:dyDescent="0.3">
      <c r="A1501" t="s">
        <v>2818</v>
      </c>
      <c r="B1501" t="str" cm="1">
        <f t="array" ref="B1501">_xlfn.XLOOKUP(C1501, INDEX([1]!카테고리매핑,,2), INDEX([1]!카테고리매핑,,1), "미등록 카테고리")</f>
        <v>간식류</v>
      </c>
      <c r="C1501" t="s">
        <v>15</v>
      </c>
      <c r="D1501" t="str">
        <f>VLOOKUP(C1501, '[1]VLOOKUP 함수용 카테고리'!$A$1:$B$59, 2, 0)</f>
        <v>BAKERY</v>
      </c>
      <c r="E1501" t="s">
        <v>2819</v>
      </c>
      <c r="F1501" t="s">
        <v>2593</v>
      </c>
    </row>
    <row r="1502" spans="1:6" x14ac:dyDescent="0.3">
      <c r="A1502" t="s">
        <v>2820</v>
      </c>
      <c r="B1502" t="str" cm="1">
        <f t="array" ref="B1502">_xlfn.XLOOKUP(C1502, INDEX([1]!카테고리매핑,,2), INDEX([1]!카테고리매핑,,1), "미등록 카테고리")</f>
        <v>육류/계란</v>
      </c>
      <c r="C1502" t="s">
        <v>428</v>
      </c>
      <c r="D1502" t="str">
        <f>VLOOKUP(C1502, '[1]VLOOKUP 함수용 카테고리'!$A$1:$B$59, 2, 0)</f>
        <v>PROCESSED_MEAT</v>
      </c>
      <c r="E1502" t="s">
        <v>2821</v>
      </c>
      <c r="F1502" t="s">
        <v>350</v>
      </c>
    </row>
    <row r="1503" spans="1:6" x14ac:dyDescent="0.3">
      <c r="A1503" t="s">
        <v>2822</v>
      </c>
      <c r="B1503" t="str" cm="1">
        <f t="array" ref="B1503">_xlfn.XLOOKUP(C1503, INDEX([1]!카테고리매핑,,2), INDEX([1]!카테고리매핑,,1), "미등록 카테고리")</f>
        <v>미등록 카테고리</v>
      </c>
      <c r="C1503" t="s">
        <v>334</v>
      </c>
      <c r="D1503" t="str">
        <f>VLOOKUP(C1503, '[1]VLOOKUP 함수용 카테고리'!$A$1:$B$59, 2, 0)</f>
        <v>UNKNOWN</v>
      </c>
      <c r="E1503" t="s">
        <v>334</v>
      </c>
      <c r="F1503" t="s">
        <v>2823</v>
      </c>
    </row>
    <row r="1504" spans="1:6" x14ac:dyDescent="0.3">
      <c r="A1504" t="s">
        <v>2824</v>
      </c>
      <c r="B1504" t="str" cm="1">
        <f t="array" ref="B1504">_xlfn.XLOOKUP(C1504, INDEX([1]!카테고리매핑,,2), INDEX([1]!카테고리매핑,,1), "미등록 카테고리")</f>
        <v>채소/곡물류</v>
      </c>
      <c r="C1504" t="s">
        <v>301</v>
      </c>
      <c r="D1504" t="str">
        <f>VLOOKUP(C1504, '[1]VLOOKUP 함수용 카테고리'!$A$1:$B$59, 2, 0)</f>
        <v>GRAIN</v>
      </c>
      <c r="E1504" t="s">
        <v>2825</v>
      </c>
      <c r="F1504" t="s">
        <v>2616</v>
      </c>
    </row>
    <row r="1505" spans="1:6" x14ac:dyDescent="0.3">
      <c r="A1505" t="s">
        <v>2826</v>
      </c>
      <c r="B1505" t="str" cm="1">
        <f t="array" ref="B1505">_xlfn.XLOOKUP(C1505, INDEX([1]!카테고리매핑,,2), INDEX([1]!카테고리매핑,,1), "미등록 카테고리")</f>
        <v>간식류</v>
      </c>
      <c r="C1505" t="s">
        <v>15</v>
      </c>
      <c r="D1505" t="str">
        <f>VLOOKUP(C1505, '[1]VLOOKUP 함수용 카테고리'!$A$1:$B$59, 2, 0)</f>
        <v>BAKERY</v>
      </c>
      <c r="E1505" t="s">
        <v>2827</v>
      </c>
      <c r="F1505" t="s">
        <v>156</v>
      </c>
    </row>
    <row r="1506" spans="1:6" x14ac:dyDescent="0.3">
      <c r="A1506" t="s">
        <v>2828</v>
      </c>
      <c r="B1506" t="str" cm="1">
        <f t="array" ref="B1506">_xlfn.XLOOKUP(C1506, INDEX([1]!카테고리매핑,,2), INDEX([1]!카테고리매핑,,1), "미등록 카테고리")</f>
        <v>육류/계란</v>
      </c>
      <c r="C1506" t="s">
        <v>105</v>
      </c>
      <c r="D1506" t="str">
        <f>VLOOKUP(C1506, '[1]VLOOKUP 함수용 카테고리'!$A$1:$B$59, 2, 0)</f>
        <v>RAW_MEAT</v>
      </c>
      <c r="E1506" t="s">
        <v>176</v>
      </c>
      <c r="F1506" t="s">
        <v>2829</v>
      </c>
    </row>
    <row r="1507" spans="1:6" x14ac:dyDescent="0.3">
      <c r="A1507" t="s">
        <v>2830</v>
      </c>
      <c r="B1507" t="str" cm="1">
        <f t="array" ref="B1507">_xlfn.XLOOKUP(C1507, INDEX([1]!카테고리매핑,,2), INDEX([1]!카테고리매핑,,1), "미등록 카테고리")</f>
        <v>간편식</v>
      </c>
      <c r="C1507" t="s">
        <v>256</v>
      </c>
      <c r="D1507" t="str">
        <f>VLOOKUP(C1507, '[1]VLOOKUP 함수용 카테고리'!$A$1:$B$59, 2, 0)</f>
        <v>RTC_MEAL</v>
      </c>
      <c r="E1507" t="s">
        <v>256</v>
      </c>
      <c r="F1507" t="s">
        <v>2831</v>
      </c>
    </row>
    <row r="1508" spans="1:6" x14ac:dyDescent="0.3">
      <c r="A1508" t="s">
        <v>2832</v>
      </c>
      <c r="B1508" t="str" cm="1">
        <f t="array" ref="B1508">_xlfn.XLOOKUP(C1508, INDEX([1]!카테고리매핑,,2), INDEX([1]!카테고리매핑,,1), "미등록 카테고리")</f>
        <v>간편식</v>
      </c>
      <c r="C1508" t="s">
        <v>19</v>
      </c>
      <c r="D1508" t="str">
        <f>VLOOKUP(C1508, '[1]VLOOKUP 함수용 카테고리'!$A$1:$B$59, 2, 0)</f>
        <v>FROZEN_MEAL</v>
      </c>
      <c r="E1508" t="s">
        <v>2833</v>
      </c>
      <c r="F1508" t="s">
        <v>169</v>
      </c>
    </row>
    <row r="1509" spans="1:6" x14ac:dyDescent="0.3">
      <c r="A1509" t="s">
        <v>2834</v>
      </c>
      <c r="B1509" t="str" cm="1">
        <f t="array" ref="B1509">_xlfn.XLOOKUP(C1509, INDEX([1]!카테고리매핑,,2), INDEX([1]!카테고리매핑,,1), "미등록 카테고리")</f>
        <v>간식류</v>
      </c>
      <c r="C1509" t="s">
        <v>15</v>
      </c>
      <c r="D1509" t="str">
        <f>VLOOKUP(C1509, '[1]VLOOKUP 함수용 카테고리'!$A$1:$B$59, 2, 0)</f>
        <v>BAKERY</v>
      </c>
      <c r="E1509" t="s">
        <v>1933</v>
      </c>
      <c r="F1509" t="s">
        <v>2835</v>
      </c>
    </row>
    <row r="1510" spans="1:6" x14ac:dyDescent="0.3">
      <c r="A1510" t="s">
        <v>2836</v>
      </c>
      <c r="B1510" t="str" cm="1">
        <f t="array" ref="B1510">_xlfn.XLOOKUP(C1510, INDEX([1]!카테고리매핑,,2), INDEX([1]!카테고리매핑,,1), "미등록 카테고리")</f>
        <v>육류/계란</v>
      </c>
      <c r="C1510" t="s">
        <v>149</v>
      </c>
      <c r="D1510" t="str">
        <f>VLOOKUP(C1510, '[1]VLOOKUP 함수용 카테고리'!$A$1:$B$59, 2, 0)</f>
        <v>RAW_MEAT</v>
      </c>
      <c r="E1510" t="s">
        <v>150</v>
      </c>
      <c r="F1510" t="s">
        <v>1510</v>
      </c>
    </row>
    <row r="1511" spans="1:6" x14ac:dyDescent="0.3">
      <c r="A1511" t="s">
        <v>2837</v>
      </c>
      <c r="B1511" t="str" cm="1">
        <f t="array" ref="B1511">_xlfn.XLOOKUP(C1511, INDEX([1]!카테고리매핑,,2), INDEX([1]!카테고리매핑,,1), "미등록 카테고리")</f>
        <v>채소/곡물류</v>
      </c>
      <c r="C1511" t="s">
        <v>301</v>
      </c>
      <c r="D1511" t="str">
        <f>VLOOKUP(C1511, '[1]VLOOKUP 함수용 카테고리'!$A$1:$B$59, 2, 0)</f>
        <v>GRAIN</v>
      </c>
      <c r="E1511" t="s">
        <v>611</v>
      </c>
      <c r="F1511" t="s">
        <v>303</v>
      </c>
    </row>
    <row r="1512" spans="1:6" x14ac:dyDescent="0.3">
      <c r="A1512" t="s">
        <v>2838</v>
      </c>
      <c r="B1512" t="str" cm="1">
        <f t="array" ref="B1512">_xlfn.XLOOKUP(C1512, INDEX([1]!카테고리매핑,,2), INDEX([1]!카테고리매핑,,1), "미등록 카테고리")</f>
        <v>육류/계란</v>
      </c>
      <c r="C1512" t="s">
        <v>34</v>
      </c>
      <c r="D1512" t="str">
        <f>VLOOKUP(C1512, '[1]VLOOKUP 함수용 카테고리'!$A$1:$B$59, 2, 0)</f>
        <v>RAW_MEAT</v>
      </c>
      <c r="E1512" t="s">
        <v>2839</v>
      </c>
      <c r="F1512" t="s">
        <v>663</v>
      </c>
    </row>
    <row r="1513" spans="1:6" x14ac:dyDescent="0.3">
      <c r="A1513" t="s">
        <v>2840</v>
      </c>
      <c r="B1513" t="str" cm="1">
        <f t="array" ref="B1513">_xlfn.XLOOKUP(C1513, INDEX([1]!카테고리매핑,,2), INDEX([1]!카테고리매핑,,1), "미등록 카테고리")</f>
        <v>수산물</v>
      </c>
      <c r="C1513" t="s">
        <v>203</v>
      </c>
      <c r="D1513" t="str">
        <f>VLOOKUP(C1513, '[1]VLOOKUP 함수용 카테고리'!$A$1:$B$59, 2, 0)</f>
        <v>RAW_SEAFOOD</v>
      </c>
      <c r="E1513" t="s">
        <v>204</v>
      </c>
      <c r="F1513" t="s">
        <v>1229</v>
      </c>
    </row>
    <row r="1514" spans="1:6" x14ac:dyDescent="0.3">
      <c r="A1514" t="s">
        <v>2841</v>
      </c>
      <c r="B1514" t="str" cm="1">
        <f t="array" ref="B1514">_xlfn.XLOOKUP(C1514, INDEX([1]!카테고리매핑,,2), INDEX([1]!카테고리매핑,,1), "미등록 카테고리")</f>
        <v>조미료</v>
      </c>
      <c r="C1514" t="s">
        <v>83</v>
      </c>
      <c r="D1514" t="str">
        <f>VLOOKUP(C1514, '[1]VLOOKUP 함수용 카테고리'!$A$1:$B$59, 2, 0)</f>
        <v>SAUCE_SEASONING</v>
      </c>
      <c r="E1514" t="s">
        <v>395</v>
      </c>
      <c r="F1514" t="s">
        <v>396</v>
      </c>
    </row>
    <row r="1515" spans="1:6" x14ac:dyDescent="0.3">
      <c r="A1515" t="s">
        <v>2842</v>
      </c>
      <c r="B1515" t="str" cm="1">
        <f t="array" ref="B1515">_xlfn.XLOOKUP(C1515, INDEX([1]!카테고리매핑,,2), INDEX([1]!카테고리매핑,,1), "미등록 카테고리")</f>
        <v>수산물</v>
      </c>
      <c r="C1515" t="s">
        <v>101</v>
      </c>
      <c r="D1515" t="str">
        <f>VLOOKUP(C1515, '[1]VLOOKUP 함수용 카테고리'!$A$1:$B$59, 2, 0)</f>
        <v>DRIED_SEAFOOD</v>
      </c>
      <c r="E1515" t="s">
        <v>693</v>
      </c>
    </row>
    <row r="1516" spans="1:6" x14ac:dyDescent="0.3">
      <c r="A1516" t="s">
        <v>2843</v>
      </c>
      <c r="B1516" t="str" cm="1">
        <f t="array" ref="B1516">_xlfn.XLOOKUP(C1516, INDEX([1]!카테고리매핑,,2), INDEX([1]!카테고리매핑,,1), "미등록 카테고리")</f>
        <v>채소/곡물류</v>
      </c>
      <c r="C1516" t="s">
        <v>7</v>
      </c>
      <c r="D1516" t="str">
        <f>VLOOKUP(C1516, '[1]VLOOKUP 함수용 카테고리'!$A$1:$B$59, 2, 0)</f>
        <v>RAW_PRODUCE</v>
      </c>
      <c r="E1516" t="s">
        <v>940</v>
      </c>
      <c r="F1516" t="s">
        <v>2844</v>
      </c>
    </row>
    <row r="1517" spans="1:6" x14ac:dyDescent="0.3">
      <c r="A1517" t="s">
        <v>2845</v>
      </c>
      <c r="B1517" t="str" cm="1">
        <f t="array" ref="B1517">_xlfn.XLOOKUP(C1517, INDEX([1]!카테고리매핑,,2), INDEX([1]!카테고리매핑,,1), "미등록 카테고리")</f>
        <v>간식류</v>
      </c>
      <c r="C1517" t="s">
        <v>11</v>
      </c>
      <c r="D1517" t="str">
        <f>VLOOKUP(C1517, '[1]VLOOKUP 함수용 카테고리'!$A$1:$B$59, 2, 0)</f>
        <v>SNACK</v>
      </c>
      <c r="E1517" t="s">
        <v>2846</v>
      </c>
      <c r="F1517" t="s">
        <v>1043</v>
      </c>
    </row>
    <row r="1518" spans="1:6" x14ac:dyDescent="0.3">
      <c r="A1518" t="s">
        <v>2847</v>
      </c>
      <c r="B1518" t="str" cm="1">
        <f t="array" ref="B1518">_xlfn.XLOOKUP(C1518, INDEX([1]!카테고리매핑,,2), INDEX([1]!카테고리매핑,,1), "미등록 카테고리")</f>
        <v>과일/견과류</v>
      </c>
      <c r="C1518" t="s">
        <v>1179</v>
      </c>
      <c r="D1518" t="str">
        <f>VLOOKUP(C1518, '[1]VLOOKUP 함수용 카테고리'!$A$1:$B$59, 2, 0)</f>
        <v>RAW_FRUIT</v>
      </c>
      <c r="E1518" t="s">
        <v>1990</v>
      </c>
      <c r="F1518" t="s">
        <v>54</v>
      </c>
    </row>
    <row r="1519" spans="1:6" x14ac:dyDescent="0.3">
      <c r="A1519" t="s">
        <v>2848</v>
      </c>
      <c r="B1519" t="str" cm="1">
        <f t="array" ref="B1519">_xlfn.XLOOKUP(C1519, INDEX([1]!카테고리매핑,,2), INDEX([1]!카테고리매핑,,1), "미등록 카테고리")</f>
        <v>육류/계란</v>
      </c>
      <c r="C1519" t="s">
        <v>149</v>
      </c>
      <c r="D1519" t="str">
        <f>VLOOKUP(C1519, '[1]VLOOKUP 함수용 카테고리'!$A$1:$B$59, 2, 0)</f>
        <v>RAW_MEAT</v>
      </c>
      <c r="E1519" t="s">
        <v>2849</v>
      </c>
      <c r="F1519" t="s">
        <v>1087</v>
      </c>
    </row>
    <row r="1520" spans="1:6" x14ac:dyDescent="0.3">
      <c r="A1520" t="s">
        <v>2850</v>
      </c>
      <c r="B1520" t="str" cm="1">
        <f t="array" ref="B1520">_xlfn.XLOOKUP(C1520, INDEX([1]!카테고리매핑,,2), INDEX([1]!카테고리매핑,,1), "미등록 카테고리")</f>
        <v>간식류</v>
      </c>
      <c r="C1520" t="s">
        <v>11</v>
      </c>
      <c r="D1520" t="str">
        <f>VLOOKUP(C1520, '[1]VLOOKUP 함수용 카테고리'!$A$1:$B$59, 2, 0)</f>
        <v>SNACK</v>
      </c>
      <c r="E1520" t="s">
        <v>2851</v>
      </c>
      <c r="F1520" t="s">
        <v>215</v>
      </c>
    </row>
    <row r="1521" spans="1:6" x14ac:dyDescent="0.3">
      <c r="A1521" t="s">
        <v>2852</v>
      </c>
      <c r="B1521" t="str" cm="1">
        <f t="array" ref="B1521">_xlfn.XLOOKUP(C1521, INDEX([1]!카테고리매핑,,2), INDEX([1]!카테고리매핑,,1), "미등록 카테고리")</f>
        <v>간편식</v>
      </c>
      <c r="C1521" t="s">
        <v>46</v>
      </c>
      <c r="D1521" t="str">
        <f>VLOOKUP(C1521, '[1]VLOOKUP 함수용 카테고리'!$A$1:$B$59, 2, 0)</f>
        <v>RTC_MEAL</v>
      </c>
      <c r="E1521" t="s">
        <v>46</v>
      </c>
      <c r="F1521" t="s">
        <v>928</v>
      </c>
    </row>
    <row r="1522" spans="1:6" x14ac:dyDescent="0.3">
      <c r="A1522" t="s">
        <v>2853</v>
      </c>
      <c r="B1522" t="str" cm="1">
        <f t="array" ref="B1522">_xlfn.XLOOKUP(C1522, INDEX([1]!카테고리매핑,,2), INDEX([1]!카테고리매핑,,1), "미등록 카테고리")</f>
        <v>간식류</v>
      </c>
      <c r="C1522" t="s">
        <v>11</v>
      </c>
      <c r="D1522" t="str">
        <f>VLOOKUP(C1522, '[1]VLOOKUP 함수용 카테고리'!$A$1:$B$59, 2, 0)</f>
        <v>SNACK</v>
      </c>
      <c r="E1522" t="s">
        <v>153</v>
      </c>
      <c r="F1522" t="s">
        <v>2854</v>
      </c>
    </row>
    <row r="1523" spans="1:6" x14ac:dyDescent="0.3">
      <c r="A1523" t="s">
        <v>2855</v>
      </c>
      <c r="B1523" t="str" cm="1">
        <f t="array" ref="B1523">_xlfn.XLOOKUP(C1523, INDEX([1]!카테고리매핑,,2), INDEX([1]!카테고리매핑,,1), "미등록 카테고리")</f>
        <v>유제품</v>
      </c>
      <c r="C1523" t="s">
        <v>432</v>
      </c>
      <c r="D1523" t="str">
        <f>VLOOKUP(C1523, '[1]VLOOKUP 함수용 카테고리'!$A$1:$B$59, 2, 0)</f>
        <v>DAIRY</v>
      </c>
      <c r="E1523" t="s">
        <v>433</v>
      </c>
      <c r="F1523" t="s">
        <v>434</v>
      </c>
    </row>
    <row r="1524" spans="1:6" x14ac:dyDescent="0.3">
      <c r="A1524" t="s">
        <v>2856</v>
      </c>
      <c r="B1524" t="str" cm="1">
        <f t="array" ref="B1524">_xlfn.XLOOKUP(C1524, INDEX([1]!카테고리매핑,,2), INDEX([1]!카테고리매핑,,1), "미등록 카테고리")</f>
        <v>음료</v>
      </c>
      <c r="C1524" t="s">
        <v>23</v>
      </c>
      <c r="D1524" t="str">
        <f>VLOOKUP(C1524, '[1]VLOOKUP 함수용 카테고리'!$A$1:$B$59, 2, 0)</f>
        <v>BEVERAGE</v>
      </c>
      <c r="E1524" t="s">
        <v>581</v>
      </c>
      <c r="F1524" t="s">
        <v>306</v>
      </c>
    </row>
    <row r="1525" spans="1:6" x14ac:dyDescent="0.3">
      <c r="A1525" t="s">
        <v>2857</v>
      </c>
      <c r="B1525" t="str" cm="1">
        <f t="array" ref="B1525">_xlfn.XLOOKUP(C1525, INDEX([1]!카테고리매핑,,2), INDEX([1]!카테고리매핑,,1), "미등록 카테고리")</f>
        <v>간식류</v>
      </c>
      <c r="C1525" t="s">
        <v>15</v>
      </c>
      <c r="D1525" t="str">
        <f>VLOOKUP(C1525, '[1]VLOOKUP 함수용 카테고리'!$A$1:$B$59, 2, 0)</f>
        <v>BAKERY</v>
      </c>
      <c r="E1525" t="s">
        <v>200</v>
      </c>
      <c r="F1525" t="s">
        <v>2858</v>
      </c>
    </row>
    <row r="1526" spans="1:6" x14ac:dyDescent="0.3">
      <c r="A1526" t="s">
        <v>2859</v>
      </c>
      <c r="B1526" t="str" cm="1">
        <f t="array" ref="B1526">_xlfn.XLOOKUP(C1526, INDEX([1]!카테고리매핑,,2), INDEX([1]!카테고리매핑,,1), "미등록 카테고리")</f>
        <v>미등록 카테고리</v>
      </c>
      <c r="C1526" t="s">
        <v>334</v>
      </c>
      <c r="D1526" t="str">
        <f>VLOOKUP(C1526, '[1]VLOOKUP 함수용 카테고리'!$A$1:$B$59, 2, 0)</f>
        <v>UNKNOWN</v>
      </c>
      <c r="E1526" t="s">
        <v>334</v>
      </c>
      <c r="F1526" t="s">
        <v>2860</v>
      </c>
    </row>
    <row r="1527" spans="1:6" x14ac:dyDescent="0.3">
      <c r="A1527" t="s">
        <v>2861</v>
      </c>
      <c r="B1527" t="str" cm="1">
        <f t="array" ref="B1527">_xlfn.XLOOKUP(C1527, INDEX([1]!카테고리매핑,,2), INDEX([1]!카테고리매핑,,1), "미등록 카테고리")</f>
        <v>채소/곡물류</v>
      </c>
      <c r="C1527" t="s">
        <v>7</v>
      </c>
      <c r="D1527" t="str">
        <f>VLOOKUP(C1527, '[1]VLOOKUP 함수용 카테고리'!$A$1:$B$59, 2, 0)</f>
        <v>RAW_PRODUCE</v>
      </c>
      <c r="E1527" t="s">
        <v>2189</v>
      </c>
    </row>
    <row r="1528" spans="1:6" x14ac:dyDescent="0.3">
      <c r="A1528" t="s">
        <v>2862</v>
      </c>
      <c r="B1528" t="str" cm="1">
        <f t="array" ref="B1528">_xlfn.XLOOKUP(C1528, INDEX([1]!카테고리매핑,,2), INDEX([1]!카테고리매핑,,1), "미등록 카테고리")</f>
        <v>채소/곡물류</v>
      </c>
      <c r="C1528" t="s">
        <v>7</v>
      </c>
      <c r="D1528" t="str">
        <f>VLOOKUP(C1528, '[1]VLOOKUP 함수용 카테고리'!$A$1:$B$59, 2, 0)</f>
        <v>RAW_PRODUCE</v>
      </c>
      <c r="E1528" t="s">
        <v>1913</v>
      </c>
    </row>
    <row r="1529" spans="1:6" x14ac:dyDescent="0.3">
      <c r="A1529" t="s">
        <v>2863</v>
      </c>
      <c r="B1529" t="str" cm="1">
        <f t="array" ref="B1529">_xlfn.XLOOKUP(C1529, INDEX([1]!카테고리매핑,,2), INDEX([1]!카테고리매핑,,1), "미등록 카테고리")</f>
        <v>채소/곡물류</v>
      </c>
      <c r="C1529" t="s">
        <v>7</v>
      </c>
      <c r="D1529" t="str">
        <f>VLOOKUP(C1529, '[1]VLOOKUP 함수용 카테고리'!$A$1:$B$59, 2, 0)</f>
        <v>RAW_PRODUCE</v>
      </c>
      <c r="E1529" t="s">
        <v>743</v>
      </c>
    </row>
    <row r="1530" spans="1:6" x14ac:dyDescent="0.3">
      <c r="A1530" t="s">
        <v>2864</v>
      </c>
      <c r="B1530" t="str" cm="1">
        <f t="array" ref="B1530">_xlfn.XLOOKUP(C1530, INDEX([1]!카테고리매핑,,2), INDEX([1]!카테고리매핑,,1), "미등록 카테고리")</f>
        <v>간식류</v>
      </c>
      <c r="C1530" t="s">
        <v>11</v>
      </c>
      <c r="D1530" t="str">
        <f>VLOOKUP(C1530, '[1]VLOOKUP 함수용 카테고리'!$A$1:$B$59, 2, 0)</f>
        <v>SNACK</v>
      </c>
      <c r="E1530" t="s">
        <v>2865</v>
      </c>
      <c r="F1530" t="s">
        <v>54</v>
      </c>
    </row>
    <row r="1531" spans="1:6" x14ac:dyDescent="0.3">
      <c r="A1531" t="s">
        <v>2866</v>
      </c>
      <c r="B1531" t="str" cm="1">
        <f t="array" ref="B1531">_xlfn.XLOOKUP(C1531, INDEX([1]!카테고리매핑,,2), INDEX([1]!카테고리매핑,,1), "미등록 카테고리")</f>
        <v>간식류</v>
      </c>
      <c r="C1531" t="s">
        <v>11</v>
      </c>
      <c r="D1531" t="str">
        <f>VLOOKUP(C1531, '[1]VLOOKUP 함수용 카테고리'!$A$1:$B$59, 2, 0)</f>
        <v>SNACK</v>
      </c>
      <c r="E1531" t="s">
        <v>2867</v>
      </c>
      <c r="F1531" t="s">
        <v>54</v>
      </c>
    </row>
    <row r="1532" spans="1:6" x14ac:dyDescent="0.3">
      <c r="A1532" t="s">
        <v>2868</v>
      </c>
      <c r="B1532" t="str" cm="1">
        <f t="array" ref="B1532">_xlfn.XLOOKUP(C1532, INDEX([1]!카테고리매핑,,2), INDEX([1]!카테고리매핑,,1), "미등록 카테고리")</f>
        <v>간식류</v>
      </c>
      <c r="C1532" t="s">
        <v>63</v>
      </c>
      <c r="D1532" t="str">
        <f>VLOOKUP(C1532, '[1]VLOOKUP 함수용 카테고리'!$A$1:$B$59, 2, 0)</f>
        <v>BAKERY</v>
      </c>
      <c r="E1532" t="s">
        <v>2869</v>
      </c>
      <c r="F1532" t="s">
        <v>2870</v>
      </c>
    </row>
    <row r="1533" spans="1:6" x14ac:dyDescent="0.3">
      <c r="A1533" t="s">
        <v>2871</v>
      </c>
      <c r="B1533" t="str" cm="1">
        <f t="array" ref="B1533">_xlfn.XLOOKUP(C1533, INDEX([1]!카테고리매핑,,2), INDEX([1]!카테고리매핑,,1), "미등록 카테고리")</f>
        <v>간식류</v>
      </c>
      <c r="C1533" t="s">
        <v>38</v>
      </c>
      <c r="D1533" t="str">
        <f>VLOOKUP(C1533, '[1]VLOOKUP 함수용 카테고리'!$A$1:$B$59, 2, 0)</f>
        <v>SNACK</v>
      </c>
      <c r="E1533" t="s">
        <v>2872</v>
      </c>
      <c r="F1533" t="s">
        <v>54</v>
      </c>
    </row>
    <row r="1534" spans="1:6" x14ac:dyDescent="0.3">
      <c r="A1534" t="s">
        <v>2873</v>
      </c>
      <c r="B1534" t="str" cm="1">
        <f t="array" ref="B1534">_xlfn.XLOOKUP(C1534, INDEX([1]!카테고리매핑,,2), INDEX([1]!카테고리매핑,,1), "미등록 카테고리")</f>
        <v>음료</v>
      </c>
      <c r="C1534" t="s">
        <v>23</v>
      </c>
      <c r="D1534" t="str">
        <f>VLOOKUP(C1534, '[1]VLOOKUP 함수용 카테고리'!$A$1:$B$59, 2, 0)</f>
        <v>BEVERAGE</v>
      </c>
      <c r="E1534" t="s">
        <v>502</v>
      </c>
      <c r="F1534" t="s">
        <v>2335</v>
      </c>
    </row>
    <row r="1535" spans="1:6" x14ac:dyDescent="0.3">
      <c r="A1535" t="s">
        <v>2874</v>
      </c>
      <c r="B1535" t="str" cm="1">
        <f t="array" ref="B1535">_xlfn.XLOOKUP(C1535, INDEX([1]!카테고리매핑,,2), INDEX([1]!카테고리매핑,,1), "미등록 카테고리")</f>
        <v>간식류</v>
      </c>
      <c r="C1535" t="s">
        <v>11</v>
      </c>
      <c r="D1535" t="str">
        <f>VLOOKUP(C1535, '[1]VLOOKUP 함수용 카테고리'!$A$1:$B$59, 2, 0)</f>
        <v>SNACK</v>
      </c>
      <c r="E1535" t="s">
        <v>361</v>
      </c>
      <c r="F1535" t="s">
        <v>2875</v>
      </c>
    </row>
    <row r="1536" spans="1:6" x14ac:dyDescent="0.3">
      <c r="A1536" t="s">
        <v>2876</v>
      </c>
      <c r="B1536" t="str" cm="1">
        <f t="array" ref="B1536">_xlfn.XLOOKUP(C1536, INDEX([1]!카테고리매핑,,2), INDEX([1]!카테고리매핑,,1), "미등록 카테고리")</f>
        <v>간식류</v>
      </c>
      <c r="C1536" t="s">
        <v>38</v>
      </c>
      <c r="D1536" t="str">
        <f>VLOOKUP(C1536, '[1]VLOOKUP 함수용 카테고리'!$A$1:$B$59, 2, 0)</f>
        <v>SNACK</v>
      </c>
      <c r="E1536" t="s">
        <v>2877</v>
      </c>
      <c r="F1536" t="s">
        <v>2878</v>
      </c>
    </row>
    <row r="1537" spans="1:6" x14ac:dyDescent="0.3">
      <c r="A1537" t="s">
        <v>2879</v>
      </c>
      <c r="B1537" t="str" cm="1">
        <f t="array" ref="B1537">_xlfn.XLOOKUP(C1537, INDEX([1]!카테고리매핑,,2), INDEX([1]!카테고리매핑,,1), "미등록 카테고리")</f>
        <v>간편식</v>
      </c>
      <c r="C1537" t="s">
        <v>256</v>
      </c>
      <c r="D1537" t="str">
        <f>VLOOKUP(C1537, '[1]VLOOKUP 함수용 카테고리'!$A$1:$B$59, 2, 0)</f>
        <v>RTC_MEAL</v>
      </c>
      <c r="E1537" t="s">
        <v>256</v>
      </c>
      <c r="F1537" t="s">
        <v>2880</v>
      </c>
    </row>
    <row r="1538" spans="1:6" x14ac:dyDescent="0.3">
      <c r="A1538" t="s">
        <v>2881</v>
      </c>
      <c r="B1538" t="str" cm="1">
        <f t="array" ref="B1538">_xlfn.XLOOKUP(C1538, INDEX([1]!카테고리매핑,,2), INDEX([1]!카테고리매핑,,1), "미등록 카테고리")</f>
        <v>미등록 카테고리</v>
      </c>
      <c r="C1538" t="s">
        <v>334</v>
      </c>
      <c r="D1538" t="str">
        <f>VLOOKUP(C1538, '[1]VLOOKUP 함수용 카테고리'!$A$1:$B$59, 2, 0)</f>
        <v>UNKNOWN</v>
      </c>
      <c r="E1538" t="s">
        <v>334</v>
      </c>
      <c r="F1538" t="s">
        <v>2882</v>
      </c>
    </row>
    <row r="1539" spans="1:6" x14ac:dyDescent="0.3">
      <c r="A1539" t="s">
        <v>2883</v>
      </c>
      <c r="B1539" t="str" cm="1">
        <f t="array" ref="B1539">_xlfn.XLOOKUP(C1539, INDEX([1]!카테고리매핑,,2), INDEX([1]!카테고리매핑,,1), "미등록 카테고리")</f>
        <v>채소/곡물류</v>
      </c>
      <c r="C1539" t="s">
        <v>7</v>
      </c>
      <c r="D1539" t="str">
        <f>VLOOKUP(C1539, '[1]VLOOKUP 함수용 카테고리'!$A$1:$B$59, 2, 0)</f>
        <v>RAW_PRODUCE</v>
      </c>
      <c r="E1539" t="s">
        <v>2884</v>
      </c>
      <c r="F1539" t="s">
        <v>2885</v>
      </c>
    </row>
    <row r="1540" spans="1:6" x14ac:dyDescent="0.3">
      <c r="A1540" t="s">
        <v>2886</v>
      </c>
      <c r="B1540" t="str" cm="1">
        <f t="array" ref="B1540">_xlfn.XLOOKUP(C1540, INDEX([1]!카테고리매핑,,2), INDEX([1]!카테고리매핑,,1), "미등록 카테고리")</f>
        <v>간식류</v>
      </c>
      <c r="C1540" t="s">
        <v>15</v>
      </c>
      <c r="D1540" t="str">
        <f>VLOOKUP(C1540, '[1]VLOOKUP 함수용 카테고리'!$A$1:$B$59, 2, 0)</f>
        <v>BAKERY</v>
      </c>
      <c r="E1540" t="s">
        <v>1814</v>
      </c>
      <c r="F1540" t="s">
        <v>2887</v>
      </c>
    </row>
    <row r="1541" spans="1:6" x14ac:dyDescent="0.3">
      <c r="A1541" t="s">
        <v>2888</v>
      </c>
      <c r="B1541" t="str" cm="1">
        <f t="array" ref="B1541">_xlfn.XLOOKUP(C1541, INDEX([1]!카테고리매핑,,2), INDEX([1]!카테고리매핑,,1), "미등록 카테고리")</f>
        <v>간식류</v>
      </c>
      <c r="C1541" t="s">
        <v>11</v>
      </c>
      <c r="D1541" t="str">
        <f>VLOOKUP(C1541, '[1]VLOOKUP 함수용 카테고리'!$A$1:$B$59, 2, 0)</f>
        <v>SNACK</v>
      </c>
      <c r="E1541" t="s">
        <v>81</v>
      </c>
    </row>
    <row r="1542" spans="1:6" x14ac:dyDescent="0.3">
      <c r="A1542" t="s">
        <v>2889</v>
      </c>
      <c r="B1542" t="str" cm="1">
        <f t="array" ref="B1542">_xlfn.XLOOKUP(C1542, INDEX([1]!카테고리매핑,,2), INDEX([1]!카테고리매핑,,1), "미등록 카테고리")</f>
        <v>간편식</v>
      </c>
      <c r="C1542" t="s">
        <v>46</v>
      </c>
      <c r="D1542" t="str">
        <f>VLOOKUP(C1542, '[1]VLOOKUP 함수용 카테고리'!$A$1:$B$59, 2, 0)</f>
        <v>RTC_MEAL</v>
      </c>
      <c r="E1542" t="s">
        <v>46</v>
      </c>
      <c r="F1542" t="s">
        <v>2890</v>
      </c>
    </row>
    <row r="1543" spans="1:6" x14ac:dyDescent="0.3">
      <c r="A1543" t="s">
        <v>2891</v>
      </c>
      <c r="B1543" t="str" cm="1">
        <f t="array" ref="B1543">_xlfn.XLOOKUP(C1543, INDEX([1]!카테고리매핑,,2), INDEX([1]!카테고리매핑,,1), "미등록 카테고리")</f>
        <v>간식류</v>
      </c>
      <c r="C1543" t="s">
        <v>63</v>
      </c>
      <c r="D1543" t="str">
        <f>VLOOKUP(C1543, '[1]VLOOKUP 함수용 카테고리'!$A$1:$B$59, 2, 0)</f>
        <v>BAKERY</v>
      </c>
      <c r="E1543" t="s">
        <v>400</v>
      </c>
      <c r="F1543" t="s">
        <v>2892</v>
      </c>
    </row>
    <row r="1544" spans="1:6" x14ac:dyDescent="0.3">
      <c r="A1544" t="s">
        <v>2893</v>
      </c>
      <c r="B1544" t="str" cm="1">
        <f t="array" ref="B1544">_xlfn.XLOOKUP(C1544, INDEX([1]!카테고리매핑,,2), INDEX([1]!카테고리매핑,,1), "미등록 카테고리")</f>
        <v>채소/곡물류</v>
      </c>
      <c r="C1544" t="s">
        <v>301</v>
      </c>
      <c r="D1544" t="str">
        <f>VLOOKUP(C1544, '[1]VLOOKUP 함수용 카테고리'!$A$1:$B$59, 2, 0)</f>
        <v>GRAIN</v>
      </c>
      <c r="E1544" t="s">
        <v>611</v>
      </c>
      <c r="F1544" t="s">
        <v>303</v>
      </c>
    </row>
    <row r="1545" spans="1:6" x14ac:dyDescent="0.3">
      <c r="A1545" t="s">
        <v>2894</v>
      </c>
      <c r="B1545" t="str" cm="1">
        <f t="array" ref="B1545">_xlfn.XLOOKUP(C1545, INDEX([1]!카테고리매핑,,2), INDEX([1]!카테고리매핑,,1), "미등록 카테고리")</f>
        <v>상온식품</v>
      </c>
      <c r="C1545" t="s">
        <v>769</v>
      </c>
      <c r="D1545" t="str">
        <f>VLOOKUP(C1545, '[1]VLOOKUP 함수용 카테고리'!$A$1:$B$59, 2, 0)</f>
        <v>GRAIN</v>
      </c>
      <c r="E1545" t="s">
        <v>2895</v>
      </c>
      <c r="F1545" t="s">
        <v>32</v>
      </c>
    </row>
    <row r="1546" spans="1:6" x14ac:dyDescent="0.3">
      <c r="A1546" t="s">
        <v>2896</v>
      </c>
      <c r="B1546" t="str" cm="1">
        <f t="array" ref="B1546">_xlfn.XLOOKUP(C1546, INDEX([1]!카테고리매핑,,2), INDEX([1]!카테고리매핑,,1), "미등록 카테고리")</f>
        <v>미등록 카테고리</v>
      </c>
      <c r="C1546" t="s">
        <v>334</v>
      </c>
      <c r="D1546" t="str">
        <f>VLOOKUP(C1546, '[1]VLOOKUP 함수용 카테고리'!$A$1:$B$59, 2, 0)</f>
        <v>UNKNOWN</v>
      </c>
      <c r="E1546" t="s">
        <v>334</v>
      </c>
      <c r="F1546" t="s">
        <v>2467</v>
      </c>
    </row>
    <row r="1547" spans="1:6" x14ac:dyDescent="0.3">
      <c r="A1547" t="s">
        <v>2897</v>
      </c>
      <c r="B1547" t="str" cm="1">
        <f t="array" ref="B1547">_xlfn.XLOOKUP(C1547, INDEX([1]!카테고리매핑,,2), INDEX([1]!카테고리매핑,,1), "미등록 카테고리")</f>
        <v>간편식</v>
      </c>
      <c r="C1547" t="s">
        <v>131</v>
      </c>
      <c r="D1547" t="str">
        <f>VLOOKUP(C1547, '[1]VLOOKUP 함수용 카테고리'!$A$1:$B$59, 2, 0)</f>
        <v>SIMPLE_PROCESSED</v>
      </c>
      <c r="E1547" t="s">
        <v>2898</v>
      </c>
      <c r="F1547" t="s">
        <v>2899</v>
      </c>
    </row>
    <row r="1548" spans="1:6" x14ac:dyDescent="0.3">
      <c r="A1548" t="s">
        <v>2900</v>
      </c>
      <c r="B1548" t="str" cm="1">
        <f t="array" ref="B1548">_xlfn.XLOOKUP(C1548, INDEX([1]!카테고리매핑,,2), INDEX([1]!카테고리매핑,,1), "미등록 카테고리")</f>
        <v>수산물</v>
      </c>
      <c r="C1548" t="s">
        <v>140</v>
      </c>
      <c r="D1548" t="str">
        <f>VLOOKUP(C1548, '[1]VLOOKUP 함수용 카테고리'!$A$1:$B$59, 2, 0)</f>
        <v>SIMPLE_PROCESSED</v>
      </c>
      <c r="E1548" t="s">
        <v>141</v>
      </c>
      <c r="F1548" t="s">
        <v>391</v>
      </c>
    </row>
    <row r="1549" spans="1:6" x14ac:dyDescent="0.3">
      <c r="A1549" t="s">
        <v>2901</v>
      </c>
      <c r="B1549" t="str" cm="1">
        <f t="array" ref="B1549">_xlfn.XLOOKUP(C1549, INDEX([1]!카테고리매핑,,2), INDEX([1]!카테고리매핑,,1), "미등록 카테고리")</f>
        <v>채소/곡물류</v>
      </c>
      <c r="C1549" t="s">
        <v>301</v>
      </c>
      <c r="D1549" t="str">
        <f>VLOOKUP(C1549, '[1]VLOOKUP 함수용 카테고리'!$A$1:$B$59, 2, 0)</f>
        <v>GRAIN</v>
      </c>
      <c r="E1549" t="s">
        <v>611</v>
      </c>
      <c r="F1549" t="s">
        <v>1445</v>
      </c>
    </row>
    <row r="1550" spans="1:6" x14ac:dyDescent="0.3">
      <c r="A1550" t="s">
        <v>2902</v>
      </c>
      <c r="B1550" t="str" cm="1">
        <f t="array" ref="B1550">_xlfn.XLOOKUP(C1550, INDEX([1]!카테고리매핑,,2), INDEX([1]!카테고리매핑,,1), "미등록 카테고리")</f>
        <v>간식류</v>
      </c>
      <c r="C1550" t="s">
        <v>11</v>
      </c>
      <c r="D1550" t="str">
        <f>VLOOKUP(C1550, '[1]VLOOKUP 함수용 카테고리'!$A$1:$B$59, 2, 0)</f>
        <v>SNACK</v>
      </c>
      <c r="E1550" t="s">
        <v>2903</v>
      </c>
      <c r="F1550" t="s">
        <v>2903</v>
      </c>
    </row>
    <row r="1551" spans="1:6" x14ac:dyDescent="0.3">
      <c r="A1551" t="s">
        <v>2904</v>
      </c>
      <c r="B1551" t="str" cm="1">
        <f t="array" ref="B1551">_xlfn.XLOOKUP(C1551, INDEX([1]!카테고리매핑,,2), INDEX([1]!카테고리매핑,,1), "미등록 카테고리")</f>
        <v>간편식</v>
      </c>
      <c r="C1551" t="s">
        <v>256</v>
      </c>
      <c r="D1551" t="str">
        <f>VLOOKUP(C1551, '[1]VLOOKUP 함수용 카테고리'!$A$1:$B$59, 2, 0)</f>
        <v>RTC_MEAL</v>
      </c>
      <c r="E1551" t="s">
        <v>256</v>
      </c>
      <c r="F1551" t="s">
        <v>928</v>
      </c>
    </row>
    <row r="1552" spans="1:6" x14ac:dyDescent="0.3">
      <c r="A1552" t="s">
        <v>2905</v>
      </c>
      <c r="B1552" t="str" cm="1">
        <f t="array" ref="B1552">_xlfn.XLOOKUP(C1552, INDEX([1]!카테고리매핑,,2), INDEX([1]!카테고리매핑,,1), "미등록 카테고리")</f>
        <v>유제품</v>
      </c>
      <c r="C1552" t="s">
        <v>123</v>
      </c>
      <c r="D1552" t="str">
        <f>VLOOKUP(C1552, '[1]VLOOKUP 함수용 카테고리'!$A$1:$B$59, 2, 0)</f>
        <v>DAIRY</v>
      </c>
      <c r="E1552" t="s">
        <v>239</v>
      </c>
      <c r="F1552" t="s">
        <v>2906</v>
      </c>
    </row>
    <row r="1553" spans="1:6" x14ac:dyDescent="0.3">
      <c r="A1553" t="s">
        <v>2907</v>
      </c>
      <c r="B1553" t="str" cm="1">
        <f t="array" ref="B1553">_xlfn.XLOOKUP(C1553, INDEX([1]!카테고리매핑,,2), INDEX([1]!카테고리매핑,,1), "미등록 카테고리")</f>
        <v>간편식</v>
      </c>
      <c r="C1553" t="s">
        <v>46</v>
      </c>
      <c r="D1553" t="str">
        <f>VLOOKUP(C1553, '[1]VLOOKUP 함수용 카테고리'!$A$1:$B$59, 2, 0)</f>
        <v>RTC_MEAL</v>
      </c>
      <c r="E1553" t="s">
        <v>46</v>
      </c>
      <c r="F1553" t="s">
        <v>29</v>
      </c>
    </row>
    <row r="1554" spans="1:6" x14ac:dyDescent="0.3">
      <c r="A1554" t="s">
        <v>2908</v>
      </c>
      <c r="B1554" t="str" cm="1">
        <f t="array" ref="B1554">_xlfn.XLOOKUP(C1554, INDEX([1]!카테고리매핑,,2), INDEX([1]!카테고리매핑,,1), "미등록 카테고리")</f>
        <v>술</v>
      </c>
      <c r="C1554" t="s">
        <v>42</v>
      </c>
      <c r="D1554" t="str">
        <f>VLOOKUP(C1554, '[1]VLOOKUP 함수용 카테고리'!$A$1:$B$59, 2, 0)</f>
        <v>ALCOHOL</v>
      </c>
      <c r="E1554" t="s">
        <v>2696</v>
      </c>
    </row>
    <row r="1555" spans="1:6" x14ac:dyDescent="0.3">
      <c r="A1555" t="s">
        <v>2909</v>
      </c>
      <c r="B1555" t="str" cm="1">
        <f t="array" ref="B1555">_xlfn.XLOOKUP(C1555, INDEX([1]!카테고리매핑,,2), INDEX([1]!카테고리매핑,,1), "미등록 카테고리")</f>
        <v>조미료</v>
      </c>
      <c r="C1555" t="s">
        <v>83</v>
      </c>
      <c r="D1555" t="str">
        <f>VLOOKUP(C1555, '[1]VLOOKUP 함수용 카테고리'!$A$1:$B$59, 2, 0)</f>
        <v>SAUCE_SEASONING</v>
      </c>
      <c r="E1555" t="s">
        <v>2910</v>
      </c>
      <c r="F1555" t="s">
        <v>2910</v>
      </c>
    </row>
    <row r="1556" spans="1:6" x14ac:dyDescent="0.3">
      <c r="A1556" t="s">
        <v>2911</v>
      </c>
      <c r="B1556" t="str" cm="1">
        <f t="array" ref="B1556">_xlfn.XLOOKUP(C1556, INDEX([1]!카테고리매핑,,2), INDEX([1]!카테고리매핑,,1), "미등록 카테고리")</f>
        <v>수산물</v>
      </c>
      <c r="C1556" t="s">
        <v>263</v>
      </c>
      <c r="D1556" t="str">
        <f>VLOOKUP(C1556, '[1]VLOOKUP 함수용 카테고리'!$A$1:$B$59, 2, 0)</f>
        <v>RAW_SEAFOOD</v>
      </c>
      <c r="E1556" t="s">
        <v>264</v>
      </c>
      <c r="F1556" t="s">
        <v>2912</v>
      </c>
    </row>
    <row r="1557" spans="1:6" x14ac:dyDescent="0.3">
      <c r="A1557" t="s">
        <v>2913</v>
      </c>
      <c r="B1557" t="str" cm="1">
        <f t="array" ref="B1557">_xlfn.XLOOKUP(C1557, INDEX([1]!카테고리매핑,,2), INDEX([1]!카테고리매핑,,1), "미등록 카테고리")</f>
        <v>조미료</v>
      </c>
      <c r="C1557" t="s">
        <v>83</v>
      </c>
      <c r="D1557" t="str">
        <f>VLOOKUP(C1557, '[1]VLOOKUP 함수용 카테고리'!$A$1:$B$59, 2, 0)</f>
        <v>SAUCE_SEASONING</v>
      </c>
      <c r="E1557" t="s">
        <v>2914</v>
      </c>
      <c r="F1557" t="s">
        <v>182</v>
      </c>
    </row>
    <row r="1558" spans="1:6" x14ac:dyDescent="0.3">
      <c r="A1558" t="s">
        <v>2915</v>
      </c>
      <c r="B1558" t="str" cm="1">
        <f t="array" ref="B1558">_xlfn.XLOOKUP(C1558, INDEX([1]!카테고리매핑,,2), INDEX([1]!카테고리매핑,,1), "미등록 카테고리")</f>
        <v>육류/계란</v>
      </c>
      <c r="C1558" t="s">
        <v>149</v>
      </c>
      <c r="D1558" t="str">
        <f>VLOOKUP(C1558, '[1]VLOOKUP 함수용 카테고리'!$A$1:$B$59, 2, 0)</f>
        <v>RAW_MEAT</v>
      </c>
      <c r="E1558" t="s">
        <v>266</v>
      </c>
      <c r="F1558" t="s">
        <v>1425</v>
      </c>
    </row>
    <row r="1559" spans="1:6" x14ac:dyDescent="0.3">
      <c r="A1559" t="s">
        <v>2916</v>
      </c>
      <c r="B1559" t="str" cm="1">
        <f t="array" ref="B1559">_xlfn.XLOOKUP(C1559, INDEX([1]!카테고리매핑,,2), INDEX([1]!카테고리매핑,,1), "미등록 카테고리")</f>
        <v>유제품</v>
      </c>
      <c r="C1559" t="s">
        <v>123</v>
      </c>
      <c r="D1559" t="str">
        <f>VLOOKUP(C1559, '[1]VLOOKUP 함수용 카테고리'!$A$1:$B$59, 2, 0)</f>
        <v>DAIRY</v>
      </c>
      <c r="E1559" t="s">
        <v>190</v>
      </c>
      <c r="F1559" t="s">
        <v>623</v>
      </c>
    </row>
    <row r="1560" spans="1:6" x14ac:dyDescent="0.3">
      <c r="A1560" t="s">
        <v>2917</v>
      </c>
      <c r="B1560" t="str" cm="1">
        <f t="array" ref="B1560">_xlfn.XLOOKUP(C1560, INDEX([1]!카테고리매핑,,2), INDEX([1]!카테고리매핑,,1), "미등록 카테고리")</f>
        <v>간편식</v>
      </c>
      <c r="C1560" t="s">
        <v>161</v>
      </c>
      <c r="D1560" t="str">
        <f>VLOOKUP(C1560, '[1]VLOOKUP 함수용 카테고리'!$A$1:$B$59, 2, 0)</f>
        <v>RTC_MEAL</v>
      </c>
      <c r="E1560" t="s">
        <v>162</v>
      </c>
      <c r="F1560" t="s">
        <v>1625</v>
      </c>
    </row>
    <row r="1561" spans="1:6" x14ac:dyDescent="0.3">
      <c r="A1561" t="s">
        <v>2918</v>
      </c>
      <c r="B1561" t="str" cm="1">
        <f t="array" ref="B1561">_xlfn.XLOOKUP(C1561, INDEX([1]!카테고리매핑,,2), INDEX([1]!카테고리매핑,,1), "미등록 카테고리")</f>
        <v>조미료</v>
      </c>
      <c r="C1561" t="s">
        <v>117</v>
      </c>
      <c r="D1561" t="str">
        <f>VLOOKUP(C1561, '[1]VLOOKUP 함수용 카테고리'!$A$1:$B$59, 2, 0)</f>
        <v>SAUCE_SEASONING</v>
      </c>
      <c r="E1561" t="s">
        <v>118</v>
      </c>
      <c r="F1561" t="s">
        <v>646</v>
      </c>
    </row>
    <row r="1562" spans="1:6" x14ac:dyDescent="0.3">
      <c r="A1562" t="s">
        <v>2919</v>
      </c>
      <c r="B1562" t="str" cm="1">
        <f t="array" ref="B1562">_xlfn.XLOOKUP(C1562, INDEX([1]!카테고리매핑,,2), INDEX([1]!카테고리매핑,,1), "미등록 카테고리")</f>
        <v>육류/계란</v>
      </c>
      <c r="C1562" t="s">
        <v>298</v>
      </c>
      <c r="D1562" t="str">
        <f>VLOOKUP(C1562, '[1]VLOOKUP 함수용 카테고리'!$A$1:$B$59, 2, 0)</f>
        <v>RAW_MEAT</v>
      </c>
      <c r="E1562" t="s">
        <v>298</v>
      </c>
      <c r="F1562" t="s">
        <v>571</v>
      </c>
    </row>
    <row r="1563" spans="1:6" x14ac:dyDescent="0.3">
      <c r="A1563" t="s">
        <v>2920</v>
      </c>
      <c r="B1563" t="str" cm="1">
        <f t="array" ref="B1563">_xlfn.XLOOKUP(C1563, INDEX([1]!카테고리매핑,,2), INDEX([1]!카테고리매핑,,1), "미등록 카테고리")</f>
        <v>간식류</v>
      </c>
      <c r="C1563" t="s">
        <v>11</v>
      </c>
      <c r="D1563" t="str">
        <f>VLOOKUP(C1563, '[1]VLOOKUP 함수용 카테고리'!$A$1:$B$59, 2, 0)</f>
        <v>SNACK</v>
      </c>
      <c r="E1563" t="s">
        <v>371</v>
      </c>
      <c r="F1563" t="s">
        <v>2921</v>
      </c>
    </row>
    <row r="1564" spans="1:6" x14ac:dyDescent="0.3">
      <c r="A1564" t="s">
        <v>2922</v>
      </c>
      <c r="B1564" t="str" cm="1">
        <f t="array" ref="B1564">_xlfn.XLOOKUP(C1564, INDEX([1]!카테고리매핑,,2), INDEX([1]!카테고리매핑,,1), "미등록 카테고리")</f>
        <v>간편식</v>
      </c>
      <c r="C1564" t="s">
        <v>46</v>
      </c>
      <c r="D1564" t="str">
        <f>VLOOKUP(C1564, '[1]VLOOKUP 함수용 카테고리'!$A$1:$B$59, 2, 0)</f>
        <v>RTC_MEAL</v>
      </c>
      <c r="E1564" t="s">
        <v>46</v>
      </c>
      <c r="F1564" t="s">
        <v>798</v>
      </c>
    </row>
    <row r="1565" spans="1:6" x14ac:dyDescent="0.3">
      <c r="A1565" t="s">
        <v>2923</v>
      </c>
      <c r="B1565" t="str" cm="1">
        <f t="array" ref="B1565">_xlfn.XLOOKUP(C1565, INDEX([1]!카테고리매핑,,2), INDEX([1]!카테고리매핑,,1), "미등록 카테고리")</f>
        <v>미등록 카테고리</v>
      </c>
      <c r="C1565" t="s">
        <v>334</v>
      </c>
      <c r="D1565" t="str">
        <f>VLOOKUP(C1565, '[1]VLOOKUP 함수용 카테고리'!$A$1:$B$59, 2, 0)</f>
        <v>UNKNOWN</v>
      </c>
      <c r="E1565" t="s">
        <v>334</v>
      </c>
      <c r="F1565" t="s">
        <v>702</v>
      </c>
    </row>
    <row r="1566" spans="1:6" x14ac:dyDescent="0.3">
      <c r="A1566" t="s">
        <v>2924</v>
      </c>
      <c r="B1566" t="str" cm="1">
        <f t="array" ref="B1566">_xlfn.XLOOKUP(C1566, INDEX([1]!카테고리매핑,,2), INDEX([1]!카테고리매핑,,1), "미등록 카테고리")</f>
        <v>유제품</v>
      </c>
      <c r="C1566" t="s">
        <v>211</v>
      </c>
      <c r="D1566" t="str">
        <f>VLOOKUP(C1566, '[1]VLOOKUP 함수용 카테고리'!$A$1:$B$59, 2, 0)</f>
        <v>DAIRY</v>
      </c>
      <c r="E1566" t="s">
        <v>212</v>
      </c>
      <c r="F1566" t="s">
        <v>7803</v>
      </c>
    </row>
    <row r="1567" spans="1:6" x14ac:dyDescent="0.3">
      <c r="A1567" t="s">
        <v>2925</v>
      </c>
      <c r="B1567" t="str" cm="1">
        <f t="array" ref="B1567">_xlfn.XLOOKUP(C1567, INDEX([1]!카테고리매핑,,2), INDEX([1]!카테고리매핑,,1), "미등록 카테고리")</f>
        <v>채소/곡물류</v>
      </c>
      <c r="C1567" t="s">
        <v>7</v>
      </c>
      <c r="D1567" t="str">
        <f>VLOOKUP(C1567, '[1]VLOOKUP 함수용 카테고리'!$A$1:$B$59, 2, 0)</f>
        <v>RAW_PRODUCE</v>
      </c>
      <c r="E1567" t="s">
        <v>1222</v>
      </c>
      <c r="F1567" t="s">
        <v>1222</v>
      </c>
    </row>
    <row r="1568" spans="1:6" x14ac:dyDescent="0.3">
      <c r="A1568" t="s">
        <v>2926</v>
      </c>
      <c r="B1568" t="str" cm="1">
        <f t="array" ref="B1568">_xlfn.XLOOKUP(C1568, INDEX([1]!카테고리매핑,,2), INDEX([1]!카테고리매핑,,1), "미등록 카테고리")</f>
        <v>간편식</v>
      </c>
      <c r="C1568" t="s">
        <v>256</v>
      </c>
      <c r="D1568" t="str">
        <f>VLOOKUP(C1568, '[1]VLOOKUP 함수용 카테고리'!$A$1:$B$59, 2, 0)</f>
        <v>RTC_MEAL</v>
      </c>
      <c r="E1568" t="s">
        <v>256</v>
      </c>
      <c r="F1568" t="s">
        <v>2927</v>
      </c>
    </row>
    <row r="1569" spans="1:6" x14ac:dyDescent="0.3">
      <c r="A1569" t="s">
        <v>2928</v>
      </c>
      <c r="B1569" t="str" cm="1">
        <f t="array" ref="B1569">_xlfn.XLOOKUP(C1569, INDEX([1]!카테고리매핑,,2), INDEX([1]!카테고리매핑,,1), "미등록 카테고리")</f>
        <v>육류/계란</v>
      </c>
      <c r="C1569" t="s">
        <v>428</v>
      </c>
      <c r="D1569" t="str">
        <f>VLOOKUP(C1569, '[1]VLOOKUP 함수용 카테고리'!$A$1:$B$59, 2, 0)</f>
        <v>PROCESSED_MEAT</v>
      </c>
      <c r="E1569" t="s">
        <v>943</v>
      </c>
      <c r="F1569" t="s">
        <v>1834</v>
      </c>
    </row>
    <row r="1570" spans="1:6" x14ac:dyDescent="0.3">
      <c r="A1570" t="s">
        <v>2929</v>
      </c>
      <c r="B1570" t="str" cm="1">
        <f t="array" ref="B1570">_xlfn.XLOOKUP(C1570, INDEX([1]!카테고리매핑,,2), INDEX([1]!카테고리매핑,,1), "미등록 카테고리")</f>
        <v>간식류</v>
      </c>
      <c r="C1570" t="s">
        <v>63</v>
      </c>
      <c r="D1570" t="str">
        <f>VLOOKUP(C1570, '[1]VLOOKUP 함수용 카테고리'!$A$1:$B$59, 2, 0)</f>
        <v>BAKERY</v>
      </c>
      <c r="E1570" t="s">
        <v>2930</v>
      </c>
      <c r="F1570" t="s">
        <v>497</v>
      </c>
    </row>
    <row r="1571" spans="1:6" x14ac:dyDescent="0.3">
      <c r="A1571" t="s">
        <v>2931</v>
      </c>
      <c r="B1571" t="str" cm="1">
        <f t="array" ref="B1571">_xlfn.XLOOKUP(C1571, INDEX([1]!카테고리매핑,,2), INDEX([1]!카테고리매핑,,1), "미등록 카테고리")</f>
        <v>육류/계란</v>
      </c>
      <c r="C1571" t="s">
        <v>149</v>
      </c>
      <c r="D1571" t="str">
        <f>VLOOKUP(C1571, '[1]VLOOKUP 함수용 카테고리'!$A$1:$B$59, 2, 0)</f>
        <v>RAW_MEAT</v>
      </c>
      <c r="E1571" t="s">
        <v>1630</v>
      </c>
      <c r="F1571" t="s">
        <v>151</v>
      </c>
    </row>
    <row r="1572" spans="1:6" x14ac:dyDescent="0.3">
      <c r="A1572" t="s">
        <v>2932</v>
      </c>
      <c r="B1572" t="str" cm="1">
        <f t="array" ref="B1572">_xlfn.XLOOKUP(C1572, INDEX([1]!카테고리매핑,,2), INDEX([1]!카테고리매핑,,1), "미등록 카테고리")</f>
        <v>간식류</v>
      </c>
      <c r="C1572" t="s">
        <v>38</v>
      </c>
      <c r="D1572" t="str">
        <f>VLOOKUP(C1572, '[1]VLOOKUP 함수용 카테고리'!$A$1:$B$59, 2, 0)</f>
        <v>SNACK</v>
      </c>
      <c r="E1572" t="s">
        <v>2017</v>
      </c>
      <c r="F1572" t="s">
        <v>734</v>
      </c>
    </row>
    <row r="1573" spans="1:6" x14ac:dyDescent="0.3">
      <c r="A1573" t="s">
        <v>2933</v>
      </c>
      <c r="B1573" t="str" cm="1">
        <f t="array" ref="B1573">_xlfn.XLOOKUP(C1573, INDEX([1]!카테고리매핑,,2), INDEX([1]!카테고리매핑,,1), "미등록 카테고리")</f>
        <v>간편식</v>
      </c>
      <c r="C1573" t="s">
        <v>131</v>
      </c>
      <c r="D1573" t="str">
        <f>VLOOKUP(C1573, '[1]VLOOKUP 함수용 카테고리'!$A$1:$B$59, 2, 0)</f>
        <v>SIMPLE_PROCESSED</v>
      </c>
      <c r="E1573" t="s">
        <v>755</v>
      </c>
      <c r="F1573" t="s">
        <v>303</v>
      </c>
    </row>
    <row r="1574" spans="1:6" x14ac:dyDescent="0.3">
      <c r="A1574" t="s">
        <v>2934</v>
      </c>
      <c r="B1574" t="str" cm="1">
        <f t="array" ref="B1574">_xlfn.XLOOKUP(C1574, INDEX([1]!카테고리매핑,,2), INDEX([1]!카테고리매핑,,1), "미등록 카테고리")</f>
        <v>유제품</v>
      </c>
      <c r="C1574" t="s">
        <v>98</v>
      </c>
      <c r="D1574" t="str">
        <f>VLOOKUP(C1574, '[1]VLOOKUP 함수용 카테고리'!$A$1:$B$59, 2, 0)</f>
        <v>DAIRY</v>
      </c>
      <c r="E1574" t="s">
        <v>2935</v>
      </c>
      <c r="F1574" t="s">
        <v>1572</v>
      </c>
    </row>
    <row r="1575" spans="1:6" x14ac:dyDescent="0.3">
      <c r="A1575" t="s">
        <v>2936</v>
      </c>
      <c r="B1575" t="str" cm="1">
        <f t="array" ref="B1575">_xlfn.XLOOKUP(C1575, INDEX([1]!카테고리매핑,,2), INDEX([1]!카테고리매핑,,1), "미등록 카테고리")</f>
        <v>조미료</v>
      </c>
      <c r="C1575" t="s">
        <v>83</v>
      </c>
      <c r="D1575" t="str">
        <f>VLOOKUP(C1575, '[1]VLOOKUP 함수용 카테고리'!$A$1:$B$59, 2, 0)</f>
        <v>SAUCE_SEASONING</v>
      </c>
      <c r="E1575" t="s">
        <v>2056</v>
      </c>
      <c r="F1575" t="s">
        <v>2057</v>
      </c>
    </row>
    <row r="1576" spans="1:6" x14ac:dyDescent="0.3">
      <c r="A1576" t="s">
        <v>2937</v>
      </c>
      <c r="B1576" t="str" cm="1">
        <f t="array" ref="B1576">_xlfn.XLOOKUP(C1576, INDEX([1]!카테고리매핑,,2), INDEX([1]!카테고리매핑,,1), "미등록 카테고리")</f>
        <v>간편식</v>
      </c>
      <c r="C1576" t="s">
        <v>256</v>
      </c>
      <c r="D1576" t="str">
        <f>VLOOKUP(C1576, '[1]VLOOKUP 함수용 카테고리'!$A$1:$B$59, 2, 0)</f>
        <v>RTC_MEAL</v>
      </c>
      <c r="E1576" t="s">
        <v>256</v>
      </c>
      <c r="F1576" t="s">
        <v>369</v>
      </c>
    </row>
    <row r="1577" spans="1:6" x14ac:dyDescent="0.3">
      <c r="A1577" t="s">
        <v>2938</v>
      </c>
      <c r="B1577" t="str" cm="1">
        <f t="array" ref="B1577">_xlfn.XLOOKUP(C1577, INDEX([1]!카테고리매핑,,2), INDEX([1]!카테고리매핑,,1), "미등록 카테고리")</f>
        <v>과일/견과류</v>
      </c>
      <c r="C1577" t="s">
        <v>1179</v>
      </c>
      <c r="D1577" t="str">
        <f>VLOOKUP(C1577, '[1]VLOOKUP 함수용 카테고리'!$A$1:$B$59, 2, 0)</f>
        <v>RAW_FRUIT</v>
      </c>
      <c r="E1577" t="s">
        <v>1238</v>
      </c>
      <c r="F1577" t="s">
        <v>2939</v>
      </c>
    </row>
    <row r="1578" spans="1:6" x14ac:dyDescent="0.3">
      <c r="A1578" t="s">
        <v>2940</v>
      </c>
      <c r="B1578" t="str" cm="1">
        <f t="array" ref="B1578">_xlfn.XLOOKUP(C1578, INDEX([1]!카테고리매핑,,2), INDEX([1]!카테고리매핑,,1), "미등록 카테고리")</f>
        <v>육류/계란</v>
      </c>
      <c r="C1578" t="s">
        <v>34</v>
      </c>
      <c r="D1578" t="str">
        <f>VLOOKUP(C1578, '[1]VLOOKUP 함수용 카테고리'!$A$1:$B$59, 2, 0)</f>
        <v>RAW_MEAT</v>
      </c>
      <c r="E1578" t="s">
        <v>2941</v>
      </c>
      <c r="F1578" t="s">
        <v>36</v>
      </c>
    </row>
    <row r="1579" spans="1:6" x14ac:dyDescent="0.3">
      <c r="A1579" t="s">
        <v>2942</v>
      </c>
      <c r="B1579" t="str" cm="1">
        <f t="array" ref="B1579">_xlfn.XLOOKUP(C1579, INDEX([1]!카테고리매핑,,2), INDEX([1]!카테고리매핑,,1), "미등록 카테고리")</f>
        <v>조미료</v>
      </c>
      <c r="C1579" t="s">
        <v>127</v>
      </c>
      <c r="D1579" t="str">
        <f>VLOOKUP(C1579, '[1]VLOOKUP 함수용 카테고리'!$A$1:$B$59, 2, 0)</f>
        <v>SAUCE_SEASONING</v>
      </c>
      <c r="E1579" t="s">
        <v>171</v>
      </c>
      <c r="F1579" t="s">
        <v>2943</v>
      </c>
    </row>
    <row r="1580" spans="1:6" x14ac:dyDescent="0.3">
      <c r="A1580" t="s">
        <v>2944</v>
      </c>
      <c r="B1580" t="str" cm="1">
        <f t="array" ref="B1580">_xlfn.XLOOKUP(C1580, INDEX([1]!카테고리매핑,,2), INDEX([1]!카테고리매핑,,1), "미등록 카테고리")</f>
        <v>상온식품</v>
      </c>
      <c r="C1580" t="s">
        <v>769</v>
      </c>
      <c r="D1580" t="str">
        <f>VLOOKUP(C1580, '[1]VLOOKUP 함수용 카테고리'!$A$1:$B$59, 2, 0)</f>
        <v>GRAIN</v>
      </c>
      <c r="E1580" t="s">
        <v>770</v>
      </c>
      <c r="F1580" t="s">
        <v>2945</v>
      </c>
    </row>
    <row r="1581" spans="1:6" x14ac:dyDescent="0.3">
      <c r="A1581" t="s">
        <v>2946</v>
      </c>
      <c r="B1581" t="str" cm="1">
        <f t="array" ref="B1581">_xlfn.XLOOKUP(C1581, INDEX([1]!카테고리매핑,,2), INDEX([1]!카테고리매핑,,1), "미등록 카테고리")</f>
        <v>유제품</v>
      </c>
      <c r="C1581" t="s">
        <v>123</v>
      </c>
      <c r="D1581" t="str">
        <f>VLOOKUP(C1581, '[1]VLOOKUP 함수용 카테고리'!$A$1:$B$59, 2, 0)</f>
        <v>DAIRY</v>
      </c>
      <c r="E1581" t="s">
        <v>190</v>
      </c>
      <c r="F1581" t="s">
        <v>2947</v>
      </c>
    </row>
    <row r="1582" spans="1:6" x14ac:dyDescent="0.3">
      <c r="A1582" t="s">
        <v>2948</v>
      </c>
      <c r="B1582" t="str" cm="1">
        <f t="array" ref="B1582">_xlfn.XLOOKUP(C1582, INDEX([1]!카테고리매핑,,2), INDEX([1]!카테고리매핑,,1), "미등록 카테고리")</f>
        <v>유제품</v>
      </c>
      <c r="C1582" t="s">
        <v>98</v>
      </c>
      <c r="D1582" t="str">
        <f>VLOOKUP(C1582, '[1]VLOOKUP 함수용 카테고리'!$A$1:$B$59, 2, 0)</f>
        <v>DAIRY</v>
      </c>
      <c r="E1582" t="s">
        <v>2949</v>
      </c>
      <c r="F1582" t="s">
        <v>2950</v>
      </c>
    </row>
    <row r="1583" spans="1:6" x14ac:dyDescent="0.3">
      <c r="A1583" t="s">
        <v>2951</v>
      </c>
      <c r="B1583" t="str" cm="1">
        <f t="array" ref="B1583">_xlfn.XLOOKUP(C1583, INDEX([1]!카테고리매핑,,2), INDEX([1]!카테고리매핑,,1), "미등록 카테고리")</f>
        <v>유제품</v>
      </c>
      <c r="C1583" t="s">
        <v>123</v>
      </c>
      <c r="D1583" t="str">
        <f>VLOOKUP(C1583, '[1]VLOOKUP 함수용 카테고리'!$A$1:$B$59, 2, 0)</f>
        <v>DAIRY</v>
      </c>
      <c r="E1583" t="s">
        <v>367</v>
      </c>
      <c r="F1583" t="s">
        <v>1663</v>
      </c>
    </row>
    <row r="1584" spans="1:6" x14ac:dyDescent="0.3">
      <c r="A1584" t="s">
        <v>2952</v>
      </c>
      <c r="B1584" t="str" cm="1">
        <f t="array" ref="B1584">_xlfn.XLOOKUP(C1584, INDEX([1]!카테고리매핑,,2), INDEX([1]!카테고리매핑,,1), "미등록 카테고리")</f>
        <v>조미료</v>
      </c>
      <c r="C1584" t="s">
        <v>127</v>
      </c>
      <c r="D1584" t="str">
        <f>VLOOKUP(C1584, '[1]VLOOKUP 함수용 카테고리'!$A$1:$B$59, 2, 0)</f>
        <v>SAUCE_SEASONING</v>
      </c>
      <c r="E1584" t="s">
        <v>2953</v>
      </c>
      <c r="F1584" t="s">
        <v>2954</v>
      </c>
    </row>
    <row r="1585" spans="1:6" x14ac:dyDescent="0.3">
      <c r="A1585" t="s">
        <v>2955</v>
      </c>
      <c r="B1585" t="str" cm="1">
        <f t="array" ref="B1585">_xlfn.XLOOKUP(C1585, INDEX([1]!카테고리매핑,,2), INDEX([1]!카테고리매핑,,1), "미등록 카테고리")</f>
        <v>간편식</v>
      </c>
      <c r="C1585" t="s">
        <v>158</v>
      </c>
      <c r="D1585" t="str">
        <f>VLOOKUP(C1585, '[1]VLOOKUP 함수용 카테고리'!$A$1:$B$59, 2, 0)</f>
        <v>INSTANT</v>
      </c>
      <c r="E1585" t="s">
        <v>603</v>
      </c>
      <c r="F1585" t="s">
        <v>154</v>
      </c>
    </row>
    <row r="1586" spans="1:6" x14ac:dyDescent="0.3">
      <c r="A1586" t="s">
        <v>2956</v>
      </c>
      <c r="B1586" t="str" cm="1">
        <f t="array" ref="B1586">_xlfn.XLOOKUP(C1586, INDEX([1]!카테고리매핑,,2), INDEX([1]!카테고리매핑,,1), "미등록 카테고리")</f>
        <v>수산물</v>
      </c>
      <c r="C1586" t="s">
        <v>101</v>
      </c>
      <c r="D1586" t="str">
        <f>VLOOKUP(C1586, '[1]VLOOKUP 함수용 카테고리'!$A$1:$B$59, 2, 0)</f>
        <v>DRIED_SEAFOOD</v>
      </c>
      <c r="E1586" t="s">
        <v>1706</v>
      </c>
      <c r="F1586" t="s">
        <v>1065</v>
      </c>
    </row>
    <row r="1587" spans="1:6" x14ac:dyDescent="0.3">
      <c r="A1587" t="s">
        <v>2957</v>
      </c>
      <c r="B1587" t="str" cm="1">
        <f t="array" ref="B1587">_xlfn.XLOOKUP(C1587, INDEX([1]!카테고리매핑,,2), INDEX([1]!카테고리매핑,,1), "미등록 카테고리")</f>
        <v>채소/곡물류</v>
      </c>
      <c r="C1587" t="s">
        <v>7</v>
      </c>
      <c r="D1587" t="str">
        <f>VLOOKUP(C1587, '[1]VLOOKUP 함수용 카테고리'!$A$1:$B$59, 2, 0)</f>
        <v>RAW_PRODUCE</v>
      </c>
      <c r="E1587" t="s">
        <v>50</v>
      </c>
      <c r="F1587" t="s">
        <v>760</v>
      </c>
    </row>
    <row r="1588" spans="1:6" x14ac:dyDescent="0.3">
      <c r="A1588" t="s">
        <v>2958</v>
      </c>
      <c r="B1588" t="str" cm="1">
        <f t="array" ref="B1588">_xlfn.XLOOKUP(C1588, INDEX([1]!카테고리매핑,,2), INDEX([1]!카테고리매핑,,1), "미등록 카테고리")</f>
        <v>간식류</v>
      </c>
      <c r="C1588" t="s">
        <v>38</v>
      </c>
      <c r="D1588" t="str">
        <f>VLOOKUP(C1588, '[1]VLOOKUP 함수용 카테고리'!$A$1:$B$59, 2, 0)</f>
        <v>SNACK</v>
      </c>
      <c r="E1588" t="s">
        <v>39</v>
      </c>
      <c r="F1588" t="s">
        <v>246</v>
      </c>
    </row>
    <row r="1589" spans="1:6" x14ac:dyDescent="0.3">
      <c r="A1589" t="s">
        <v>2959</v>
      </c>
      <c r="B1589" t="str" cm="1">
        <f t="array" ref="B1589">_xlfn.XLOOKUP(C1589, INDEX([1]!카테고리매핑,,2), INDEX([1]!카테고리매핑,,1), "미등록 카테고리")</f>
        <v>간편식</v>
      </c>
      <c r="C1589" t="s">
        <v>46</v>
      </c>
      <c r="D1589" t="str">
        <f>VLOOKUP(C1589, '[1]VLOOKUP 함수용 카테고리'!$A$1:$B$59, 2, 0)</f>
        <v>RTC_MEAL</v>
      </c>
      <c r="E1589" t="s">
        <v>46</v>
      </c>
      <c r="F1589" t="s">
        <v>568</v>
      </c>
    </row>
    <row r="1590" spans="1:6" x14ac:dyDescent="0.3">
      <c r="A1590" t="s">
        <v>2960</v>
      </c>
      <c r="B1590" t="str" cm="1">
        <f t="array" ref="B1590">_xlfn.XLOOKUP(C1590, INDEX([1]!카테고리매핑,,2), INDEX([1]!카테고리매핑,,1), "미등록 카테고리")</f>
        <v>간식류</v>
      </c>
      <c r="C1590" t="s">
        <v>11</v>
      </c>
      <c r="D1590" t="str">
        <f>VLOOKUP(C1590, '[1]VLOOKUP 함수용 카테고리'!$A$1:$B$59, 2, 0)</f>
        <v>SNACK</v>
      </c>
      <c r="E1590" t="s">
        <v>2961</v>
      </c>
      <c r="F1590" t="s">
        <v>545</v>
      </c>
    </row>
    <row r="1591" spans="1:6" x14ac:dyDescent="0.3">
      <c r="A1591" t="s">
        <v>2962</v>
      </c>
      <c r="B1591" t="str" cm="1">
        <f t="array" ref="B1591">_xlfn.XLOOKUP(C1591, INDEX([1]!카테고리매핑,,2), INDEX([1]!카테고리매핑,,1), "미등록 카테고리")</f>
        <v>간편식</v>
      </c>
      <c r="C1591" t="s">
        <v>46</v>
      </c>
      <c r="D1591" t="str">
        <f>VLOOKUP(C1591, '[1]VLOOKUP 함수용 카테고리'!$A$1:$B$59, 2, 0)</f>
        <v>RTC_MEAL</v>
      </c>
      <c r="E1591" t="s">
        <v>46</v>
      </c>
      <c r="F1591" t="s">
        <v>246</v>
      </c>
    </row>
    <row r="1592" spans="1:6" x14ac:dyDescent="0.3">
      <c r="A1592" t="s">
        <v>2963</v>
      </c>
      <c r="B1592" t="str" cm="1">
        <f t="array" ref="B1592">_xlfn.XLOOKUP(C1592, INDEX([1]!카테고리매핑,,2), INDEX([1]!카테고리매핑,,1), "미등록 카테고리")</f>
        <v>채소/곡물류</v>
      </c>
      <c r="C1592" t="s">
        <v>7</v>
      </c>
      <c r="D1592" t="str">
        <f>VLOOKUP(C1592, '[1]VLOOKUP 함수용 카테고리'!$A$1:$B$59, 2, 0)</f>
        <v>RAW_PRODUCE</v>
      </c>
      <c r="E1592" t="s">
        <v>1177</v>
      </c>
      <c r="F1592" t="s">
        <v>941</v>
      </c>
    </row>
    <row r="1593" spans="1:6" x14ac:dyDescent="0.3">
      <c r="A1593" t="s">
        <v>2964</v>
      </c>
      <c r="B1593" t="str" cm="1">
        <f t="array" ref="B1593">_xlfn.XLOOKUP(C1593, INDEX([1]!카테고리매핑,,2), INDEX([1]!카테고리매핑,,1), "미등록 카테고리")</f>
        <v>간식류</v>
      </c>
      <c r="C1593" t="s">
        <v>15</v>
      </c>
      <c r="D1593" t="str">
        <f>VLOOKUP(C1593, '[1]VLOOKUP 함수용 카테고리'!$A$1:$B$59, 2, 0)</f>
        <v>BAKERY</v>
      </c>
      <c r="E1593" t="s">
        <v>1011</v>
      </c>
      <c r="F1593" t="s">
        <v>2462</v>
      </c>
    </row>
    <row r="1594" spans="1:6" x14ac:dyDescent="0.3">
      <c r="A1594" t="s">
        <v>2965</v>
      </c>
      <c r="B1594" t="str" cm="1">
        <f t="array" ref="B1594">_xlfn.XLOOKUP(C1594, INDEX([1]!카테고리매핑,,2), INDEX([1]!카테고리매핑,,1), "미등록 카테고리")</f>
        <v>간식류</v>
      </c>
      <c r="C1594" t="s">
        <v>11</v>
      </c>
      <c r="D1594" t="str">
        <f>VLOOKUP(C1594, '[1]VLOOKUP 함수용 카테고리'!$A$1:$B$59, 2, 0)</f>
        <v>SNACK</v>
      </c>
      <c r="E1594" t="s">
        <v>81</v>
      </c>
      <c r="F1594" t="s">
        <v>1021</v>
      </c>
    </row>
    <row r="1595" spans="1:6" x14ac:dyDescent="0.3">
      <c r="A1595" t="s">
        <v>2966</v>
      </c>
      <c r="B1595" t="str" cm="1">
        <f t="array" ref="B1595">_xlfn.XLOOKUP(C1595, INDEX([1]!카테고리매핑,,2), INDEX([1]!카테고리매핑,,1), "미등록 카테고리")</f>
        <v>간편식</v>
      </c>
      <c r="C1595" t="s">
        <v>131</v>
      </c>
      <c r="D1595" t="str">
        <f>VLOOKUP(C1595, '[1]VLOOKUP 함수용 카테고리'!$A$1:$B$59, 2, 0)</f>
        <v>SIMPLE_PROCESSED</v>
      </c>
      <c r="E1595" t="s">
        <v>2967</v>
      </c>
      <c r="F1595" t="s">
        <v>1457</v>
      </c>
    </row>
    <row r="1596" spans="1:6" x14ac:dyDescent="0.3">
      <c r="A1596" t="s">
        <v>2968</v>
      </c>
      <c r="B1596" t="str" cm="1">
        <f t="array" ref="B1596">_xlfn.XLOOKUP(C1596, INDEX([1]!카테고리매핑,,2), INDEX([1]!카테고리매핑,,1), "미등록 카테고리")</f>
        <v>간식류</v>
      </c>
      <c r="C1596" t="s">
        <v>11</v>
      </c>
      <c r="D1596" t="str">
        <f>VLOOKUP(C1596, '[1]VLOOKUP 함수용 카테고리'!$A$1:$B$59, 2, 0)</f>
        <v>SNACK</v>
      </c>
      <c r="E1596" t="s">
        <v>81</v>
      </c>
      <c r="F1596" t="s">
        <v>2969</v>
      </c>
    </row>
    <row r="1597" spans="1:6" x14ac:dyDescent="0.3">
      <c r="A1597" t="s">
        <v>2970</v>
      </c>
      <c r="B1597" t="str" cm="1">
        <f t="array" ref="B1597">_xlfn.XLOOKUP(C1597, INDEX([1]!카테고리매핑,,2), INDEX([1]!카테고리매핑,,1), "미등록 카테고리")</f>
        <v>음료</v>
      </c>
      <c r="C1597" t="s">
        <v>708</v>
      </c>
      <c r="D1597" t="str">
        <f>VLOOKUP(C1597, '[1]VLOOKUP 함수용 카테고리'!$A$1:$B$59, 2, 0)</f>
        <v>BEVERAGE</v>
      </c>
      <c r="E1597" t="s">
        <v>708</v>
      </c>
      <c r="F1597" t="s">
        <v>1890</v>
      </c>
    </row>
    <row r="1598" spans="1:6" x14ac:dyDescent="0.3">
      <c r="A1598" t="s">
        <v>2971</v>
      </c>
      <c r="B1598" t="str" cm="1">
        <f t="array" ref="B1598">_xlfn.XLOOKUP(C1598, INDEX([1]!카테고리매핑,,2), INDEX([1]!카테고리매핑,,1), "미등록 카테고리")</f>
        <v>채소/곡물류</v>
      </c>
      <c r="C1598" t="s">
        <v>7</v>
      </c>
      <c r="D1598" t="str">
        <f>VLOOKUP(C1598, '[1]VLOOKUP 함수용 카테고리'!$A$1:$B$59, 2, 0)</f>
        <v>RAW_PRODUCE</v>
      </c>
      <c r="E1598" t="s">
        <v>2972</v>
      </c>
      <c r="F1598" t="s">
        <v>941</v>
      </c>
    </row>
    <row r="1599" spans="1:6" x14ac:dyDescent="0.3">
      <c r="A1599" t="s">
        <v>2973</v>
      </c>
      <c r="B1599" t="str" cm="1">
        <f t="array" ref="B1599">_xlfn.XLOOKUP(C1599, INDEX([1]!카테고리매핑,,2), INDEX([1]!카테고리매핑,,1), "미등록 카테고리")</f>
        <v>간편식</v>
      </c>
      <c r="C1599" t="s">
        <v>19</v>
      </c>
      <c r="D1599" t="str">
        <f>VLOOKUP(C1599, '[1]VLOOKUP 함수용 카테고리'!$A$1:$B$59, 2, 0)</f>
        <v>FROZEN_MEAL</v>
      </c>
      <c r="E1599" t="s">
        <v>245</v>
      </c>
      <c r="F1599" t="s">
        <v>541</v>
      </c>
    </row>
    <row r="1600" spans="1:6" x14ac:dyDescent="0.3">
      <c r="A1600" t="s">
        <v>2974</v>
      </c>
      <c r="B1600" t="str" cm="1">
        <f t="array" ref="B1600">_xlfn.XLOOKUP(C1600, INDEX([1]!카테고리매핑,,2), INDEX([1]!카테고리매핑,,1), "미등록 카테고리")</f>
        <v>간식류</v>
      </c>
      <c r="C1600" t="s">
        <v>63</v>
      </c>
      <c r="D1600" t="str">
        <f>VLOOKUP(C1600, '[1]VLOOKUP 함수용 카테고리'!$A$1:$B$59, 2, 0)</f>
        <v>BAKERY</v>
      </c>
      <c r="E1600" t="s">
        <v>1594</v>
      </c>
      <c r="F1600" t="s">
        <v>2975</v>
      </c>
    </row>
    <row r="1601" spans="1:6" x14ac:dyDescent="0.3">
      <c r="A1601" t="s">
        <v>2976</v>
      </c>
      <c r="B1601" t="str" cm="1">
        <f t="array" ref="B1601">_xlfn.XLOOKUP(C1601, INDEX([1]!카테고리매핑,,2), INDEX([1]!카테고리매핑,,1), "미등록 카테고리")</f>
        <v>채소/곡물류</v>
      </c>
      <c r="C1601" t="s">
        <v>207</v>
      </c>
      <c r="D1601" t="str">
        <f>VLOOKUP(C1601, '[1]VLOOKUP 함수용 카테고리'!$A$1:$B$59, 2, 0)</f>
        <v>GRAIN</v>
      </c>
      <c r="E1601" t="s">
        <v>2588</v>
      </c>
      <c r="F1601" t="s">
        <v>2977</v>
      </c>
    </row>
    <row r="1602" spans="1:6" x14ac:dyDescent="0.3">
      <c r="A1602" t="s">
        <v>2978</v>
      </c>
      <c r="B1602" t="str" cm="1">
        <f t="array" ref="B1602">_xlfn.XLOOKUP(C1602, INDEX([1]!카테고리매핑,,2), INDEX([1]!카테고리매핑,,1), "미등록 카테고리")</f>
        <v>유제품</v>
      </c>
      <c r="C1602" t="s">
        <v>211</v>
      </c>
      <c r="D1602" t="str">
        <f>VLOOKUP(C1602, '[1]VLOOKUP 함수용 카테고리'!$A$1:$B$59, 2, 0)</f>
        <v>DAIRY</v>
      </c>
      <c r="E1602" t="s">
        <v>211</v>
      </c>
      <c r="F1602" t="s">
        <v>2979</v>
      </c>
    </row>
    <row r="1603" spans="1:6" x14ac:dyDescent="0.3">
      <c r="A1603" t="s">
        <v>2980</v>
      </c>
      <c r="B1603" t="str" cm="1">
        <f t="array" ref="B1603">_xlfn.XLOOKUP(C1603, INDEX([1]!카테고리매핑,,2), INDEX([1]!카테고리매핑,,1), "미등록 카테고리")</f>
        <v>상온식품</v>
      </c>
      <c r="C1603" t="s">
        <v>276</v>
      </c>
      <c r="D1603" t="str">
        <f>VLOOKUP(C1603, '[1]VLOOKUP 함수용 카테고리'!$A$1:$B$59, 2, 0)</f>
        <v>DRIED_SEAFOOD</v>
      </c>
      <c r="E1603" t="s">
        <v>277</v>
      </c>
      <c r="F1603" t="s">
        <v>7687</v>
      </c>
    </row>
    <row r="1604" spans="1:6" x14ac:dyDescent="0.3">
      <c r="A1604" t="s">
        <v>2981</v>
      </c>
      <c r="B1604" t="str" cm="1">
        <f t="array" ref="B1604">_xlfn.XLOOKUP(C1604, INDEX([1]!카테고리매핑,,2), INDEX([1]!카테고리매핑,,1), "미등록 카테고리")</f>
        <v>음료</v>
      </c>
      <c r="C1604" t="s">
        <v>23</v>
      </c>
      <c r="D1604" t="str">
        <f>VLOOKUP(C1604, '[1]VLOOKUP 함수용 카테고리'!$A$1:$B$59, 2, 0)</f>
        <v>BEVERAGE</v>
      </c>
      <c r="E1604" t="s">
        <v>323</v>
      </c>
      <c r="F1604" t="s">
        <v>324</v>
      </c>
    </row>
    <row r="1605" spans="1:6" x14ac:dyDescent="0.3">
      <c r="A1605" t="s">
        <v>2982</v>
      </c>
      <c r="B1605" t="str" cm="1">
        <f t="array" ref="B1605">_xlfn.XLOOKUP(C1605, INDEX([1]!카테고리매핑,,2), INDEX([1]!카테고리매핑,,1), "미등록 카테고리")</f>
        <v>조미료</v>
      </c>
      <c r="C1605" t="s">
        <v>558</v>
      </c>
      <c r="D1605" t="str">
        <f>VLOOKUP(C1605, '[1]VLOOKUP 함수용 카테고리'!$A$1:$B$59, 2, 0)</f>
        <v>SAUCE_SEASONING</v>
      </c>
      <c r="E1605" t="s">
        <v>956</v>
      </c>
      <c r="F1605" t="s">
        <v>2983</v>
      </c>
    </row>
    <row r="1606" spans="1:6" x14ac:dyDescent="0.3">
      <c r="A1606" t="s">
        <v>2984</v>
      </c>
      <c r="B1606" t="str" cm="1">
        <f t="array" ref="B1606">_xlfn.XLOOKUP(C1606, INDEX([1]!카테고리매핑,,2), INDEX([1]!카테고리매핑,,1), "미등록 카테고리")</f>
        <v>간편식</v>
      </c>
      <c r="C1606" t="s">
        <v>46</v>
      </c>
      <c r="D1606" t="str">
        <f>VLOOKUP(C1606, '[1]VLOOKUP 함수용 카테고리'!$A$1:$B$59, 2, 0)</f>
        <v>RTC_MEAL</v>
      </c>
      <c r="E1606" t="s">
        <v>46</v>
      </c>
      <c r="F1606" t="s">
        <v>802</v>
      </c>
    </row>
    <row r="1607" spans="1:6" x14ac:dyDescent="0.3">
      <c r="A1607" t="s">
        <v>2985</v>
      </c>
      <c r="B1607" t="str" cm="1">
        <f t="array" ref="B1607">_xlfn.XLOOKUP(C1607, INDEX([1]!카테고리매핑,,2), INDEX([1]!카테고리매핑,,1), "미등록 카테고리")</f>
        <v>간편식</v>
      </c>
      <c r="C1607" t="s">
        <v>46</v>
      </c>
      <c r="D1607" t="str">
        <f>VLOOKUP(C1607, '[1]VLOOKUP 함수용 카테고리'!$A$1:$B$59, 2, 0)</f>
        <v>RTC_MEAL</v>
      </c>
      <c r="E1607" t="s">
        <v>46</v>
      </c>
      <c r="F1607" t="s">
        <v>2986</v>
      </c>
    </row>
    <row r="1608" spans="1:6" x14ac:dyDescent="0.3">
      <c r="A1608" t="s">
        <v>2987</v>
      </c>
      <c r="B1608" t="str" cm="1">
        <f t="array" ref="B1608">_xlfn.XLOOKUP(C1608, INDEX([1]!카테고리매핑,,2), INDEX([1]!카테고리매핑,,1), "미등록 카테고리")</f>
        <v>미등록 카테고리</v>
      </c>
      <c r="C1608" t="s">
        <v>334</v>
      </c>
      <c r="D1608" t="str">
        <f>VLOOKUP(C1608, '[1]VLOOKUP 함수용 카테고리'!$A$1:$B$59, 2, 0)</f>
        <v>UNKNOWN</v>
      </c>
      <c r="E1608" t="s">
        <v>334</v>
      </c>
      <c r="F1608" t="s">
        <v>731</v>
      </c>
    </row>
    <row r="1609" spans="1:6" x14ac:dyDescent="0.3">
      <c r="A1609" t="s">
        <v>2988</v>
      </c>
      <c r="B1609" t="str" cm="1">
        <f t="array" ref="B1609">_xlfn.XLOOKUP(C1609, INDEX([1]!카테고리매핑,,2), INDEX([1]!카테고리매핑,,1), "미등록 카테고리")</f>
        <v>조미료</v>
      </c>
      <c r="C1609" t="s">
        <v>84</v>
      </c>
      <c r="D1609" t="str">
        <f>VLOOKUP(C1609, '[1]VLOOKUP 함수용 카테고리'!$A$1:$B$59, 2, 0)</f>
        <v>SAUCE_SEASONING</v>
      </c>
      <c r="E1609" t="s">
        <v>85</v>
      </c>
      <c r="F1609" t="s">
        <v>2989</v>
      </c>
    </row>
    <row r="1610" spans="1:6" x14ac:dyDescent="0.3">
      <c r="A1610" t="s">
        <v>2990</v>
      </c>
      <c r="B1610" t="str" cm="1">
        <f t="array" ref="B1610">_xlfn.XLOOKUP(C1610, INDEX([1]!카테고리매핑,,2), INDEX([1]!카테고리매핑,,1), "미등록 카테고리")</f>
        <v>간편식</v>
      </c>
      <c r="C1610" t="s">
        <v>131</v>
      </c>
      <c r="D1610" t="str">
        <f>VLOOKUP(C1610, '[1]VLOOKUP 함수용 카테고리'!$A$1:$B$59, 2, 0)</f>
        <v>SIMPLE_PROCESSED</v>
      </c>
      <c r="E1610" t="s">
        <v>2991</v>
      </c>
      <c r="F1610" t="s">
        <v>237</v>
      </c>
    </row>
    <row r="1611" spans="1:6" x14ac:dyDescent="0.3">
      <c r="A1611" t="s">
        <v>2992</v>
      </c>
      <c r="B1611" t="str" cm="1">
        <f t="array" ref="B1611">_xlfn.XLOOKUP(C1611, INDEX([1]!카테고리매핑,,2), INDEX([1]!카테고리매핑,,1), "미등록 카테고리")</f>
        <v>간편식</v>
      </c>
      <c r="C1611" t="s">
        <v>131</v>
      </c>
      <c r="D1611" t="str">
        <f>VLOOKUP(C1611, '[1]VLOOKUP 함수용 카테고리'!$A$1:$B$59, 2, 0)</f>
        <v>SIMPLE_PROCESSED</v>
      </c>
      <c r="E1611" t="s">
        <v>2993</v>
      </c>
      <c r="F1611" t="s">
        <v>156</v>
      </c>
    </row>
    <row r="1612" spans="1:6" x14ac:dyDescent="0.3">
      <c r="A1612" t="s">
        <v>2994</v>
      </c>
      <c r="B1612" t="str" cm="1">
        <f t="array" ref="B1612">_xlfn.XLOOKUP(C1612, INDEX([1]!카테고리매핑,,2), INDEX([1]!카테고리매핑,,1), "미등록 카테고리")</f>
        <v>조미료</v>
      </c>
      <c r="C1612" t="s">
        <v>127</v>
      </c>
      <c r="D1612" t="str">
        <f>VLOOKUP(C1612, '[1]VLOOKUP 함수용 카테고리'!$A$1:$B$59, 2, 0)</f>
        <v>SAUCE_SEASONING</v>
      </c>
      <c r="E1612" t="s">
        <v>2995</v>
      </c>
      <c r="F1612" t="s">
        <v>136</v>
      </c>
    </row>
    <row r="1613" spans="1:6" x14ac:dyDescent="0.3">
      <c r="A1613" t="s">
        <v>2996</v>
      </c>
      <c r="B1613" t="str" cm="1">
        <f t="array" ref="B1613">_xlfn.XLOOKUP(C1613, INDEX([1]!카테고리매핑,,2), INDEX([1]!카테고리매핑,,1), "미등록 카테고리")</f>
        <v>간식류</v>
      </c>
      <c r="C1613" t="s">
        <v>38</v>
      </c>
      <c r="D1613" t="str">
        <f>VLOOKUP(C1613, '[1]VLOOKUP 함수용 카테고리'!$A$1:$B$59, 2, 0)</f>
        <v>SNACK</v>
      </c>
      <c r="E1613" t="s">
        <v>925</v>
      </c>
      <c r="F1613" t="s">
        <v>734</v>
      </c>
    </row>
    <row r="1614" spans="1:6" x14ac:dyDescent="0.3">
      <c r="A1614" t="s">
        <v>2997</v>
      </c>
      <c r="B1614" t="str" cm="1">
        <f t="array" ref="B1614">_xlfn.XLOOKUP(C1614, INDEX([1]!카테고리매핑,,2), INDEX([1]!카테고리매핑,,1), "미등록 카테고리")</f>
        <v>음료</v>
      </c>
      <c r="C1614" t="s">
        <v>584</v>
      </c>
      <c r="D1614" t="str">
        <f>VLOOKUP(C1614, '[1]VLOOKUP 함수용 카테고리'!$A$1:$B$59, 2, 0)</f>
        <v>BEVERAGE</v>
      </c>
      <c r="E1614" t="s">
        <v>2998</v>
      </c>
      <c r="F1614" t="s">
        <v>2999</v>
      </c>
    </row>
    <row r="1615" spans="1:6" x14ac:dyDescent="0.3">
      <c r="A1615" t="s">
        <v>3000</v>
      </c>
      <c r="B1615" t="str" cm="1">
        <f t="array" ref="B1615">_xlfn.XLOOKUP(C1615, INDEX([1]!카테고리매핑,,2), INDEX([1]!카테고리매핑,,1), "미등록 카테고리")</f>
        <v>과일/견과류</v>
      </c>
      <c r="C1615" t="s">
        <v>654</v>
      </c>
      <c r="D1615" t="str">
        <f>VLOOKUP(C1615, '[1]VLOOKUP 함수용 카테고리'!$A$1:$B$59, 2, 0)</f>
        <v>RAW_FRUIT</v>
      </c>
      <c r="E1615" t="s">
        <v>1034</v>
      </c>
      <c r="F1615" t="s">
        <v>3001</v>
      </c>
    </row>
    <row r="1616" spans="1:6" x14ac:dyDescent="0.3">
      <c r="A1616" t="s">
        <v>3002</v>
      </c>
      <c r="B1616" t="str" cm="1">
        <f t="array" ref="B1616">_xlfn.XLOOKUP(C1616, INDEX([1]!카테고리매핑,,2), INDEX([1]!카테고리매핑,,1), "미등록 카테고리")</f>
        <v>유제품</v>
      </c>
      <c r="C1616" t="s">
        <v>211</v>
      </c>
      <c r="D1616" t="str">
        <f>VLOOKUP(C1616, '[1]VLOOKUP 함수용 카테고리'!$A$1:$B$59, 2, 0)</f>
        <v>DAIRY</v>
      </c>
      <c r="E1616" t="s">
        <v>1683</v>
      </c>
      <c r="F1616" t="s">
        <v>3003</v>
      </c>
    </row>
    <row r="1617" spans="1:6" x14ac:dyDescent="0.3">
      <c r="A1617" t="s">
        <v>3004</v>
      </c>
      <c r="B1617" t="str" cm="1">
        <f t="array" ref="B1617">_xlfn.XLOOKUP(C1617, INDEX([1]!카테고리매핑,,2), INDEX([1]!카테고리매핑,,1), "미등록 카테고리")</f>
        <v>음료</v>
      </c>
      <c r="C1617" t="s">
        <v>23</v>
      </c>
      <c r="D1617" t="str">
        <f>VLOOKUP(C1617, '[1]VLOOKUP 함수용 카테고리'!$A$1:$B$59, 2, 0)</f>
        <v>BEVERAGE</v>
      </c>
      <c r="E1617" t="s">
        <v>355</v>
      </c>
      <c r="F1617" t="s">
        <v>3005</v>
      </c>
    </row>
    <row r="1618" spans="1:6" x14ac:dyDescent="0.3">
      <c r="A1618" t="s">
        <v>3006</v>
      </c>
      <c r="B1618" t="str" cm="1">
        <f t="array" ref="B1618">_xlfn.XLOOKUP(C1618, INDEX([1]!카테고리매핑,,2), INDEX([1]!카테고리매핑,,1), "미등록 카테고리")</f>
        <v>술</v>
      </c>
      <c r="C1618" t="s">
        <v>42</v>
      </c>
      <c r="D1618" t="str">
        <f>VLOOKUP(C1618, '[1]VLOOKUP 함수용 카테고리'!$A$1:$B$59, 2, 0)</f>
        <v>ALCOHOL</v>
      </c>
      <c r="E1618" t="s">
        <v>43</v>
      </c>
    </row>
    <row r="1619" spans="1:6" x14ac:dyDescent="0.3">
      <c r="A1619" t="s">
        <v>3007</v>
      </c>
      <c r="B1619" t="str" cm="1">
        <f t="array" ref="B1619">_xlfn.XLOOKUP(C1619, INDEX([1]!카테고리매핑,,2), INDEX([1]!카테고리매핑,,1), "미등록 카테고리")</f>
        <v>육류/계란</v>
      </c>
      <c r="C1619" t="s">
        <v>298</v>
      </c>
      <c r="D1619" t="str">
        <f>VLOOKUP(C1619, '[1]VLOOKUP 함수용 카테고리'!$A$1:$B$59, 2, 0)</f>
        <v>RAW_MEAT</v>
      </c>
      <c r="E1619" t="s">
        <v>298</v>
      </c>
      <c r="F1619" t="s">
        <v>350</v>
      </c>
    </row>
    <row r="1620" spans="1:6" x14ac:dyDescent="0.3">
      <c r="A1620" t="s">
        <v>3008</v>
      </c>
      <c r="B1620" t="str" cm="1">
        <f t="array" ref="B1620">_xlfn.XLOOKUP(C1620, INDEX([1]!카테고리매핑,,2), INDEX([1]!카테고리매핑,,1), "미등록 카테고리")</f>
        <v>유제품</v>
      </c>
      <c r="C1620" t="s">
        <v>123</v>
      </c>
      <c r="D1620" t="str">
        <f>VLOOKUP(C1620, '[1]VLOOKUP 함수용 카테고리'!$A$1:$B$59, 2, 0)</f>
        <v>DAIRY</v>
      </c>
      <c r="E1620" t="s">
        <v>239</v>
      </c>
      <c r="F1620" t="s">
        <v>1289</v>
      </c>
    </row>
    <row r="1621" spans="1:6" x14ac:dyDescent="0.3">
      <c r="A1621" t="s">
        <v>3009</v>
      </c>
      <c r="B1621" t="str" cm="1">
        <f t="array" ref="B1621">_xlfn.XLOOKUP(C1621, INDEX([1]!카테고리매핑,,2), INDEX([1]!카테고리매핑,,1), "미등록 카테고리")</f>
        <v>간식류</v>
      </c>
      <c r="C1621" t="s">
        <v>11</v>
      </c>
      <c r="D1621" t="str">
        <f>VLOOKUP(C1621, '[1]VLOOKUP 함수용 카테고리'!$A$1:$B$59, 2, 0)</f>
        <v>SNACK</v>
      </c>
      <c r="E1621" t="s">
        <v>701</v>
      </c>
      <c r="F1621" t="s">
        <v>760</v>
      </c>
    </row>
    <row r="1622" spans="1:6" x14ac:dyDescent="0.3">
      <c r="A1622" t="s">
        <v>3010</v>
      </c>
      <c r="B1622" t="str" cm="1">
        <f t="array" ref="B1622">_xlfn.XLOOKUP(C1622, INDEX([1]!카테고리매핑,,2), INDEX([1]!카테고리매핑,,1), "미등록 카테고리")</f>
        <v>간식류</v>
      </c>
      <c r="C1622" t="s">
        <v>11</v>
      </c>
      <c r="D1622" t="str">
        <f>VLOOKUP(C1622, '[1]VLOOKUP 함수용 카테고리'!$A$1:$B$59, 2, 0)</f>
        <v>SNACK</v>
      </c>
      <c r="E1622" t="s">
        <v>1775</v>
      </c>
      <c r="F1622" t="s">
        <v>215</v>
      </c>
    </row>
    <row r="1623" spans="1:6" x14ac:dyDescent="0.3">
      <c r="A1623" t="s">
        <v>3011</v>
      </c>
      <c r="B1623" t="str" cm="1">
        <f t="array" ref="B1623">_xlfn.XLOOKUP(C1623, INDEX([1]!카테고리매핑,,2), INDEX([1]!카테고리매핑,,1), "미등록 카테고리")</f>
        <v>간식류</v>
      </c>
      <c r="C1623" t="s">
        <v>15</v>
      </c>
      <c r="D1623" t="str">
        <f>VLOOKUP(C1623, '[1]VLOOKUP 함수용 카테고리'!$A$1:$B$59, 2, 0)</f>
        <v>BAKERY</v>
      </c>
      <c r="E1623" t="s">
        <v>3012</v>
      </c>
      <c r="F1623" t="s">
        <v>3013</v>
      </c>
    </row>
    <row r="1624" spans="1:6" x14ac:dyDescent="0.3">
      <c r="A1624" t="s">
        <v>3014</v>
      </c>
      <c r="B1624" t="str" cm="1">
        <f t="array" ref="B1624">_xlfn.XLOOKUP(C1624, INDEX([1]!카테고리매핑,,2), INDEX([1]!카테고리매핑,,1), "미등록 카테고리")</f>
        <v>상온식품</v>
      </c>
      <c r="C1624" t="s">
        <v>769</v>
      </c>
      <c r="D1624" t="str">
        <f>VLOOKUP(C1624, '[1]VLOOKUP 함수용 카테고리'!$A$1:$B$59, 2, 0)</f>
        <v>GRAIN</v>
      </c>
      <c r="E1624" t="s">
        <v>3015</v>
      </c>
      <c r="F1624" t="s">
        <v>1196</v>
      </c>
    </row>
    <row r="1625" spans="1:6" x14ac:dyDescent="0.3">
      <c r="A1625" t="s">
        <v>3016</v>
      </c>
      <c r="B1625" t="str" cm="1">
        <f t="array" ref="B1625">_xlfn.XLOOKUP(C1625, INDEX([1]!카테고리매핑,,2), INDEX([1]!카테고리매핑,,1), "미등록 카테고리")</f>
        <v>상온식품</v>
      </c>
      <c r="C1625" t="s">
        <v>835</v>
      </c>
      <c r="D1625" t="str">
        <f>VLOOKUP(C1625, '[1]VLOOKUP 함수용 카테고리'!$A$1:$B$59, 2, 0)</f>
        <v>SAUCE_SEASONING</v>
      </c>
      <c r="E1625" t="s">
        <v>2157</v>
      </c>
      <c r="F1625" t="s">
        <v>1659</v>
      </c>
    </row>
    <row r="1626" spans="1:6" x14ac:dyDescent="0.3">
      <c r="A1626" t="s">
        <v>3017</v>
      </c>
      <c r="B1626" t="str" cm="1">
        <f t="array" ref="B1626">_xlfn.XLOOKUP(C1626, INDEX([1]!카테고리매핑,,2), INDEX([1]!카테고리매핑,,1), "미등록 카테고리")</f>
        <v>간편식</v>
      </c>
      <c r="C1626" t="s">
        <v>131</v>
      </c>
      <c r="D1626" t="str">
        <f>VLOOKUP(C1626, '[1]VLOOKUP 함수용 카테고리'!$A$1:$B$59, 2, 0)</f>
        <v>SIMPLE_PROCESSED</v>
      </c>
      <c r="E1626" t="s">
        <v>2993</v>
      </c>
      <c r="F1626" t="s">
        <v>350</v>
      </c>
    </row>
    <row r="1627" spans="1:6" x14ac:dyDescent="0.3">
      <c r="A1627" t="s">
        <v>3018</v>
      </c>
      <c r="B1627" t="str" cm="1">
        <f t="array" ref="B1627">_xlfn.XLOOKUP(C1627, INDEX([1]!카테고리매핑,,2), INDEX([1]!카테고리매핑,,1), "미등록 카테고리")</f>
        <v>간편식</v>
      </c>
      <c r="C1627" t="s">
        <v>19</v>
      </c>
      <c r="D1627" t="str">
        <f>VLOOKUP(C1627, '[1]VLOOKUP 함수용 카테고리'!$A$1:$B$59, 2, 0)</f>
        <v>FROZEN_MEAL</v>
      </c>
      <c r="E1627" t="s">
        <v>3019</v>
      </c>
      <c r="F1627" t="s">
        <v>129</v>
      </c>
    </row>
    <row r="1628" spans="1:6" x14ac:dyDescent="0.3">
      <c r="A1628" t="s">
        <v>3020</v>
      </c>
      <c r="B1628" t="str" cm="1">
        <f t="array" ref="B1628">_xlfn.XLOOKUP(C1628, INDEX([1]!카테고리매핑,,2), INDEX([1]!카테고리매핑,,1), "미등록 카테고리")</f>
        <v>조미료</v>
      </c>
      <c r="C1628" t="s">
        <v>117</v>
      </c>
      <c r="D1628" t="str">
        <f>VLOOKUP(C1628, '[1]VLOOKUP 함수용 카테고리'!$A$1:$B$59, 2, 0)</f>
        <v>SAUCE_SEASONING</v>
      </c>
      <c r="E1628" t="s">
        <v>2135</v>
      </c>
      <c r="F1628" t="s">
        <v>65</v>
      </c>
    </row>
    <row r="1629" spans="1:6" x14ac:dyDescent="0.3">
      <c r="A1629" t="s">
        <v>3021</v>
      </c>
      <c r="B1629" t="str" cm="1">
        <f t="array" ref="B1629">_xlfn.XLOOKUP(C1629, INDEX([1]!카테고리매핑,,2), INDEX([1]!카테고리매핑,,1), "미등록 카테고리")</f>
        <v>간편식</v>
      </c>
      <c r="C1629" t="s">
        <v>131</v>
      </c>
      <c r="D1629" t="str">
        <f>VLOOKUP(C1629, '[1]VLOOKUP 함수용 카테고리'!$A$1:$B$59, 2, 0)</f>
        <v>SIMPLE_PROCESSED</v>
      </c>
      <c r="E1629" t="s">
        <v>2143</v>
      </c>
      <c r="F1629" t="s">
        <v>133</v>
      </c>
    </row>
    <row r="1630" spans="1:6" x14ac:dyDescent="0.3">
      <c r="A1630" t="s">
        <v>3022</v>
      </c>
      <c r="B1630" t="str" cm="1">
        <f t="array" ref="B1630">_xlfn.XLOOKUP(C1630, INDEX([1]!카테고리매핑,,2), INDEX([1]!카테고리매핑,,1), "미등록 카테고리")</f>
        <v>유제품</v>
      </c>
      <c r="C1630" t="s">
        <v>432</v>
      </c>
      <c r="D1630" t="str">
        <f>VLOOKUP(C1630, '[1]VLOOKUP 함수용 카테고리'!$A$1:$B$59, 2, 0)</f>
        <v>DAIRY</v>
      </c>
      <c r="E1630" t="s">
        <v>549</v>
      </c>
      <c r="F1630" t="s">
        <v>3023</v>
      </c>
    </row>
    <row r="1631" spans="1:6" x14ac:dyDescent="0.3">
      <c r="A1631" t="s">
        <v>3024</v>
      </c>
      <c r="B1631" t="str" cm="1">
        <f t="array" ref="B1631">_xlfn.XLOOKUP(C1631, INDEX([1]!카테고리매핑,,2), INDEX([1]!카테고리매핑,,1), "미등록 카테고리")</f>
        <v>간식류</v>
      </c>
      <c r="C1631" t="s">
        <v>15</v>
      </c>
      <c r="D1631" t="str">
        <f>VLOOKUP(C1631, '[1]VLOOKUP 함수용 카테고리'!$A$1:$B$59, 2, 0)</f>
        <v>BAKERY</v>
      </c>
      <c r="E1631" t="s">
        <v>3025</v>
      </c>
      <c r="F1631" t="s">
        <v>224</v>
      </c>
    </row>
    <row r="1632" spans="1:6" x14ac:dyDescent="0.3">
      <c r="A1632" t="s">
        <v>3026</v>
      </c>
      <c r="B1632" t="str" cm="1">
        <f t="array" ref="B1632">_xlfn.XLOOKUP(C1632, INDEX([1]!카테고리매핑,,2), INDEX([1]!카테고리매핑,,1), "미등록 카테고리")</f>
        <v>간식류</v>
      </c>
      <c r="C1632" t="s">
        <v>38</v>
      </c>
      <c r="D1632" t="str">
        <f>VLOOKUP(C1632, '[1]VLOOKUP 함수용 카테고리'!$A$1:$B$59, 2, 0)</f>
        <v>SNACK</v>
      </c>
      <c r="E1632" t="s">
        <v>39</v>
      </c>
      <c r="F1632" t="s">
        <v>3027</v>
      </c>
    </row>
    <row r="1633" spans="1:6" x14ac:dyDescent="0.3">
      <c r="A1633" t="s">
        <v>3028</v>
      </c>
      <c r="B1633" t="str" cm="1">
        <f t="array" ref="B1633">_xlfn.XLOOKUP(C1633, INDEX([1]!카테고리매핑,,2), INDEX([1]!카테고리매핑,,1), "미등록 카테고리")</f>
        <v>음료</v>
      </c>
      <c r="C1633" t="s">
        <v>23</v>
      </c>
      <c r="D1633" t="str">
        <f>VLOOKUP(C1633, '[1]VLOOKUP 함수용 카테고리'!$A$1:$B$59, 2, 0)</f>
        <v>BEVERAGE</v>
      </c>
      <c r="E1633" t="s">
        <v>1156</v>
      </c>
      <c r="F1633" t="s">
        <v>7761</v>
      </c>
    </row>
    <row r="1634" spans="1:6" x14ac:dyDescent="0.3">
      <c r="A1634" t="s">
        <v>3029</v>
      </c>
      <c r="B1634" t="str" cm="1">
        <f t="array" ref="B1634">_xlfn.XLOOKUP(C1634, INDEX([1]!카테고리매핑,,2), INDEX([1]!카테고리매핑,,1), "미등록 카테고리")</f>
        <v>간식류</v>
      </c>
      <c r="C1634" t="s">
        <v>15</v>
      </c>
      <c r="D1634" t="str">
        <f>VLOOKUP(C1634, '[1]VLOOKUP 함수용 카테고리'!$A$1:$B$59, 2, 0)</f>
        <v>BAKERY</v>
      </c>
      <c r="E1634" t="s">
        <v>53</v>
      </c>
      <c r="F1634" t="s">
        <v>2637</v>
      </c>
    </row>
    <row r="1635" spans="1:6" x14ac:dyDescent="0.3">
      <c r="A1635" t="s">
        <v>3030</v>
      </c>
      <c r="B1635" t="str" cm="1">
        <f t="array" ref="B1635">_xlfn.XLOOKUP(C1635, INDEX([1]!카테고리매핑,,2), INDEX([1]!카테고리매핑,,1), "미등록 카테고리")</f>
        <v>육류/계란</v>
      </c>
      <c r="C1635" t="s">
        <v>105</v>
      </c>
      <c r="D1635" t="str">
        <f>VLOOKUP(C1635, '[1]VLOOKUP 함수용 카테고리'!$A$1:$B$59, 2, 0)</f>
        <v>RAW_MEAT</v>
      </c>
      <c r="E1635" t="s">
        <v>1938</v>
      </c>
      <c r="F1635" t="s">
        <v>3031</v>
      </c>
    </row>
    <row r="1636" spans="1:6" x14ac:dyDescent="0.3">
      <c r="A1636" t="s">
        <v>3032</v>
      </c>
      <c r="B1636" t="str" cm="1">
        <f t="array" ref="B1636">_xlfn.XLOOKUP(C1636, INDEX([1]!카테고리매핑,,2), INDEX([1]!카테고리매핑,,1), "미등록 카테고리")</f>
        <v>간편식</v>
      </c>
      <c r="C1636" t="s">
        <v>131</v>
      </c>
      <c r="D1636" t="str">
        <f>VLOOKUP(C1636, '[1]VLOOKUP 함수용 카테고리'!$A$1:$B$59, 2, 0)</f>
        <v>SIMPLE_PROCESSED</v>
      </c>
      <c r="E1636" t="s">
        <v>3033</v>
      </c>
      <c r="F1636" t="s">
        <v>541</v>
      </c>
    </row>
    <row r="1637" spans="1:6" x14ac:dyDescent="0.3">
      <c r="A1637" t="s">
        <v>3034</v>
      </c>
      <c r="B1637" t="str" cm="1">
        <f t="array" ref="B1637">_xlfn.XLOOKUP(C1637, INDEX([1]!카테고리매핑,,2), INDEX([1]!카테고리매핑,,1), "미등록 카테고리")</f>
        <v>채소/곡물류</v>
      </c>
      <c r="C1637" t="s">
        <v>7</v>
      </c>
      <c r="D1637" t="str">
        <f>VLOOKUP(C1637, '[1]VLOOKUP 함수용 카테고리'!$A$1:$B$59, 2, 0)</f>
        <v>RAW_PRODUCE</v>
      </c>
      <c r="E1637" t="s">
        <v>3035</v>
      </c>
    </row>
    <row r="1638" spans="1:6" x14ac:dyDescent="0.3">
      <c r="A1638" t="s">
        <v>3036</v>
      </c>
      <c r="B1638" t="str" cm="1">
        <f t="array" ref="B1638">_xlfn.XLOOKUP(C1638, INDEX([1]!카테고리매핑,,2), INDEX([1]!카테고리매핑,,1), "미등록 카테고리")</f>
        <v>술</v>
      </c>
      <c r="C1638" t="s">
        <v>42</v>
      </c>
      <c r="D1638" t="str">
        <f>VLOOKUP(C1638, '[1]VLOOKUP 함수용 카테고리'!$A$1:$B$59, 2, 0)</f>
        <v>ALCOHOL</v>
      </c>
      <c r="E1638" t="s">
        <v>1074</v>
      </c>
      <c r="F1638" t="s">
        <v>1043</v>
      </c>
    </row>
    <row r="1639" spans="1:6" x14ac:dyDescent="0.3">
      <c r="A1639" t="s">
        <v>3037</v>
      </c>
      <c r="B1639" t="str" cm="1">
        <f t="array" ref="B1639">_xlfn.XLOOKUP(C1639, INDEX([1]!카테고리매핑,,2), INDEX([1]!카테고리매핑,,1), "미등록 카테고리")</f>
        <v>조미료</v>
      </c>
      <c r="C1639" t="s">
        <v>84</v>
      </c>
      <c r="D1639" t="str">
        <f>VLOOKUP(C1639, '[1]VLOOKUP 함수용 카테고리'!$A$1:$B$59, 2, 0)</f>
        <v>SAUCE_SEASONING</v>
      </c>
      <c r="E1639" t="s">
        <v>2451</v>
      </c>
      <c r="F1639" t="s">
        <v>269</v>
      </c>
    </row>
    <row r="1640" spans="1:6" x14ac:dyDescent="0.3">
      <c r="A1640" t="s">
        <v>3038</v>
      </c>
      <c r="B1640" t="str" cm="1">
        <f t="array" ref="B1640">_xlfn.XLOOKUP(C1640, INDEX([1]!카테고리매핑,,2), INDEX([1]!카테고리매핑,,1), "미등록 카테고리")</f>
        <v>유제품</v>
      </c>
      <c r="C1640" t="s">
        <v>211</v>
      </c>
      <c r="D1640" t="str">
        <f>VLOOKUP(C1640, '[1]VLOOKUP 함수용 카테고리'!$A$1:$B$59, 2, 0)</f>
        <v>DAIRY</v>
      </c>
      <c r="E1640" t="s">
        <v>211</v>
      </c>
      <c r="F1640" t="s">
        <v>7804</v>
      </c>
    </row>
    <row r="1641" spans="1:6" x14ac:dyDescent="0.3">
      <c r="A1641" t="s">
        <v>3039</v>
      </c>
      <c r="B1641" t="str" cm="1">
        <f t="array" ref="B1641">_xlfn.XLOOKUP(C1641, INDEX([1]!카테고리매핑,,2), INDEX([1]!카테고리매핑,,1), "미등록 카테고리")</f>
        <v>과일/견과류</v>
      </c>
      <c r="C1641" t="s">
        <v>654</v>
      </c>
      <c r="D1641" t="str">
        <f>VLOOKUP(C1641, '[1]VLOOKUP 함수용 카테고리'!$A$1:$B$59, 2, 0)</f>
        <v>RAW_FRUIT</v>
      </c>
      <c r="E1641" t="s">
        <v>681</v>
      </c>
      <c r="F1641" t="s">
        <v>3001</v>
      </c>
    </row>
    <row r="1642" spans="1:6" x14ac:dyDescent="0.3">
      <c r="A1642" t="s">
        <v>3040</v>
      </c>
      <c r="B1642" t="str" cm="1">
        <f t="array" ref="B1642">_xlfn.XLOOKUP(C1642, INDEX([1]!카테고리매핑,,2), INDEX([1]!카테고리매핑,,1), "미등록 카테고리")</f>
        <v>간편식</v>
      </c>
      <c r="C1642" t="s">
        <v>46</v>
      </c>
      <c r="D1642" t="str">
        <f>VLOOKUP(C1642, '[1]VLOOKUP 함수용 카테고리'!$A$1:$B$59, 2, 0)</f>
        <v>RTC_MEAL</v>
      </c>
      <c r="E1642" t="s">
        <v>46</v>
      </c>
      <c r="F1642" t="s">
        <v>257</v>
      </c>
    </row>
    <row r="1643" spans="1:6" x14ac:dyDescent="0.3">
      <c r="A1643" t="s">
        <v>3041</v>
      </c>
      <c r="B1643" t="str" cm="1">
        <f t="array" ref="B1643">_xlfn.XLOOKUP(C1643, INDEX([1]!카테고리매핑,,2), INDEX([1]!카테고리매핑,,1), "미등록 카테고리")</f>
        <v>유제품</v>
      </c>
      <c r="C1643" t="s">
        <v>98</v>
      </c>
      <c r="D1643" t="str">
        <f>VLOOKUP(C1643, '[1]VLOOKUP 함수용 카테고리'!$A$1:$B$59, 2, 0)</f>
        <v>DAIRY</v>
      </c>
      <c r="E1643" t="s">
        <v>273</v>
      </c>
      <c r="F1643" t="s">
        <v>497</v>
      </c>
    </row>
    <row r="1644" spans="1:6" x14ac:dyDescent="0.3">
      <c r="A1644" t="s">
        <v>3042</v>
      </c>
      <c r="B1644" t="str" cm="1">
        <f t="array" ref="B1644">_xlfn.XLOOKUP(C1644, INDEX([1]!카테고리매핑,,2), INDEX([1]!카테고리매핑,,1), "미등록 카테고리")</f>
        <v>육류/계란</v>
      </c>
      <c r="C1644" t="s">
        <v>298</v>
      </c>
      <c r="D1644" t="str">
        <f>VLOOKUP(C1644, '[1]VLOOKUP 함수용 카테고리'!$A$1:$B$59, 2, 0)</f>
        <v>RAW_MEAT</v>
      </c>
      <c r="E1644" t="s">
        <v>537</v>
      </c>
      <c r="F1644" t="s">
        <v>3043</v>
      </c>
    </row>
    <row r="1645" spans="1:6" x14ac:dyDescent="0.3">
      <c r="A1645" t="s">
        <v>3044</v>
      </c>
      <c r="B1645" t="str" cm="1">
        <f t="array" ref="B1645">_xlfn.XLOOKUP(C1645, INDEX([1]!카테고리매핑,,2), INDEX([1]!카테고리매핑,,1), "미등록 카테고리")</f>
        <v>유제품</v>
      </c>
      <c r="C1645" t="s">
        <v>98</v>
      </c>
      <c r="D1645" t="str">
        <f>VLOOKUP(C1645, '[1]VLOOKUP 함수용 카테고리'!$A$1:$B$59, 2, 0)</f>
        <v>DAIRY</v>
      </c>
      <c r="E1645" t="s">
        <v>2288</v>
      </c>
      <c r="F1645" t="s">
        <v>3045</v>
      </c>
    </row>
    <row r="1646" spans="1:6" x14ac:dyDescent="0.3">
      <c r="A1646" t="s">
        <v>3046</v>
      </c>
      <c r="B1646" t="str" cm="1">
        <f t="array" ref="B1646">_xlfn.XLOOKUP(C1646, INDEX([1]!카테고리매핑,,2), INDEX([1]!카테고리매핑,,1), "미등록 카테고리")</f>
        <v>간편식</v>
      </c>
      <c r="C1646" t="s">
        <v>131</v>
      </c>
      <c r="D1646" t="str">
        <f>VLOOKUP(C1646, '[1]VLOOKUP 함수용 카테고리'!$A$1:$B$59, 2, 0)</f>
        <v>SIMPLE_PROCESSED</v>
      </c>
      <c r="E1646" t="s">
        <v>3047</v>
      </c>
      <c r="F1646" t="s">
        <v>541</v>
      </c>
    </row>
    <row r="1647" spans="1:6" x14ac:dyDescent="0.3">
      <c r="A1647" t="s">
        <v>3048</v>
      </c>
      <c r="B1647" t="str" cm="1">
        <f t="array" ref="B1647">_xlfn.XLOOKUP(C1647, INDEX([1]!카테고리매핑,,2), INDEX([1]!카테고리매핑,,1), "미등록 카테고리")</f>
        <v>채소/곡물류</v>
      </c>
      <c r="C1647" t="s">
        <v>207</v>
      </c>
      <c r="D1647" t="str">
        <f>VLOOKUP(C1647, '[1]VLOOKUP 함수용 카테고리'!$A$1:$B$59, 2, 0)</f>
        <v>GRAIN</v>
      </c>
      <c r="E1647" t="s">
        <v>3049</v>
      </c>
      <c r="F1647" t="s">
        <v>2230</v>
      </c>
    </row>
    <row r="1648" spans="1:6" x14ac:dyDescent="0.3">
      <c r="A1648" t="s">
        <v>3050</v>
      </c>
      <c r="B1648" t="str" cm="1">
        <f t="array" ref="B1648">_xlfn.XLOOKUP(C1648, INDEX([1]!카테고리매핑,,2), INDEX([1]!카테고리매핑,,1), "미등록 카테고리")</f>
        <v>간편식</v>
      </c>
      <c r="C1648" t="s">
        <v>256</v>
      </c>
      <c r="D1648" t="str">
        <f>VLOOKUP(C1648, '[1]VLOOKUP 함수용 카테고리'!$A$1:$B$59, 2, 0)</f>
        <v>RTC_MEAL</v>
      </c>
      <c r="E1648" t="s">
        <v>256</v>
      </c>
      <c r="F1648" t="s">
        <v>3051</v>
      </c>
    </row>
    <row r="1649" spans="1:6" x14ac:dyDescent="0.3">
      <c r="A1649" t="s">
        <v>3052</v>
      </c>
      <c r="B1649" t="str" cm="1">
        <f t="array" ref="B1649">_xlfn.XLOOKUP(C1649, INDEX([1]!카테고리매핑,,2), INDEX([1]!카테고리매핑,,1), "미등록 카테고리")</f>
        <v>채소/곡물류</v>
      </c>
      <c r="C1649" t="s">
        <v>7</v>
      </c>
      <c r="D1649" t="str">
        <f>VLOOKUP(C1649, '[1]VLOOKUP 함수용 카테고리'!$A$1:$B$59, 2, 0)</f>
        <v>RAW_PRODUCE</v>
      </c>
      <c r="E1649" t="s">
        <v>960</v>
      </c>
    </row>
    <row r="1650" spans="1:6" x14ac:dyDescent="0.3">
      <c r="A1650" t="s">
        <v>3053</v>
      </c>
      <c r="B1650" t="str" cm="1">
        <f t="array" ref="B1650">_xlfn.XLOOKUP(C1650, INDEX([1]!카테고리매핑,,2), INDEX([1]!카테고리매핑,,1), "미등록 카테고리")</f>
        <v>채소/곡물류</v>
      </c>
      <c r="C1650" t="s">
        <v>7</v>
      </c>
      <c r="D1650" t="str">
        <f>VLOOKUP(C1650, '[1]VLOOKUP 함수용 카테고리'!$A$1:$B$59, 2, 0)</f>
        <v>RAW_PRODUCE</v>
      </c>
      <c r="E1650" t="s">
        <v>3054</v>
      </c>
      <c r="F1650" t="s">
        <v>2174</v>
      </c>
    </row>
    <row r="1651" spans="1:6" x14ac:dyDescent="0.3">
      <c r="A1651" t="s">
        <v>3055</v>
      </c>
      <c r="B1651" t="str" cm="1">
        <f t="array" ref="B1651">_xlfn.XLOOKUP(C1651, INDEX([1]!카테고리매핑,,2), INDEX([1]!카테고리매핑,,1), "미등록 카테고리")</f>
        <v>유제품</v>
      </c>
      <c r="C1651" t="s">
        <v>98</v>
      </c>
      <c r="D1651" t="str">
        <f>VLOOKUP(C1651, '[1]VLOOKUP 함수용 카테고리'!$A$1:$B$59, 2, 0)</f>
        <v>DAIRY</v>
      </c>
      <c r="E1651" t="s">
        <v>2559</v>
      </c>
      <c r="F1651" t="s">
        <v>3056</v>
      </c>
    </row>
    <row r="1652" spans="1:6" x14ac:dyDescent="0.3">
      <c r="A1652" t="s">
        <v>3057</v>
      </c>
      <c r="B1652" t="str" cm="1">
        <f t="array" ref="B1652">_xlfn.XLOOKUP(C1652, INDEX([1]!카테고리매핑,,2), INDEX([1]!카테고리매핑,,1), "미등록 카테고리")</f>
        <v>간식류</v>
      </c>
      <c r="C1652" t="s">
        <v>11</v>
      </c>
      <c r="D1652" t="str">
        <f>VLOOKUP(C1652, '[1]VLOOKUP 함수용 카테고리'!$A$1:$B$59, 2, 0)</f>
        <v>SNACK</v>
      </c>
      <c r="E1652" t="s">
        <v>1482</v>
      </c>
      <c r="F1652" t="s">
        <v>154</v>
      </c>
    </row>
    <row r="1653" spans="1:6" x14ac:dyDescent="0.3">
      <c r="A1653" t="s">
        <v>3058</v>
      </c>
      <c r="B1653" t="str" cm="1">
        <f t="array" ref="B1653">_xlfn.XLOOKUP(C1653, INDEX([1]!카테고리매핑,,2), INDEX([1]!카테고리매핑,,1), "미등록 카테고리")</f>
        <v>과일/견과류</v>
      </c>
      <c r="C1653" t="s">
        <v>654</v>
      </c>
      <c r="D1653" t="str">
        <f>VLOOKUP(C1653, '[1]VLOOKUP 함수용 카테고리'!$A$1:$B$59, 2, 0)</f>
        <v>RAW_FRUIT</v>
      </c>
      <c r="E1653" t="s">
        <v>681</v>
      </c>
      <c r="F1653" t="s">
        <v>3001</v>
      </c>
    </row>
    <row r="1654" spans="1:6" x14ac:dyDescent="0.3">
      <c r="A1654" t="s">
        <v>3059</v>
      </c>
      <c r="B1654" t="str" cm="1">
        <f t="array" ref="B1654">_xlfn.XLOOKUP(C1654, INDEX([1]!카테고리매핑,,2), INDEX([1]!카테고리매핑,,1), "미등록 카테고리")</f>
        <v>간편식</v>
      </c>
      <c r="C1654" t="s">
        <v>131</v>
      </c>
      <c r="D1654" t="str">
        <f>VLOOKUP(C1654, '[1]VLOOKUP 함수용 카테고리'!$A$1:$B$59, 2, 0)</f>
        <v>SIMPLE_PROCESSED</v>
      </c>
      <c r="E1654" t="s">
        <v>3060</v>
      </c>
      <c r="F1654" t="s">
        <v>2747</v>
      </c>
    </row>
    <row r="1655" spans="1:6" x14ac:dyDescent="0.3">
      <c r="A1655" t="s">
        <v>3061</v>
      </c>
      <c r="B1655" t="str" cm="1">
        <f t="array" ref="B1655">_xlfn.XLOOKUP(C1655, INDEX([1]!카테고리매핑,,2), INDEX([1]!카테고리매핑,,1), "미등록 카테고리")</f>
        <v>간식류</v>
      </c>
      <c r="C1655" t="s">
        <v>63</v>
      </c>
      <c r="D1655" t="str">
        <f>VLOOKUP(C1655, '[1]VLOOKUP 함수용 카테고리'!$A$1:$B$59, 2, 0)</f>
        <v>BAKERY</v>
      </c>
      <c r="E1655" t="s">
        <v>496</v>
      </c>
      <c r="F1655" t="s">
        <v>985</v>
      </c>
    </row>
    <row r="1656" spans="1:6" x14ac:dyDescent="0.3">
      <c r="A1656" t="s">
        <v>3062</v>
      </c>
      <c r="B1656" t="str" cm="1">
        <f t="array" ref="B1656">_xlfn.XLOOKUP(C1656, INDEX([1]!카테고리매핑,,2), INDEX([1]!카테고리매핑,,1), "미등록 카테고리")</f>
        <v>조미료</v>
      </c>
      <c r="C1656" t="s">
        <v>127</v>
      </c>
      <c r="D1656" t="str">
        <f>VLOOKUP(C1656, '[1]VLOOKUP 함수용 카테고리'!$A$1:$B$59, 2, 0)</f>
        <v>SAUCE_SEASONING</v>
      </c>
      <c r="E1656" t="s">
        <v>3063</v>
      </c>
      <c r="F1656" t="s">
        <v>156</v>
      </c>
    </row>
    <row r="1657" spans="1:6" x14ac:dyDescent="0.3">
      <c r="A1657" t="s">
        <v>3064</v>
      </c>
      <c r="B1657" t="str" cm="1">
        <f t="array" ref="B1657">_xlfn.XLOOKUP(C1657, INDEX([1]!카테고리매핑,,2), INDEX([1]!카테고리매핑,,1), "미등록 카테고리")</f>
        <v>채소/곡물류</v>
      </c>
      <c r="C1657" t="s">
        <v>7</v>
      </c>
      <c r="D1657" t="str">
        <f>VLOOKUP(C1657, '[1]VLOOKUP 함수용 카테고리'!$A$1:$B$59, 2, 0)</f>
        <v>RAW_PRODUCE</v>
      </c>
      <c r="E1657" t="s">
        <v>940</v>
      </c>
      <c r="F1657" t="s">
        <v>3065</v>
      </c>
    </row>
    <row r="1658" spans="1:6" x14ac:dyDescent="0.3">
      <c r="A1658" t="s">
        <v>3066</v>
      </c>
      <c r="B1658" t="str" cm="1">
        <f t="array" ref="B1658">_xlfn.XLOOKUP(C1658, INDEX([1]!카테고리매핑,,2), INDEX([1]!카테고리매핑,,1), "미등록 카테고리")</f>
        <v>유제품</v>
      </c>
      <c r="C1658" t="s">
        <v>211</v>
      </c>
      <c r="D1658" t="str">
        <f>VLOOKUP(C1658, '[1]VLOOKUP 함수용 카테고리'!$A$1:$B$59, 2, 0)</f>
        <v>DAIRY</v>
      </c>
      <c r="E1658" t="s">
        <v>212</v>
      </c>
      <c r="F1658" t="s">
        <v>1663</v>
      </c>
    </row>
    <row r="1659" spans="1:6" x14ac:dyDescent="0.3">
      <c r="A1659" t="s">
        <v>3067</v>
      </c>
      <c r="B1659" t="str" cm="1">
        <f t="array" ref="B1659">_xlfn.XLOOKUP(C1659, INDEX([1]!카테고리매핑,,2), INDEX([1]!카테고리매핑,,1), "미등록 카테고리")</f>
        <v>음료</v>
      </c>
      <c r="C1659" t="s">
        <v>23</v>
      </c>
      <c r="D1659" t="str">
        <f>VLOOKUP(C1659, '[1]VLOOKUP 함수용 카테고리'!$A$1:$B$59, 2, 0)</f>
        <v>BEVERAGE</v>
      </c>
      <c r="E1659" t="s">
        <v>352</v>
      </c>
      <c r="F1659" t="s">
        <v>3068</v>
      </c>
    </row>
    <row r="1660" spans="1:6" x14ac:dyDescent="0.3">
      <c r="A1660" t="s">
        <v>3069</v>
      </c>
      <c r="B1660" t="str" cm="1">
        <f t="array" ref="B1660">_xlfn.XLOOKUP(C1660, INDEX([1]!카테고리매핑,,2), INDEX([1]!카테고리매핑,,1), "미등록 카테고리")</f>
        <v>과일/견과류</v>
      </c>
      <c r="C1660" t="s">
        <v>654</v>
      </c>
      <c r="D1660" t="str">
        <f>VLOOKUP(C1660, '[1]VLOOKUP 함수용 카테고리'!$A$1:$B$59, 2, 0)</f>
        <v>RAW_FRUIT</v>
      </c>
      <c r="E1660" t="s">
        <v>1034</v>
      </c>
      <c r="F1660" t="s">
        <v>3001</v>
      </c>
    </row>
    <row r="1661" spans="1:6" x14ac:dyDescent="0.3">
      <c r="A1661" t="s">
        <v>3070</v>
      </c>
      <c r="B1661" t="str" cm="1">
        <f t="array" ref="B1661">_xlfn.XLOOKUP(C1661, INDEX([1]!카테고리매핑,,2), INDEX([1]!카테고리매핑,,1), "미등록 카테고리")</f>
        <v>간편식</v>
      </c>
      <c r="C1661" t="s">
        <v>46</v>
      </c>
      <c r="D1661" t="str">
        <f>VLOOKUP(C1661, '[1]VLOOKUP 함수용 카테고리'!$A$1:$B$59, 2, 0)</f>
        <v>RTC_MEAL</v>
      </c>
      <c r="E1661" t="s">
        <v>46</v>
      </c>
      <c r="F1661" t="s">
        <v>471</v>
      </c>
    </row>
    <row r="1662" spans="1:6" x14ac:dyDescent="0.3">
      <c r="A1662" t="s">
        <v>3071</v>
      </c>
      <c r="B1662" t="str" cm="1">
        <f t="array" ref="B1662">_xlfn.XLOOKUP(C1662, INDEX([1]!카테고리매핑,,2), INDEX([1]!카테고리매핑,,1), "미등록 카테고리")</f>
        <v>채소/곡물류</v>
      </c>
      <c r="C1662" t="s">
        <v>7</v>
      </c>
      <c r="D1662" t="str">
        <f>VLOOKUP(C1662, '[1]VLOOKUP 함수용 카테고리'!$A$1:$B$59, 2, 0)</f>
        <v>RAW_PRODUCE</v>
      </c>
      <c r="E1662" t="s">
        <v>50</v>
      </c>
      <c r="F1662" t="s">
        <v>29</v>
      </c>
    </row>
    <row r="1663" spans="1:6" x14ac:dyDescent="0.3">
      <c r="A1663" t="s">
        <v>3072</v>
      </c>
      <c r="B1663" t="str" cm="1">
        <f t="array" ref="B1663">_xlfn.XLOOKUP(C1663, INDEX([1]!카테고리매핑,,2), INDEX([1]!카테고리매핑,,1), "미등록 카테고리")</f>
        <v>육류/계란</v>
      </c>
      <c r="C1663" t="s">
        <v>149</v>
      </c>
      <c r="D1663" t="str">
        <f>VLOOKUP(C1663, '[1]VLOOKUP 함수용 카테고리'!$A$1:$B$59, 2, 0)</f>
        <v>RAW_MEAT</v>
      </c>
      <c r="E1663" t="s">
        <v>573</v>
      </c>
      <c r="F1663" t="s">
        <v>1425</v>
      </c>
    </row>
    <row r="1664" spans="1:6" x14ac:dyDescent="0.3">
      <c r="A1664" t="s">
        <v>3073</v>
      </c>
      <c r="B1664" t="str" cm="1">
        <f t="array" ref="B1664">_xlfn.XLOOKUP(C1664, INDEX([1]!카테고리매핑,,2), INDEX([1]!카테고리매핑,,1), "미등록 카테고리")</f>
        <v>간편식</v>
      </c>
      <c r="C1664" t="s">
        <v>256</v>
      </c>
      <c r="D1664" t="str">
        <f>VLOOKUP(C1664, '[1]VLOOKUP 함수용 카테고리'!$A$1:$B$59, 2, 0)</f>
        <v>RTC_MEAL</v>
      </c>
      <c r="E1664" t="s">
        <v>256</v>
      </c>
      <c r="F1664" t="s">
        <v>538</v>
      </c>
    </row>
    <row r="1665" spans="1:6" x14ac:dyDescent="0.3">
      <c r="A1665" t="s">
        <v>3074</v>
      </c>
      <c r="B1665" t="str" cm="1">
        <f t="array" ref="B1665">_xlfn.XLOOKUP(C1665, INDEX([1]!카테고리매핑,,2), INDEX([1]!카테고리매핑,,1), "미등록 카테고리")</f>
        <v>조미료</v>
      </c>
      <c r="C1665" t="s">
        <v>117</v>
      </c>
      <c r="D1665" t="str">
        <f>VLOOKUP(C1665, '[1]VLOOKUP 함수용 카테고리'!$A$1:$B$59, 2, 0)</f>
        <v>SAUCE_SEASONING</v>
      </c>
      <c r="E1665" t="s">
        <v>895</v>
      </c>
      <c r="F1665" t="s">
        <v>7805</v>
      </c>
    </row>
    <row r="1666" spans="1:6" x14ac:dyDescent="0.3">
      <c r="A1666" t="s">
        <v>3075</v>
      </c>
      <c r="B1666" t="str" cm="1">
        <f t="array" ref="B1666">_xlfn.XLOOKUP(C1666, INDEX([1]!카테고리매핑,,2), INDEX([1]!카테고리매핑,,1), "미등록 카테고리")</f>
        <v>조미료</v>
      </c>
      <c r="C1666" t="s">
        <v>127</v>
      </c>
      <c r="D1666" t="str">
        <f>VLOOKUP(C1666, '[1]VLOOKUP 함수용 카테고리'!$A$1:$B$59, 2, 0)</f>
        <v>SAUCE_SEASONING</v>
      </c>
      <c r="E1666" t="s">
        <v>3076</v>
      </c>
      <c r="F1666" t="s">
        <v>156</v>
      </c>
    </row>
    <row r="1667" spans="1:6" x14ac:dyDescent="0.3">
      <c r="A1667" t="s">
        <v>3077</v>
      </c>
      <c r="B1667" t="str" cm="1">
        <f t="array" ref="B1667">_xlfn.XLOOKUP(C1667, INDEX([1]!카테고리매핑,,2), INDEX([1]!카테고리매핑,,1), "미등록 카테고리")</f>
        <v>조미료</v>
      </c>
      <c r="C1667" t="s">
        <v>558</v>
      </c>
      <c r="D1667" t="str">
        <f>VLOOKUP(C1667, '[1]VLOOKUP 함수용 카테고리'!$A$1:$B$59, 2, 0)</f>
        <v>SAUCE_SEASONING</v>
      </c>
      <c r="E1667" t="s">
        <v>3078</v>
      </c>
      <c r="F1667" t="s">
        <v>2007</v>
      </c>
    </row>
    <row r="1668" spans="1:6" x14ac:dyDescent="0.3">
      <c r="A1668" t="s">
        <v>3079</v>
      </c>
      <c r="B1668" t="str" cm="1">
        <f t="array" ref="B1668">_xlfn.XLOOKUP(C1668, INDEX([1]!카테고리매핑,,2), INDEX([1]!카테고리매핑,,1), "미등록 카테고리")</f>
        <v>육류/계란</v>
      </c>
      <c r="C1668" t="s">
        <v>105</v>
      </c>
      <c r="D1668" t="str">
        <f>VLOOKUP(C1668, '[1]VLOOKUP 함수용 카테고리'!$A$1:$B$59, 2, 0)</f>
        <v>RAW_MEAT</v>
      </c>
      <c r="E1668" t="s">
        <v>176</v>
      </c>
      <c r="F1668" t="s">
        <v>2673</v>
      </c>
    </row>
    <row r="1669" spans="1:6" x14ac:dyDescent="0.3">
      <c r="A1669" t="s">
        <v>3080</v>
      </c>
      <c r="B1669" t="str" cm="1">
        <f t="array" ref="B1669">_xlfn.XLOOKUP(C1669, INDEX([1]!카테고리매핑,,2), INDEX([1]!카테고리매핑,,1), "미등록 카테고리")</f>
        <v>조미료</v>
      </c>
      <c r="C1669" t="s">
        <v>127</v>
      </c>
      <c r="D1669" t="str">
        <f>VLOOKUP(C1669, '[1]VLOOKUP 함수용 카테고리'!$A$1:$B$59, 2, 0)</f>
        <v>SAUCE_SEASONING</v>
      </c>
      <c r="E1669" t="s">
        <v>3081</v>
      </c>
      <c r="F1669" t="s">
        <v>3082</v>
      </c>
    </row>
    <row r="1670" spans="1:6" x14ac:dyDescent="0.3">
      <c r="A1670" t="s">
        <v>3083</v>
      </c>
      <c r="B1670" t="str" cm="1">
        <f t="array" ref="B1670">_xlfn.XLOOKUP(C1670, INDEX([1]!카테고리매핑,,2), INDEX([1]!카테고리매핑,,1), "미등록 카테고리")</f>
        <v>채소/곡물류</v>
      </c>
      <c r="C1670" t="s">
        <v>27</v>
      </c>
      <c r="D1670" t="str">
        <f>VLOOKUP(C1670, '[1]VLOOKUP 함수용 카테고리'!$A$1:$B$59, 2, 0)</f>
        <v>SIMPLE_PROCESSED</v>
      </c>
      <c r="E1670" t="s">
        <v>28</v>
      </c>
      <c r="F1670" t="s">
        <v>350</v>
      </c>
    </row>
    <row r="1671" spans="1:6" x14ac:dyDescent="0.3">
      <c r="A1671" t="s">
        <v>3084</v>
      </c>
      <c r="B1671" t="str" cm="1">
        <f t="array" ref="B1671">_xlfn.XLOOKUP(C1671, INDEX([1]!카테고리매핑,,2), INDEX([1]!카테고리매핑,,1), "미등록 카테고리")</f>
        <v>상온식품</v>
      </c>
      <c r="C1671" t="s">
        <v>276</v>
      </c>
      <c r="D1671" t="str">
        <f>VLOOKUP(C1671, '[1]VLOOKUP 함수용 카테고리'!$A$1:$B$59, 2, 0)</f>
        <v>DRIED_SEAFOOD</v>
      </c>
      <c r="E1671" t="s">
        <v>277</v>
      </c>
      <c r="F1671" t="s">
        <v>278</v>
      </c>
    </row>
    <row r="1672" spans="1:6" x14ac:dyDescent="0.3">
      <c r="A1672" t="s">
        <v>3085</v>
      </c>
      <c r="B1672" t="str" cm="1">
        <f t="array" ref="B1672">_xlfn.XLOOKUP(C1672, INDEX([1]!카테고리매핑,,2), INDEX([1]!카테고리매핑,,1), "미등록 카테고리")</f>
        <v>음료</v>
      </c>
      <c r="C1672" t="s">
        <v>23</v>
      </c>
      <c r="D1672" t="str">
        <f>VLOOKUP(C1672, '[1]VLOOKUP 함수용 카테고리'!$A$1:$B$59, 2, 0)</f>
        <v>BEVERAGE</v>
      </c>
      <c r="E1672" t="s">
        <v>3086</v>
      </c>
      <c r="F1672" t="s">
        <v>375</v>
      </c>
    </row>
    <row r="1673" spans="1:6" x14ac:dyDescent="0.3">
      <c r="A1673" t="s">
        <v>3087</v>
      </c>
      <c r="B1673" t="str" cm="1">
        <f t="array" ref="B1673">_xlfn.XLOOKUP(C1673, INDEX([1]!카테고리매핑,,2), INDEX([1]!카테고리매핑,,1), "미등록 카테고리")</f>
        <v>과일/견과류</v>
      </c>
      <c r="C1673" t="s">
        <v>654</v>
      </c>
      <c r="D1673" t="str">
        <f>VLOOKUP(C1673, '[1]VLOOKUP 함수용 카테고리'!$A$1:$B$59, 2, 0)</f>
        <v>RAW_FRUIT</v>
      </c>
      <c r="E1673" t="s">
        <v>1744</v>
      </c>
      <c r="F1673" t="s">
        <v>3001</v>
      </c>
    </row>
    <row r="1674" spans="1:6" x14ac:dyDescent="0.3">
      <c r="A1674" t="s">
        <v>3088</v>
      </c>
      <c r="B1674" t="str" cm="1">
        <f t="array" ref="B1674">_xlfn.XLOOKUP(C1674, INDEX([1]!카테고리매핑,,2), INDEX([1]!카테고리매핑,,1), "미등록 카테고리")</f>
        <v>육류/계란</v>
      </c>
      <c r="C1674" t="s">
        <v>298</v>
      </c>
      <c r="D1674" t="str">
        <f>VLOOKUP(C1674, '[1]VLOOKUP 함수용 카테고리'!$A$1:$B$59, 2, 0)</f>
        <v>RAW_MEAT</v>
      </c>
      <c r="E1674" t="s">
        <v>298</v>
      </c>
      <c r="F1674" t="s">
        <v>151</v>
      </c>
    </row>
    <row r="1675" spans="1:6" x14ac:dyDescent="0.3">
      <c r="A1675" t="s">
        <v>3089</v>
      </c>
      <c r="B1675" t="str" cm="1">
        <f t="array" ref="B1675">_xlfn.XLOOKUP(C1675, INDEX([1]!카테고리매핑,,2), INDEX([1]!카테고리매핑,,1), "미등록 카테고리")</f>
        <v>조미료</v>
      </c>
      <c r="C1675" t="s">
        <v>117</v>
      </c>
      <c r="D1675" t="str">
        <f>VLOOKUP(C1675, '[1]VLOOKUP 함수용 카테고리'!$A$1:$B$59, 2, 0)</f>
        <v>SAUCE_SEASONING</v>
      </c>
      <c r="E1675" t="s">
        <v>1169</v>
      </c>
      <c r="F1675" t="s">
        <v>3090</v>
      </c>
    </row>
    <row r="1676" spans="1:6" x14ac:dyDescent="0.3">
      <c r="A1676" t="s">
        <v>3091</v>
      </c>
      <c r="B1676" t="str" cm="1">
        <f t="array" ref="B1676">_xlfn.XLOOKUP(C1676, INDEX([1]!카테고리매핑,,2), INDEX([1]!카테고리매핑,,1), "미등록 카테고리")</f>
        <v>육류/계란</v>
      </c>
      <c r="C1676" t="s">
        <v>428</v>
      </c>
      <c r="D1676" t="str">
        <f>VLOOKUP(C1676, '[1]VLOOKUP 함수용 카테고리'!$A$1:$B$59, 2, 0)</f>
        <v>PROCESSED_MEAT</v>
      </c>
      <c r="E1676" t="s">
        <v>3092</v>
      </c>
      <c r="F1676" t="s">
        <v>2487</v>
      </c>
    </row>
    <row r="1677" spans="1:6" x14ac:dyDescent="0.3">
      <c r="A1677" t="s">
        <v>3093</v>
      </c>
      <c r="B1677" t="str" cm="1">
        <f t="array" ref="B1677">_xlfn.XLOOKUP(C1677, INDEX([1]!카테고리매핑,,2), INDEX([1]!카테고리매핑,,1), "미등록 카테고리")</f>
        <v>유제품</v>
      </c>
      <c r="C1677" t="s">
        <v>123</v>
      </c>
      <c r="D1677" t="str">
        <f>VLOOKUP(C1677, '[1]VLOOKUP 함수용 카테고리'!$A$1:$B$59, 2, 0)</f>
        <v>DAIRY</v>
      </c>
      <c r="E1677" t="s">
        <v>239</v>
      </c>
      <c r="F1677" t="s">
        <v>240</v>
      </c>
    </row>
    <row r="1678" spans="1:6" x14ac:dyDescent="0.3">
      <c r="A1678" t="s">
        <v>3094</v>
      </c>
      <c r="B1678" t="str" cm="1">
        <f t="array" ref="B1678">_xlfn.XLOOKUP(C1678, INDEX([1]!카테고리매핑,,2), INDEX([1]!카테고리매핑,,1), "미등록 카테고리")</f>
        <v>조미료</v>
      </c>
      <c r="C1678" t="s">
        <v>127</v>
      </c>
      <c r="D1678" t="str">
        <f>VLOOKUP(C1678, '[1]VLOOKUP 함수용 카테고리'!$A$1:$B$59, 2, 0)</f>
        <v>SAUCE_SEASONING</v>
      </c>
      <c r="E1678" t="s">
        <v>3095</v>
      </c>
      <c r="F1678" t="s">
        <v>182</v>
      </c>
    </row>
    <row r="1679" spans="1:6" x14ac:dyDescent="0.3">
      <c r="A1679" t="s">
        <v>3096</v>
      </c>
      <c r="B1679" t="str" cm="1">
        <f t="array" ref="B1679">_xlfn.XLOOKUP(C1679, INDEX([1]!카테고리매핑,,2), INDEX([1]!카테고리매핑,,1), "미등록 카테고리")</f>
        <v>미등록 카테고리</v>
      </c>
      <c r="C1679" t="s">
        <v>334</v>
      </c>
      <c r="D1679" t="str">
        <f>VLOOKUP(C1679, '[1]VLOOKUP 함수용 카테고리'!$A$1:$B$59, 2, 0)</f>
        <v>UNKNOWN</v>
      </c>
      <c r="E1679" t="s">
        <v>334</v>
      </c>
      <c r="F1679" t="s">
        <v>3097</v>
      </c>
    </row>
    <row r="1680" spans="1:6" x14ac:dyDescent="0.3">
      <c r="A1680" t="s">
        <v>3098</v>
      </c>
      <c r="B1680" t="str" cm="1">
        <f t="array" ref="B1680">_xlfn.XLOOKUP(C1680, INDEX([1]!카테고리매핑,,2), INDEX([1]!카테고리매핑,,1), "미등록 카테고리")</f>
        <v>유제품</v>
      </c>
      <c r="C1680" t="s">
        <v>123</v>
      </c>
      <c r="D1680" t="str">
        <f>VLOOKUP(C1680, '[1]VLOOKUP 함수용 카테고리'!$A$1:$B$59, 2, 0)</f>
        <v>DAIRY</v>
      </c>
      <c r="E1680" t="s">
        <v>190</v>
      </c>
      <c r="F1680" t="s">
        <v>3099</v>
      </c>
    </row>
    <row r="1681" spans="1:6" x14ac:dyDescent="0.3">
      <c r="A1681" t="s">
        <v>3100</v>
      </c>
      <c r="B1681" t="str" cm="1">
        <f t="array" ref="B1681">_xlfn.XLOOKUP(C1681, INDEX([1]!카테고리매핑,,2), INDEX([1]!카테고리매핑,,1), "미등록 카테고리")</f>
        <v>수산물</v>
      </c>
      <c r="C1681" t="s">
        <v>229</v>
      </c>
      <c r="D1681" t="str">
        <f>VLOOKUP(C1681, '[1]VLOOKUP 함수용 카테고리'!$A$1:$B$59, 2, 0)</f>
        <v>RAW_SEAFOOD</v>
      </c>
      <c r="E1681" t="s">
        <v>230</v>
      </c>
    </row>
    <row r="1682" spans="1:6" x14ac:dyDescent="0.3">
      <c r="A1682" t="s">
        <v>3101</v>
      </c>
      <c r="B1682" t="str" cm="1">
        <f t="array" ref="B1682">_xlfn.XLOOKUP(C1682, INDEX([1]!카테고리매핑,,2), INDEX([1]!카테고리매핑,,1), "미등록 카테고리")</f>
        <v>술</v>
      </c>
      <c r="C1682" t="s">
        <v>42</v>
      </c>
      <c r="D1682" t="str">
        <f>VLOOKUP(C1682, '[1]VLOOKUP 함수용 카테고리'!$A$1:$B$59, 2, 0)</f>
        <v>ALCOHOL</v>
      </c>
      <c r="E1682" t="s">
        <v>43</v>
      </c>
    </row>
    <row r="1683" spans="1:6" x14ac:dyDescent="0.3">
      <c r="A1683" t="s">
        <v>3102</v>
      </c>
      <c r="B1683" t="str" cm="1">
        <f t="array" ref="B1683">_xlfn.XLOOKUP(C1683, INDEX([1]!카테고리매핑,,2), INDEX([1]!카테고리매핑,,1), "미등록 카테고리")</f>
        <v>술</v>
      </c>
      <c r="C1683" t="s">
        <v>42</v>
      </c>
      <c r="D1683" t="str">
        <f>VLOOKUP(C1683, '[1]VLOOKUP 함수용 카테고리'!$A$1:$B$59, 2, 0)</f>
        <v>ALCOHOL</v>
      </c>
      <c r="E1683" t="s">
        <v>1074</v>
      </c>
      <c r="F1683" t="s">
        <v>182</v>
      </c>
    </row>
    <row r="1684" spans="1:6" x14ac:dyDescent="0.3">
      <c r="A1684" t="s">
        <v>3103</v>
      </c>
      <c r="B1684" t="str" cm="1">
        <f t="array" ref="B1684">_xlfn.XLOOKUP(C1684, INDEX([1]!카테고리매핑,,2), INDEX([1]!카테고리매핑,,1), "미등록 카테고리")</f>
        <v>유제품</v>
      </c>
      <c r="C1684" t="s">
        <v>211</v>
      </c>
      <c r="D1684" t="str">
        <f>VLOOKUP(C1684, '[1]VLOOKUP 함수용 카테고리'!$A$1:$B$59, 2, 0)</f>
        <v>DAIRY</v>
      </c>
      <c r="E1684" t="s">
        <v>212</v>
      </c>
      <c r="F1684" t="s">
        <v>475</v>
      </c>
    </row>
    <row r="1685" spans="1:6" x14ac:dyDescent="0.3">
      <c r="A1685" t="s">
        <v>3104</v>
      </c>
      <c r="B1685" t="str" cm="1">
        <f t="array" ref="B1685">_xlfn.XLOOKUP(C1685, INDEX([1]!카테고리매핑,,2), INDEX([1]!카테고리매핑,,1), "미등록 카테고리")</f>
        <v>육류/계란</v>
      </c>
      <c r="C1685" t="s">
        <v>149</v>
      </c>
      <c r="D1685" t="str">
        <f>VLOOKUP(C1685, '[1]VLOOKUP 함수용 카테고리'!$A$1:$B$59, 2, 0)</f>
        <v>RAW_MEAT</v>
      </c>
      <c r="E1685" t="s">
        <v>266</v>
      </c>
      <c r="F1685" t="s">
        <v>72</v>
      </c>
    </row>
    <row r="1686" spans="1:6" x14ac:dyDescent="0.3">
      <c r="A1686" t="s">
        <v>3105</v>
      </c>
      <c r="B1686" t="str" cm="1">
        <f t="array" ref="B1686">_xlfn.XLOOKUP(C1686, INDEX([1]!카테고리매핑,,2), INDEX([1]!카테고리매핑,,1), "미등록 카테고리")</f>
        <v>채소/곡물류</v>
      </c>
      <c r="C1686" t="s">
        <v>27</v>
      </c>
      <c r="D1686" t="str">
        <f>VLOOKUP(C1686, '[1]VLOOKUP 함수용 카테고리'!$A$1:$B$59, 2, 0)</f>
        <v>SIMPLE_PROCESSED</v>
      </c>
      <c r="E1686" t="s">
        <v>28</v>
      </c>
      <c r="F1686" t="s">
        <v>350</v>
      </c>
    </row>
    <row r="1687" spans="1:6" x14ac:dyDescent="0.3">
      <c r="A1687" t="s">
        <v>3106</v>
      </c>
      <c r="B1687" t="str" cm="1">
        <f t="array" ref="B1687">_xlfn.XLOOKUP(C1687, INDEX([1]!카테고리매핑,,2), INDEX([1]!카테고리매핑,,1), "미등록 카테고리")</f>
        <v>음료</v>
      </c>
      <c r="C1687" t="s">
        <v>23</v>
      </c>
      <c r="D1687" t="str">
        <f>VLOOKUP(C1687, '[1]VLOOKUP 함수용 카테고리'!$A$1:$B$59, 2, 0)</f>
        <v>BEVERAGE</v>
      </c>
      <c r="E1687" t="s">
        <v>3107</v>
      </c>
      <c r="F1687" t="s">
        <v>3108</v>
      </c>
    </row>
    <row r="1688" spans="1:6" x14ac:dyDescent="0.3">
      <c r="A1688" t="s">
        <v>3109</v>
      </c>
      <c r="B1688" t="str" cm="1">
        <f t="array" ref="B1688">_xlfn.XLOOKUP(C1688, INDEX([1]!카테고리매핑,,2), INDEX([1]!카테고리매핑,,1), "미등록 카테고리")</f>
        <v>유제품</v>
      </c>
      <c r="C1688" t="s">
        <v>432</v>
      </c>
      <c r="D1688" t="str">
        <f>VLOOKUP(C1688, '[1]VLOOKUP 함수용 카테고리'!$A$1:$B$59, 2, 0)</f>
        <v>DAIRY</v>
      </c>
      <c r="E1688" t="s">
        <v>549</v>
      </c>
      <c r="F1688" t="s">
        <v>1467</v>
      </c>
    </row>
    <row r="1689" spans="1:6" x14ac:dyDescent="0.3">
      <c r="A1689" t="s">
        <v>3110</v>
      </c>
      <c r="B1689" t="str" cm="1">
        <f t="array" ref="B1689">_xlfn.XLOOKUP(C1689, INDEX([1]!카테고리매핑,,2), INDEX([1]!카테고리매핑,,1), "미등록 카테고리")</f>
        <v>수산물</v>
      </c>
      <c r="C1689" t="s">
        <v>203</v>
      </c>
      <c r="D1689" t="str">
        <f>VLOOKUP(C1689, '[1]VLOOKUP 함수용 카테고리'!$A$1:$B$59, 2, 0)</f>
        <v>RAW_SEAFOOD</v>
      </c>
      <c r="E1689" t="s">
        <v>2043</v>
      </c>
      <c r="F1689" t="s">
        <v>1804</v>
      </c>
    </row>
    <row r="1690" spans="1:6" x14ac:dyDescent="0.3">
      <c r="A1690" t="s">
        <v>3111</v>
      </c>
      <c r="B1690" t="str" cm="1">
        <f t="array" ref="B1690">_xlfn.XLOOKUP(C1690, INDEX([1]!카테고리매핑,,2), INDEX([1]!카테고리매핑,,1), "미등록 카테고리")</f>
        <v>육류/계란</v>
      </c>
      <c r="C1690" t="s">
        <v>105</v>
      </c>
      <c r="D1690" t="str">
        <f>VLOOKUP(C1690, '[1]VLOOKUP 함수용 카테고리'!$A$1:$B$59, 2, 0)</f>
        <v>RAW_MEAT</v>
      </c>
      <c r="E1690" t="s">
        <v>3112</v>
      </c>
      <c r="F1690" t="s">
        <v>350</v>
      </c>
    </row>
    <row r="1691" spans="1:6" x14ac:dyDescent="0.3">
      <c r="A1691" t="s">
        <v>3113</v>
      </c>
      <c r="B1691" t="str" cm="1">
        <f t="array" ref="B1691">_xlfn.XLOOKUP(C1691, INDEX([1]!카테고리매핑,,2), INDEX([1]!카테고리매핑,,1), "미등록 카테고리")</f>
        <v>간식류</v>
      </c>
      <c r="C1691" t="s">
        <v>38</v>
      </c>
      <c r="D1691" t="str">
        <f>VLOOKUP(C1691, '[1]VLOOKUP 함수용 카테고리'!$A$1:$B$59, 2, 0)</f>
        <v>SNACK</v>
      </c>
      <c r="E1691" t="s">
        <v>179</v>
      </c>
      <c r="F1691" t="s">
        <v>3114</v>
      </c>
    </row>
    <row r="1692" spans="1:6" x14ac:dyDescent="0.3">
      <c r="A1692" t="s">
        <v>3115</v>
      </c>
      <c r="B1692" t="str" cm="1">
        <f t="array" ref="B1692">_xlfn.XLOOKUP(C1692, INDEX([1]!카테고리매핑,,2), INDEX([1]!카테고리매핑,,1), "미등록 카테고리")</f>
        <v>육류/계란</v>
      </c>
      <c r="C1692" t="s">
        <v>428</v>
      </c>
      <c r="D1692" t="str">
        <f>VLOOKUP(C1692, '[1]VLOOKUP 함수용 카테고리'!$A$1:$B$59, 2, 0)</f>
        <v>PROCESSED_MEAT</v>
      </c>
      <c r="E1692" t="s">
        <v>3116</v>
      </c>
      <c r="F1692" t="s">
        <v>1611</v>
      </c>
    </row>
    <row r="1693" spans="1:6" x14ac:dyDescent="0.3">
      <c r="A1693" t="s">
        <v>3117</v>
      </c>
      <c r="B1693" t="str" cm="1">
        <f t="array" ref="B1693">_xlfn.XLOOKUP(C1693, INDEX([1]!카테고리매핑,,2), INDEX([1]!카테고리매핑,,1), "미등록 카테고리")</f>
        <v>유제품</v>
      </c>
      <c r="C1693" t="s">
        <v>98</v>
      </c>
      <c r="D1693" t="str">
        <f>VLOOKUP(C1693, '[1]VLOOKUP 함수용 카테고리'!$A$1:$B$59, 2, 0)</f>
        <v>DAIRY</v>
      </c>
      <c r="E1693" t="s">
        <v>3118</v>
      </c>
      <c r="F1693" t="s">
        <v>3119</v>
      </c>
    </row>
    <row r="1694" spans="1:6" x14ac:dyDescent="0.3">
      <c r="A1694" t="s">
        <v>3120</v>
      </c>
      <c r="B1694" t="str" cm="1">
        <f t="array" ref="B1694">_xlfn.XLOOKUP(C1694, INDEX([1]!카테고리매핑,,2), INDEX([1]!카테고리매핑,,1), "미등록 카테고리")</f>
        <v>채소/곡물류</v>
      </c>
      <c r="C1694" t="s">
        <v>7</v>
      </c>
      <c r="D1694" t="str">
        <f>VLOOKUP(C1694, '[1]VLOOKUP 함수용 카테고리'!$A$1:$B$59, 2, 0)</f>
        <v>RAW_PRODUCE</v>
      </c>
      <c r="E1694" t="s">
        <v>743</v>
      </c>
      <c r="F1694" t="s">
        <v>406</v>
      </c>
    </row>
    <row r="1695" spans="1:6" x14ac:dyDescent="0.3">
      <c r="A1695" t="s">
        <v>3121</v>
      </c>
      <c r="B1695" t="str" cm="1">
        <f t="array" ref="B1695">_xlfn.XLOOKUP(C1695, INDEX([1]!카테고리매핑,,2), INDEX([1]!카테고리매핑,,1), "미등록 카테고리")</f>
        <v>채소/곡물류</v>
      </c>
      <c r="C1695" t="s">
        <v>7</v>
      </c>
      <c r="D1695" t="str">
        <f>VLOOKUP(C1695, '[1]VLOOKUP 함수용 카테고리'!$A$1:$B$59, 2, 0)</f>
        <v>RAW_PRODUCE</v>
      </c>
      <c r="E1695" t="s">
        <v>1597</v>
      </c>
      <c r="F1695" t="s">
        <v>1597</v>
      </c>
    </row>
    <row r="1696" spans="1:6" x14ac:dyDescent="0.3">
      <c r="A1696" t="s">
        <v>3122</v>
      </c>
      <c r="B1696" t="str" cm="1">
        <f t="array" ref="B1696">_xlfn.XLOOKUP(C1696, INDEX([1]!카테고리매핑,,2), INDEX([1]!카테고리매핑,,1), "미등록 카테고리")</f>
        <v>채소/곡물류</v>
      </c>
      <c r="C1696" t="s">
        <v>7</v>
      </c>
      <c r="D1696" t="str">
        <f>VLOOKUP(C1696, '[1]VLOOKUP 함수용 카테고리'!$A$1:$B$59, 2, 0)</f>
        <v>RAW_PRODUCE</v>
      </c>
      <c r="E1696" t="s">
        <v>1177</v>
      </c>
    </row>
    <row r="1697" spans="1:6" x14ac:dyDescent="0.3">
      <c r="A1697" t="s">
        <v>3123</v>
      </c>
      <c r="B1697" t="str" cm="1">
        <f t="array" ref="B1697">_xlfn.XLOOKUP(C1697, INDEX([1]!카테고리매핑,,2), INDEX([1]!카테고리매핑,,1), "미등록 카테고리")</f>
        <v>채소/곡물류</v>
      </c>
      <c r="C1697" t="s">
        <v>27</v>
      </c>
      <c r="D1697" t="str">
        <f>VLOOKUP(C1697, '[1]VLOOKUP 함수용 카테고리'!$A$1:$B$59, 2, 0)</f>
        <v>SIMPLE_PROCESSED</v>
      </c>
      <c r="E1697" t="s">
        <v>28</v>
      </c>
      <c r="F1697" t="s">
        <v>51</v>
      </c>
    </row>
    <row r="1698" spans="1:6" x14ac:dyDescent="0.3">
      <c r="A1698" t="s">
        <v>3124</v>
      </c>
      <c r="B1698" t="str" cm="1">
        <f t="array" ref="B1698">_xlfn.XLOOKUP(C1698, INDEX([1]!카테고리매핑,,2), INDEX([1]!카테고리매핑,,1), "미등록 카테고리")</f>
        <v>간식류</v>
      </c>
      <c r="C1698" t="s">
        <v>109</v>
      </c>
      <c r="D1698" t="str">
        <f>VLOOKUP(C1698, '[1]VLOOKUP 함수용 카테고리'!$A$1:$B$59, 2, 0)</f>
        <v>SNACK</v>
      </c>
      <c r="E1698" t="s">
        <v>1121</v>
      </c>
      <c r="F1698" t="s">
        <v>2631</v>
      </c>
    </row>
    <row r="1699" spans="1:6" x14ac:dyDescent="0.3">
      <c r="A1699" t="s">
        <v>3125</v>
      </c>
      <c r="B1699" t="str" cm="1">
        <f t="array" ref="B1699">_xlfn.XLOOKUP(C1699, INDEX([1]!카테고리매핑,,2), INDEX([1]!카테고리매핑,,1), "미등록 카테고리")</f>
        <v>술</v>
      </c>
      <c r="C1699" t="s">
        <v>42</v>
      </c>
      <c r="D1699" t="str">
        <f>VLOOKUP(C1699, '[1]VLOOKUP 함수용 카테고리'!$A$1:$B$59, 2, 0)</f>
        <v>ALCOHOL</v>
      </c>
      <c r="E1699" t="s">
        <v>347</v>
      </c>
    </row>
    <row r="1700" spans="1:6" x14ac:dyDescent="0.3">
      <c r="A1700" t="s">
        <v>3126</v>
      </c>
      <c r="B1700" t="str" cm="1">
        <f t="array" ref="B1700">_xlfn.XLOOKUP(C1700, INDEX([1]!카테고리매핑,,2), INDEX([1]!카테고리매핑,,1), "미등록 카테고리")</f>
        <v>수산물</v>
      </c>
      <c r="C1700" t="s">
        <v>229</v>
      </c>
      <c r="D1700" t="str">
        <f>VLOOKUP(C1700, '[1]VLOOKUP 함수용 카테고리'!$A$1:$B$59, 2, 0)</f>
        <v>RAW_SEAFOOD</v>
      </c>
      <c r="E1700" t="s">
        <v>230</v>
      </c>
    </row>
    <row r="1701" spans="1:6" x14ac:dyDescent="0.3">
      <c r="A1701" t="s">
        <v>3127</v>
      </c>
      <c r="B1701" t="str" cm="1">
        <f t="array" ref="B1701">_xlfn.XLOOKUP(C1701, INDEX([1]!카테고리매핑,,2), INDEX([1]!카테고리매핑,,1), "미등록 카테고리")</f>
        <v>유제품</v>
      </c>
      <c r="C1701" t="s">
        <v>123</v>
      </c>
      <c r="D1701" t="str">
        <f>VLOOKUP(C1701, '[1]VLOOKUP 함수용 카테고리'!$A$1:$B$59, 2, 0)</f>
        <v>DAIRY</v>
      </c>
      <c r="E1701" t="s">
        <v>949</v>
      </c>
      <c r="F1701" t="s">
        <v>193</v>
      </c>
    </row>
    <row r="1702" spans="1:6" x14ac:dyDescent="0.3">
      <c r="A1702" t="s">
        <v>3128</v>
      </c>
      <c r="B1702" t="str" cm="1">
        <f t="array" ref="B1702">_xlfn.XLOOKUP(C1702, INDEX([1]!카테고리매핑,,2), INDEX([1]!카테고리매핑,,1), "미등록 카테고리")</f>
        <v>채소/곡물류</v>
      </c>
      <c r="C1702" t="s">
        <v>7</v>
      </c>
      <c r="D1702" t="str">
        <f>VLOOKUP(C1702, '[1]VLOOKUP 함수용 카테고리'!$A$1:$B$59, 2, 0)</f>
        <v>RAW_PRODUCE</v>
      </c>
      <c r="E1702" t="s">
        <v>3129</v>
      </c>
      <c r="F1702" t="s">
        <v>7806</v>
      </c>
    </row>
    <row r="1703" spans="1:6" x14ac:dyDescent="0.3">
      <c r="A1703" t="s">
        <v>3130</v>
      </c>
      <c r="B1703" t="str" cm="1">
        <f t="array" ref="B1703">_xlfn.XLOOKUP(C1703, INDEX([1]!카테고리매핑,,2), INDEX([1]!카테고리매핑,,1), "미등록 카테고리")</f>
        <v>유제품</v>
      </c>
      <c r="C1703" t="s">
        <v>211</v>
      </c>
      <c r="D1703" t="str">
        <f>VLOOKUP(C1703, '[1]VLOOKUP 함수용 카테고리'!$A$1:$B$59, 2, 0)</f>
        <v>DAIRY</v>
      </c>
      <c r="E1703" t="s">
        <v>212</v>
      </c>
      <c r="F1703" t="s">
        <v>193</v>
      </c>
    </row>
    <row r="1704" spans="1:6" x14ac:dyDescent="0.3">
      <c r="A1704" t="s">
        <v>3131</v>
      </c>
      <c r="B1704" t="str" cm="1">
        <f t="array" ref="B1704">_xlfn.XLOOKUP(C1704, INDEX([1]!카테고리매핑,,2), INDEX([1]!카테고리매핑,,1), "미등록 카테고리")</f>
        <v>육류/계란</v>
      </c>
      <c r="C1704" t="s">
        <v>34</v>
      </c>
      <c r="D1704" t="str">
        <f>VLOOKUP(C1704, '[1]VLOOKUP 함수용 카테고리'!$A$1:$B$59, 2, 0)</f>
        <v>RAW_MEAT</v>
      </c>
      <c r="E1704" t="s">
        <v>2839</v>
      </c>
      <c r="F1704" t="s">
        <v>151</v>
      </c>
    </row>
    <row r="1705" spans="1:6" x14ac:dyDescent="0.3">
      <c r="A1705" t="s">
        <v>3132</v>
      </c>
      <c r="B1705" t="str" cm="1">
        <f t="array" ref="B1705">_xlfn.XLOOKUP(C1705, INDEX([1]!카테고리매핑,,2), INDEX([1]!카테고리매핑,,1), "미등록 카테고리")</f>
        <v>유제품</v>
      </c>
      <c r="C1705" t="s">
        <v>98</v>
      </c>
      <c r="D1705" t="str">
        <f>VLOOKUP(C1705, '[1]VLOOKUP 함수용 카테고리'!$A$1:$B$59, 2, 0)</f>
        <v>DAIRY</v>
      </c>
      <c r="E1705" t="s">
        <v>273</v>
      </c>
      <c r="F1705" t="s">
        <v>3133</v>
      </c>
    </row>
    <row r="1706" spans="1:6" x14ac:dyDescent="0.3">
      <c r="A1706" t="s">
        <v>3134</v>
      </c>
      <c r="B1706" t="str" cm="1">
        <f t="array" ref="B1706">_xlfn.XLOOKUP(C1706, INDEX([1]!카테고리매핑,,2), INDEX([1]!카테고리매핑,,1), "미등록 카테고리")</f>
        <v>유제품</v>
      </c>
      <c r="C1706" t="s">
        <v>123</v>
      </c>
      <c r="D1706" t="str">
        <f>VLOOKUP(C1706, '[1]VLOOKUP 함수용 카테고리'!$A$1:$B$59, 2, 0)</f>
        <v>DAIRY</v>
      </c>
      <c r="E1706" t="s">
        <v>190</v>
      </c>
      <c r="F1706" t="s">
        <v>3135</v>
      </c>
    </row>
    <row r="1707" spans="1:6" x14ac:dyDescent="0.3">
      <c r="A1707" t="s">
        <v>3136</v>
      </c>
      <c r="B1707" t="str" cm="1">
        <f t="array" ref="B1707">_xlfn.XLOOKUP(C1707, INDEX([1]!카테고리매핑,,2), INDEX([1]!카테고리매핑,,1), "미등록 카테고리")</f>
        <v>조미료</v>
      </c>
      <c r="C1707" t="s">
        <v>117</v>
      </c>
      <c r="D1707" t="str">
        <f>VLOOKUP(C1707, '[1]VLOOKUP 함수용 카테고리'!$A$1:$B$59, 2, 0)</f>
        <v>SAUCE_SEASONING</v>
      </c>
      <c r="E1707" t="s">
        <v>645</v>
      </c>
      <c r="F1707" t="s">
        <v>350</v>
      </c>
    </row>
    <row r="1708" spans="1:6" x14ac:dyDescent="0.3">
      <c r="A1708" t="s">
        <v>3137</v>
      </c>
      <c r="B1708" t="str" cm="1">
        <f t="array" ref="B1708">_xlfn.XLOOKUP(C1708, INDEX([1]!카테고리매핑,,2), INDEX([1]!카테고리매핑,,1), "미등록 카테고리")</f>
        <v>음료</v>
      </c>
      <c r="C1708" t="s">
        <v>23</v>
      </c>
      <c r="D1708" t="str">
        <f>VLOOKUP(C1708, '[1]VLOOKUP 함수용 카테고리'!$A$1:$B$59, 2, 0)</f>
        <v>BEVERAGE</v>
      </c>
      <c r="E1708" t="s">
        <v>355</v>
      </c>
      <c r="F1708" t="s">
        <v>356</v>
      </c>
    </row>
    <row r="1709" spans="1:6" x14ac:dyDescent="0.3">
      <c r="A1709" t="s">
        <v>3138</v>
      </c>
      <c r="B1709" t="str" cm="1">
        <f t="array" ref="B1709">_xlfn.XLOOKUP(C1709, INDEX([1]!카테고리매핑,,2), INDEX([1]!카테고리매핑,,1), "미등록 카테고리")</f>
        <v>간편식</v>
      </c>
      <c r="C1709" t="s">
        <v>46</v>
      </c>
      <c r="D1709" t="str">
        <f>VLOOKUP(C1709, '[1]VLOOKUP 함수용 카테고리'!$A$1:$B$59, 2, 0)</f>
        <v>RTC_MEAL</v>
      </c>
      <c r="E1709" t="s">
        <v>46</v>
      </c>
      <c r="F1709" t="s">
        <v>3139</v>
      </c>
    </row>
    <row r="1710" spans="1:6" x14ac:dyDescent="0.3">
      <c r="A1710" t="s">
        <v>3140</v>
      </c>
      <c r="B1710" t="str" cm="1">
        <f t="array" ref="B1710">_xlfn.XLOOKUP(C1710, INDEX([1]!카테고리매핑,,2), INDEX([1]!카테고리매핑,,1), "미등록 카테고리")</f>
        <v>채소/곡물류</v>
      </c>
      <c r="C1710" t="s">
        <v>301</v>
      </c>
      <c r="D1710" t="str">
        <f>VLOOKUP(C1710, '[1]VLOOKUP 함수용 카테고리'!$A$1:$B$59, 2, 0)</f>
        <v>GRAIN</v>
      </c>
      <c r="E1710" t="s">
        <v>611</v>
      </c>
      <c r="F1710" t="s">
        <v>303</v>
      </c>
    </row>
    <row r="1711" spans="1:6" x14ac:dyDescent="0.3">
      <c r="A1711" t="s">
        <v>3141</v>
      </c>
      <c r="B1711" t="str" cm="1">
        <f t="array" ref="B1711">_xlfn.XLOOKUP(C1711, INDEX([1]!카테고리매핑,,2), INDEX([1]!카테고리매핑,,1), "미등록 카테고리")</f>
        <v>간편식</v>
      </c>
      <c r="C1711" t="s">
        <v>167</v>
      </c>
      <c r="D1711" t="str">
        <f>VLOOKUP(C1711, '[1]VLOOKUP 함수용 카테고리'!$A$1:$B$59, 2, 0)</f>
        <v>INSTANT</v>
      </c>
      <c r="E1711" t="s">
        <v>3142</v>
      </c>
      <c r="F1711" t="s">
        <v>848</v>
      </c>
    </row>
    <row r="1712" spans="1:6" x14ac:dyDescent="0.3">
      <c r="A1712" t="s">
        <v>3143</v>
      </c>
      <c r="B1712" t="str" cm="1">
        <f t="array" ref="B1712">_xlfn.XLOOKUP(C1712, INDEX([1]!카테고리매핑,,2), INDEX([1]!카테고리매핑,,1), "미등록 카테고리")</f>
        <v>음료</v>
      </c>
      <c r="C1712" t="s">
        <v>23</v>
      </c>
      <c r="D1712" t="str">
        <f>VLOOKUP(C1712, '[1]VLOOKUP 함수용 카테고리'!$A$1:$B$59, 2, 0)</f>
        <v>BEVERAGE</v>
      </c>
      <c r="E1712" t="s">
        <v>323</v>
      </c>
      <c r="F1712" t="s">
        <v>7807</v>
      </c>
    </row>
    <row r="1713" spans="1:6" x14ac:dyDescent="0.3">
      <c r="A1713" t="s">
        <v>3144</v>
      </c>
      <c r="B1713" t="str" cm="1">
        <f t="array" ref="B1713">_xlfn.XLOOKUP(C1713, INDEX([1]!카테고리매핑,,2), INDEX([1]!카테고리매핑,,1), "미등록 카테고리")</f>
        <v>유제품</v>
      </c>
      <c r="C1713" t="s">
        <v>123</v>
      </c>
      <c r="D1713" t="str">
        <f>VLOOKUP(C1713, '[1]VLOOKUP 함수용 카테고리'!$A$1:$B$59, 2, 0)</f>
        <v>DAIRY</v>
      </c>
      <c r="E1713" t="s">
        <v>190</v>
      </c>
      <c r="F1713" t="s">
        <v>193</v>
      </c>
    </row>
    <row r="1714" spans="1:6" x14ac:dyDescent="0.3">
      <c r="A1714" t="s">
        <v>3145</v>
      </c>
      <c r="B1714" t="str" cm="1">
        <f t="array" ref="B1714">_xlfn.XLOOKUP(C1714, INDEX([1]!카테고리매핑,,2), INDEX([1]!카테고리매핑,,1), "미등록 카테고리")</f>
        <v>간편식</v>
      </c>
      <c r="C1714" t="s">
        <v>19</v>
      </c>
      <c r="D1714" t="str">
        <f>VLOOKUP(C1714, '[1]VLOOKUP 함수용 카테고리'!$A$1:$B$59, 2, 0)</f>
        <v>FROZEN_MEAL</v>
      </c>
      <c r="E1714" t="s">
        <v>245</v>
      </c>
      <c r="F1714" t="s">
        <v>156</v>
      </c>
    </row>
    <row r="1715" spans="1:6" x14ac:dyDescent="0.3">
      <c r="A1715" t="s">
        <v>3146</v>
      </c>
      <c r="B1715" t="str" cm="1">
        <f t="array" ref="B1715">_xlfn.XLOOKUP(C1715, INDEX([1]!카테고리매핑,,2), INDEX([1]!카테고리매핑,,1), "미등록 카테고리")</f>
        <v>음료</v>
      </c>
      <c r="C1715" t="s">
        <v>584</v>
      </c>
      <c r="D1715" t="str">
        <f>VLOOKUP(C1715, '[1]VLOOKUP 함수용 카테고리'!$A$1:$B$59, 2, 0)</f>
        <v>BEVERAGE</v>
      </c>
      <c r="E1715" t="s">
        <v>3147</v>
      </c>
      <c r="F1715" t="s">
        <v>3148</v>
      </c>
    </row>
    <row r="1716" spans="1:6" x14ac:dyDescent="0.3">
      <c r="A1716" t="s">
        <v>3149</v>
      </c>
      <c r="B1716" t="str" cm="1">
        <f t="array" ref="B1716">_xlfn.XLOOKUP(C1716, INDEX([1]!카테고리매핑,,2), INDEX([1]!카테고리매핑,,1), "미등록 카테고리")</f>
        <v>음료</v>
      </c>
      <c r="C1716" t="s">
        <v>23</v>
      </c>
      <c r="D1716" t="str">
        <f>VLOOKUP(C1716, '[1]VLOOKUP 함수용 카테고리'!$A$1:$B$59, 2, 0)</f>
        <v>BEVERAGE</v>
      </c>
      <c r="E1716" t="s">
        <v>323</v>
      </c>
      <c r="F1716" t="s">
        <v>1600</v>
      </c>
    </row>
    <row r="1717" spans="1:6" x14ac:dyDescent="0.3">
      <c r="A1717" t="s">
        <v>3150</v>
      </c>
      <c r="B1717" t="str" cm="1">
        <f t="array" ref="B1717">_xlfn.XLOOKUP(C1717, INDEX([1]!카테고리매핑,,2), INDEX([1]!카테고리매핑,,1), "미등록 카테고리")</f>
        <v>육류/계란</v>
      </c>
      <c r="C1717" t="s">
        <v>428</v>
      </c>
      <c r="D1717" t="str">
        <f>VLOOKUP(C1717, '[1]VLOOKUP 함수용 카테고리'!$A$1:$B$59, 2, 0)</f>
        <v>PROCESSED_MEAT</v>
      </c>
      <c r="E1717" t="s">
        <v>790</v>
      </c>
      <c r="F1717" t="s">
        <v>246</v>
      </c>
    </row>
    <row r="1718" spans="1:6" x14ac:dyDescent="0.3">
      <c r="A1718" t="s">
        <v>3151</v>
      </c>
      <c r="B1718" t="str" cm="1">
        <f t="array" ref="B1718">_xlfn.XLOOKUP(C1718, INDEX([1]!카테고리매핑,,2), INDEX([1]!카테고리매핑,,1), "미등록 카테고리")</f>
        <v>조미료</v>
      </c>
      <c r="C1718" t="s">
        <v>117</v>
      </c>
      <c r="D1718" t="str">
        <f>VLOOKUP(C1718, '[1]VLOOKUP 함수용 카테고리'!$A$1:$B$59, 2, 0)</f>
        <v>SAUCE_SEASONING</v>
      </c>
      <c r="E1718" t="s">
        <v>2025</v>
      </c>
      <c r="F1718" t="s">
        <v>350</v>
      </c>
    </row>
    <row r="1719" spans="1:6" x14ac:dyDescent="0.3">
      <c r="A1719" t="s">
        <v>3152</v>
      </c>
      <c r="B1719" t="str" cm="1">
        <f t="array" ref="B1719">_xlfn.XLOOKUP(C1719, INDEX([1]!카테고리매핑,,2), INDEX([1]!카테고리매핑,,1), "미등록 카테고리")</f>
        <v>수산물</v>
      </c>
      <c r="C1719" t="s">
        <v>140</v>
      </c>
      <c r="D1719" t="str">
        <f>VLOOKUP(C1719, '[1]VLOOKUP 함수용 카테고리'!$A$1:$B$59, 2, 0)</f>
        <v>SIMPLE_PROCESSED</v>
      </c>
      <c r="E1719" t="s">
        <v>141</v>
      </c>
      <c r="F1719" t="s">
        <v>1244</v>
      </c>
    </row>
    <row r="1720" spans="1:6" x14ac:dyDescent="0.3">
      <c r="A1720" t="s">
        <v>3153</v>
      </c>
      <c r="B1720" t="str" cm="1">
        <f t="array" ref="B1720">_xlfn.XLOOKUP(C1720, INDEX([1]!카테고리매핑,,2), INDEX([1]!카테고리매핑,,1), "미등록 카테고리")</f>
        <v>채소/곡물류</v>
      </c>
      <c r="C1720" t="s">
        <v>301</v>
      </c>
      <c r="D1720" t="str">
        <f>VLOOKUP(C1720, '[1]VLOOKUP 함수용 카테고리'!$A$1:$B$59, 2, 0)</f>
        <v>GRAIN</v>
      </c>
      <c r="E1720" t="s">
        <v>2023</v>
      </c>
      <c r="F1720" t="s">
        <v>296</v>
      </c>
    </row>
    <row r="1721" spans="1:6" x14ac:dyDescent="0.3">
      <c r="A1721" t="s">
        <v>3154</v>
      </c>
      <c r="B1721" t="str" cm="1">
        <f t="array" ref="B1721">_xlfn.XLOOKUP(C1721, INDEX([1]!카테고리매핑,,2), INDEX([1]!카테고리매핑,,1), "미등록 카테고리")</f>
        <v>수산물</v>
      </c>
      <c r="C1721" t="s">
        <v>229</v>
      </c>
      <c r="D1721" t="str">
        <f>VLOOKUP(C1721, '[1]VLOOKUP 함수용 카테고리'!$A$1:$B$59, 2, 0)</f>
        <v>RAW_SEAFOOD</v>
      </c>
      <c r="E1721" t="s">
        <v>230</v>
      </c>
      <c r="F1721" t="s">
        <v>1070</v>
      </c>
    </row>
    <row r="1722" spans="1:6" x14ac:dyDescent="0.3">
      <c r="A1722" t="s">
        <v>3155</v>
      </c>
      <c r="B1722" t="str" cm="1">
        <f t="array" ref="B1722">_xlfn.XLOOKUP(C1722, INDEX([1]!카테고리매핑,,2), INDEX([1]!카테고리매핑,,1), "미등록 카테고리")</f>
        <v>간식류</v>
      </c>
      <c r="C1722" t="s">
        <v>11</v>
      </c>
      <c r="D1722" t="str">
        <f>VLOOKUP(C1722, '[1]VLOOKUP 함수용 카테고리'!$A$1:$B$59, 2, 0)</f>
        <v>SNACK</v>
      </c>
      <c r="E1722" t="s">
        <v>3156</v>
      </c>
      <c r="F1722" t="s">
        <v>7799</v>
      </c>
    </row>
    <row r="1723" spans="1:6" x14ac:dyDescent="0.3">
      <c r="A1723" t="s">
        <v>3157</v>
      </c>
      <c r="B1723" t="str" cm="1">
        <f t="array" ref="B1723">_xlfn.XLOOKUP(C1723, INDEX([1]!카테고리매핑,,2), INDEX([1]!카테고리매핑,,1), "미등록 카테고리")</f>
        <v>간식류</v>
      </c>
      <c r="C1723" t="s">
        <v>15</v>
      </c>
      <c r="D1723" t="str">
        <f>VLOOKUP(C1723, '[1]VLOOKUP 함수용 카테고리'!$A$1:$B$59, 2, 0)</f>
        <v>BAKERY</v>
      </c>
      <c r="E1723" t="s">
        <v>2600</v>
      </c>
      <c r="F1723" t="s">
        <v>2601</v>
      </c>
    </row>
    <row r="1724" spans="1:6" x14ac:dyDescent="0.3">
      <c r="A1724" t="s">
        <v>3158</v>
      </c>
      <c r="B1724" t="str" cm="1">
        <f t="array" ref="B1724">_xlfn.XLOOKUP(C1724, INDEX([1]!카테고리매핑,,2), INDEX([1]!카테고리매핑,,1), "미등록 카테고리")</f>
        <v>간식류</v>
      </c>
      <c r="C1724" t="s">
        <v>63</v>
      </c>
      <c r="D1724" t="str">
        <f>VLOOKUP(C1724, '[1]VLOOKUP 함수용 카테고리'!$A$1:$B$59, 2, 0)</f>
        <v>BAKERY</v>
      </c>
      <c r="E1724" t="s">
        <v>672</v>
      </c>
      <c r="F1724" t="s">
        <v>129</v>
      </c>
    </row>
    <row r="1725" spans="1:6" x14ac:dyDescent="0.3">
      <c r="A1725" t="s">
        <v>3159</v>
      </c>
      <c r="B1725" t="str" cm="1">
        <f t="array" ref="B1725">_xlfn.XLOOKUP(C1725, INDEX([1]!카테고리매핑,,2), INDEX([1]!카테고리매핑,,1), "미등록 카테고리")</f>
        <v>과일/견과류</v>
      </c>
      <c r="C1725" t="s">
        <v>654</v>
      </c>
      <c r="D1725" t="str">
        <f>VLOOKUP(C1725, '[1]VLOOKUP 함수용 카테고리'!$A$1:$B$59, 2, 0)</f>
        <v>RAW_FRUIT</v>
      </c>
      <c r="E1725" t="s">
        <v>1744</v>
      </c>
      <c r="F1725" t="s">
        <v>3001</v>
      </c>
    </row>
    <row r="1726" spans="1:6" x14ac:dyDescent="0.3">
      <c r="A1726" t="s">
        <v>3160</v>
      </c>
      <c r="B1726" t="str" cm="1">
        <f t="array" ref="B1726">_xlfn.XLOOKUP(C1726, INDEX([1]!카테고리매핑,,2), INDEX([1]!카테고리매핑,,1), "미등록 카테고리")</f>
        <v>채소/곡물류</v>
      </c>
      <c r="C1726" t="s">
        <v>301</v>
      </c>
      <c r="D1726" t="str">
        <f>VLOOKUP(C1726, '[1]VLOOKUP 함수용 카테고리'!$A$1:$B$59, 2, 0)</f>
        <v>GRAIN</v>
      </c>
      <c r="E1726" t="s">
        <v>3161</v>
      </c>
    </row>
    <row r="1727" spans="1:6" x14ac:dyDescent="0.3">
      <c r="A1727" t="s">
        <v>3162</v>
      </c>
      <c r="B1727" t="str" cm="1">
        <f t="array" ref="B1727">_xlfn.XLOOKUP(C1727, INDEX([1]!카테고리매핑,,2), INDEX([1]!카테고리매핑,,1), "미등록 카테고리")</f>
        <v>조미료</v>
      </c>
      <c r="C1727" t="s">
        <v>117</v>
      </c>
      <c r="D1727" t="str">
        <f>VLOOKUP(C1727, '[1]VLOOKUP 함수용 카테고리'!$A$1:$B$59, 2, 0)</f>
        <v>SAUCE_SEASONING</v>
      </c>
      <c r="E1727" t="s">
        <v>118</v>
      </c>
      <c r="F1727" t="s">
        <v>646</v>
      </c>
    </row>
    <row r="1728" spans="1:6" x14ac:dyDescent="0.3">
      <c r="A1728" t="s">
        <v>3163</v>
      </c>
      <c r="B1728" t="str" cm="1">
        <f t="array" ref="B1728">_xlfn.XLOOKUP(C1728, INDEX([1]!카테고리매핑,,2), INDEX([1]!카테고리매핑,,1), "미등록 카테고리")</f>
        <v>미등록 카테고리</v>
      </c>
      <c r="C1728" t="s">
        <v>334</v>
      </c>
      <c r="D1728" t="str">
        <f>VLOOKUP(C1728, '[1]VLOOKUP 함수용 카테고리'!$A$1:$B$59, 2, 0)</f>
        <v>UNKNOWN</v>
      </c>
      <c r="E1728" t="s">
        <v>334</v>
      </c>
      <c r="F1728" t="s">
        <v>3164</v>
      </c>
    </row>
    <row r="1729" spans="1:6" x14ac:dyDescent="0.3">
      <c r="A1729" t="s">
        <v>3165</v>
      </c>
      <c r="B1729" t="str" cm="1">
        <f t="array" ref="B1729">_xlfn.XLOOKUP(C1729, INDEX([1]!카테고리매핑,,2), INDEX([1]!카테고리매핑,,1), "미등록 카테고리")</f>
        <v>육류/계란</v>
      </c>
      <c r="C1729" t="s">
        <v>105</v>
      </c>
      <c r="D1729" t="str">
        <f>VLOOKUP(C1729, '[1]VLOOKUP 함수용 카테고리'!$A$1:$B$59, 2, 0)</f>
        <v>RAW_MEAT</v>
      </c>
      <c r="E1729" t="s">
        <v>1389</v>
      </c>
    </row>
    <row r="1730" spans="1:6" x14ac:dyDescent="0.3">
      <c r="A1730" t="s">
        <v>3166</v>
      </c>
      <c r="B1730" t="str" cm="1">
        <f t="array" ref="B1730">_xlfn.XLOOKUP(C1730, INDEX([1]!카테고리매핑,,2), INDEX([1]!카테고리매핑,,1), "미등록 카테고리")</f>
        <v>유제품</v>
      </c>
      <c r="C1730" t="s">
        <v>123</v>
      </c>
      <c r="D1730" t="str">
        <f>VLOOKUP(C1730, '[1]VLOOKUP 함수용 카테고리'!$A$1:$B$59, 2, 0)</f>
        <v>DAIRY</v>
      </c>
      <c r="E1730" t="s">
        <v>190</v>
      </c>
      <c r="F1730" t="s">
        <v>7808</v>
      </c>
    </row>
    <row r="1731" spans="1:6" x14ac:dyDescent="0.3">
      <c r="A1731" t="s">
        <v>3168</v>
      </c>
      <c r="B1731" t="str" cm="1">
        <f t="array" ref="B1731">_xlfn.XLOOKUP(C1731, INDEX([1]!카테고리매핑,,2), INDEX([1]!카테고리매핑,,1), "미등록 카테고리")</f>
        <v>간식류</v>
      </c>
      <c r="C1731" t="s">
        <v>11</v>
      </c>
      <c r="D1731" t="str">
        <f>VLOOKUP(C1731, '[1]VLOOKUP 함수용 카테고리'!$A$1:$B$59, 2, 0)</f>
        <v>SNACK</v>
      </c>
      <c r="E1731" t="s">
        <v>797</v>
      </c>
      <c r="F1731" t="s">
        <v>798</v>
      </c>
    </row>
    <row r="1732" spans="1:6" x14ac:dyDescent="0.3">
      <c r="A1732" t="s">
        <v>3169</v>
      </c>
      <c r="B1732" t="str" cm="1">
        <f t="array" ref="B1732">_xlfn.XLOOKUP(C1732, INDEX([1]!카테고리매핑,,2), INDEX([1]!카테고리매핑,,1), "미등록 카테고리")</f>
        <v>유제품</v>
      </c>
      <c r="C1732" t="s">
        <v>98</v>
      </c>
      <c r="D1732" t="str">
        <f>VLOOKUP(C1732, '[1]VLOOKUP 함수용 카테고리'!$A$1:$B$59, 2, 0)</f>
        <v>DAIRY</v>
      </c>
      <c r="E1732" t="s">
        <v>3118</v>
      </c>
      <c r="F1732" t="s">
        <v>2249</v>
      </c>
    </row>
    <row r="1733" spans="1:6" x14ac:dyDescent="0.3">
      <c r="A1733" t="s">
        <v>3170</v>
      </c>
      <c r="B1733" t="str" cm="1">
        <f t="array" ref="B1733">_xlfn.XLOOKUP(C1733, INDEX([1]!카테고리매핑,,2), INDEX([1]!카테고리매핑,,1), "미등록 카테고리")</f>
        <v>술</v>
      </c>
      <c r="C1733" t="s">
        <v>411</v>
      </c>
      <c r="D1733" t="str">
        <f>VLOOKUP(C1733, '[1]VLOOKUP 함수용 카테고리'!$A$1:$B$59, 2, 0)</f>
        <v>ALCOHOL</v>
      </c>
      <c r="E1733" t="s">
        <v>1159</v>
      </c>
      <c r="F1733" t="s">
        <v>7762</v>
      </c>
    </row>
    <row r="1734" spans="1:6" x14ac:dyDescent="0.3">
      <c r="A1734" t="s">
        <v>3171</v>
      </c>
      <c r="B1734" t="str" cm="1">
        <f t="array" ref="B1734">_xlfn.XLOOKUP(C1734, INDEX([1]!카테고리매핑,,2), INDEX([1]!카테고리매핑,,1), "미등록 카테고리")</f>
        <v>조미료</v>
      </c>
      <c r="C1734" t="s">
        <v>84</v>
      </c>
      <c r="D1734" t="str">
        <f>VLOOKUP(C1734, '[1]VLOOKUP 함수용 카테고리'!$A$1:$B$59, 2, 0)</f>
        <v>SAUCE_SEASONING</v>
      </c>
      <c r="E1734" t="s">
        <v>444</v>
      </c>
      <c r="F1734" t="s">
        <v>129</v>
      </c>
    </row>
    <row r="1735" spans="1:6" x14ac:dyDescent="0.3">
      <c r="A1735" t="s">
        <v>3172</v>
      </c>
      <c r="B1735" t="str" cm="1">
        <f t="array" ref="B1735">_xlfn.XLOOKUP(C1735, INDEX([1]!카테고리매핑,,2), INDEX([1]!카테고리매핑,,1), "미등록 카테고리")</f>
        <v>육류/계란</v>
      </c>
      <c r="C1735" t="s">
        <v>105</v>
      </c>
      <c r="D1735" t="str">
        <f>VLOOKUP(C1735, '[1]VLOOKUP 함수용 카테고리'!$A$1:$B$59, 2, 0)</f>
        <v>RAW_MEAT</v>
      </c>
      <c r="E1735" t="s">
        <v>294</v>
      </c>
      <c r="F1735" t="s">
        <v>350</v>
      </c>
    </row>
    <row r="1736" spans="1:6" x14ac:dyDescent="0.3">
      <c r="A1736" t="s">
        <v>3173</v>
      </c>
      <c r="B1736" t="str" cm="1">
        <f t="array" ref="B1736">_xlfn.XLOOKUP(C1736, INDEX([1]!카테고리매핑,,2), INDEX([1]!카테고리매핑,,1), "미등록 카테고리")</f>
        <v>음료</v>
      </c>
      <c r="C1736" t="s">
        <v>584</v>
      </c>
      <c r="D1736" t="str">
        <f>VLOOKUP(C1736, '[1]VLOOKUP 함수용 카테고리'!$A$1:$B$59, 2, 0)</f>
        <v>BEVERAGE</v>
      </c>
      <c r="E1736" t="s">
        <v>1994</v>
      </c>
      <c r="F1736" t="s">
        <v>1994</v>
      </c>
    </row>
    <row r="1737" spans="1:6" x14ac:dyDescent="0.3">
      <c r="A1737" t="s">
        <v>3174</v>
      </c>
      <c r="B1737" t="str" cm="1">
        <f t="array" ref="B1737">_xlfn.XLOOKUP(C1737, INDEX([1]!카테고리매핑,,2), INDEX([1]!카테고리매핑,,1), "미등록 카테고리")</f>
        <v>육류/계란</v>
      </c>
      <c r="C1737" t="s">
        <v>105</v>
      </c>
      <c r="D1737" t="str">
        <f>VLOOKUP(C1737, '[1]VLOOKUP 함수용 카테고리'!$A$1:$B$59, 2, 0)</f>
        <v>RAW_MEAT</v>
      </c>
      <c r="E1737" t="s">
        <v>3175</v>
      </c>
      <c r="F1737" t="s">
        <v>177</v>
      </c>
    </row>
    <row r="1738" spans="1:6" x14ac:dyDescent="0.3">
      <c r="A1738" t="s">
        <v>3176</v>
      </c>
      <c r="B1738" t="str" cm="1">
        <f t="array" ref="B1738">_xlfn.XLOOKUP(C1738, INDEX([1]!카테고리매핑,,2), INDEX([1]!카테고리매핑,,1), "미등록 카테고리")</f>
        <v>간편식</v>
      </c>
      <c r="C1738" t="s">
        <v>46</v>
      </c>
      <c r="D1738" t="str">
        <f>VLOOKUP(C1738, '[1]VLOOKUP 함수용 카테고리'!$A$1:$B$59, 2, 0)</f>
        <v>RTC_MEAL</v>
      </c>
      <c r="E1738" t="s">
        <v>46</v>
      </c>
      <c r="F1738" t="s">
        <v>7809</v>
      </c>
    </row>
    <row r="1739" spans="1:6" x14ac:dyDescent="0.3">
      <c r="A1739" t="s">
        <v>3177</v>
      </c>
      <c r="B1739" t="str" cm="1">
        <f t="array" ref="B1739">_xlfn.XLOOKUP(C1739, INDEX([1]!카테고리매핑,,2), INDEX([1]!카테고리매핑,,1), "미등록 카테고리")</f>
        <v>미등록 카테고리</v>
      </c>
      <c r="C1739" t="s">
        <v>334</v>
      </c>
      <c r="D1739" t="str">
        <f>VLOOKUP(C1739, '[1]VLOOKUP 함수용 카테고리'!$A$1:$B$59, 2, 0)</f>
        <v>UNKNOWN</v>
      </c>
      <c r="E1739" t="s">
        <v>334</v>
      </c>
      <c r="F1739" t="s">
        <v>2361</v>
      </c>
    </row>
    <row r="1740" spans="1:6" x14ac:dyDescent="0.3">
      <c r="A1740" t="s">
        <v>3178</v>
      </c>
      <c r="B1740" t="str" cm="1">
        <f t="array" ref="B1740">_xlfn.XLOOKUP(C1740, INDEX([1]!카테고리매핑,,2), INDEX([1]!카테고리매핑,,1), "미등록 카테고리")</f>
        <v>상온식품</v>
      </c>
      <c r="C1740" t="s">
        <v>769</v>
      </c>
      <c r="D1740" t="str">
        <f>VLOOKUP(C1740, '[1]VLOOKUP 함수용 카테고리'!$A$1:$B$59, 2, 0)</f>
        <v>GRAIN</v>
      </c>
      <c r="E1740" t="s">
        <v>770</v>
      </c>
      <c r="F1740" t="s">
        <v>2089</v>
      </c>
    </row>
    <row r="1741" spans="1:6" x14ac:dyDescent="0.3">
      <c r="A1741" t="s">
        <v>3179</v>
      </c>
      <c r="B1741" t="str" cm="1">
        <f t="array" ref="B1741">_xlfn.XLOOKUP(C1741, INDEX([1]!카테고리매핑,,2), INDEX([1]!카테고리매핑,,1), "미등록 카테고리")</f>
        <v>간편식</v>
      </c>
      <c r="C1741" t="s">
        <v>256</v>
      </c>
      <c r="D1741" t="str">
        <f>VLOOKUP(C1741, '[1]VLOOKUP 함수용 카테고리'!$A$1:$B$59, 2, 0)</f>
        <v>RTC_MEAL</v>
      </c>
      <c r="E1741" t="s">
        <v>256</v>
      </c>
      <c r="F1741" t="s">
        <v>391</v>
      </c>
    </row>
    <row r="1742" spans="1:6" x14ac:dyDescent="0.3">
      <c r="A1742" t="s">
        <v>3180</v>
      </c>
      <c r="B1742" t="str" cm="1">
        <f t="array" ref="B1742">_xlfn.XLOOKUP(C1742, INDEX([1]!카테고리매핑,,2), INDEX([1]!카테고리매핑,,1), "미등록 카테고리")</f>
        <v>상온식품</v>
      </c>
      <c r="C1742" t="s">
        <v>1104</v>
      </c>
      <c r="D1742" t="str">
        <f>VLOOKUP(C1742, '[1]VLOOKUP 함수용 카테고리'!$A$1:$B$59, 2, 0)</f>
        <v>CANNED</v>
      </c>
      <c r="E1742" t="s">
        <v>3181</v>
      </c>
      <c r="F1742" t="s">
        <v>1611</v>
      </c>
    </row>
    <row r="1743" spans="1:6" x14ac:dyDescent="0.3">
      <c r="A1743" t="s">
        <v>3182</v>
      </c>
      <c r="B1743" t="str" cm="1">
        <f t="array" ref="B1743">_xlfn.XLOOKUP(C1743, INDEX([1]!카테고리매핑,,2), INDEX([1]!카테고리매핑,,1), "미등록 카테고리")</f>
        <v>간편식</v>
      </c>
      <c r="C1743" t="s">
        <v>256</v>
      </c>
      <c r="D1743" t="str">
        <f>VLOOKUP(C1743, '[1]VLOOKUP 함수용 카테고리'!$A$1:$B$59, 2, 0)</f>
        <v>RTC_MEAL</v>
      </c>
      <c r="E1743" t="s">
        <v>256</v>
      </c>
      <c r="F1743" t="s">
        <v>3183</v>
      </c>
    </row>
    <row r="1744" spans="1:6" x14ac:dyDescent="0.3">
      <c r="A1744" t="s">
        <v>3184</v>
      </c>
      <c r="B1744" t="str" cm="1">
        <f t="array" ref="B1744">_xlfn.XLOOKUP(C1744, INDEX([1]!카테고리매핑,,2), INDEX([1]!카테고리매핑,,1), "미등록 카테고리")</f>
        <v>간식류</v>
      </c>
      <c r="C1744" t="s">
        <v>11</v>
      </c>
      <c r="D1744" t="str">
        <f>VLOOKUP(C1744, '[1]VLOOKUP 함수용 카테고리'!$A$1:$B$59, 2, 0)</f>
        <v>SNACK</v>
      </c>
      <c r="E1744" t="s">
        <v>371</v>
      </c>
      <c r="F1744" t="s">
        <v>201</v>
      </c>
    </row>
    <row r="1745" spans="1:6" x14ac:dyDescent="0.3">
      <c r="A1745" t="s">
        <v>3185</v>
      </c>
      <c r="B1745" t="str" cm="1">
        <f t="array" ref="B1745">_xlfn.XLOOKUP(C1745, INDEX([1]!카테고리매핑,,2), INDEX([1]!카테고리매핑,,1), "미등록 카테고리")</f>
        <v>상온식품</v>
      </c>
      <c r="C1745" t="s">
        <v>276</v>
      </c>
      <c r="D1745" t="str">
        <f>VLOOKUP(C1745, '[1]VLOOKUP 함수용 카테고리'!$A$1:$B$59, 2, 0)</f>
        <v>DRIED_SEAFOOD</v>
      </c>
      <c r="E1745" t="s">
        <v>277</v>
      </c>
      <c r="F1745" t="s">
        <v>760</v>
      </c>
    </row>
    <row r="1746" spans="1:6" x14ac:dyDescent="0.3">
      <c r="A1746" t="s">
        <v>3186</v>
      </c>
      <c r="B1746" t="str" cm="1">
        <f t="array" ref="B1746">_xlfn.XLOOKUP(C1746, INDEX([1]!카테고리매핑,,2), INDEX([1]!카테고리매핑,,1), "미등록 카테고리")</f>
        <v>채소/곡물류</v>
      </c>
      <c r="C1746" t="s">
        <v>301</v>
      </c>
      <c r="D1746" t="str">
        <f>VLOOKUP(C1746, '[1]VLOOKUP 함수용 카테고리'!$A$1:$B$59, 2, 0)</f>
        <v>GRAIN</v>
      </c>
      <c r="E1746" t="s">
        <v>490</v>
      </c>
      <c r="F1746" t="s">
        <v>3187</v>
      </c>
    </row>
    <row r="1747" spans="1:6" x14ac:dyDescent="0.3">
      <c r="A1747" t="s">
        <v>3188</v>
      </c>
      <c r="B1747" t="str" cm="1">
        <f t="array" ref="B1747">_xlfn.XLOOKUP(C1747, INDEX([1]!카테고리매핑,,2), INDEX([1]!카테고리매핑,,1), "미등록 카테고리")</f>
        <v>육류/계란</v>
      </c>
      <c r="C1747" t="s">
        <v>428</v>
      </c>
      <c r="D1747" t="str">
        <f>VLOOKUP(C1747, '[1]VLOOKUP 함수용 카테고리'!$A$1:$B$59, 2, 0)</f>
        <v>PROCESSED_MEAT</v>
      </c>
      <c r="E1747" t="s">
        <v>3189</v>
      </c>
      <c r="F1747" t="s">
        <v>3190</v>
      </c>
    </row>
    <row r="1748" spans="1:6" x14ac:dyDescent="0.3">
      <c r="A1748" t="s">
        <v>3191</v>
      </c>
      <c r="B1748" t="str" cm="1">
        <f t="array" ref="B1748">_xlfn.XLOOKUP(C1748, INDEX([1]!카테고리매핑,,2), INDEX([1]!카테고리매핑,,1), "미등록 카테고리")</f>
        <v>채소/곡물류</v>
      </c>
      <c r="C1748" t="s">
        <v>7</v>
      </c>
      <c r="D1748" t="str">
        <f>VLOOKUP(C1748, '[1]VLOOKUP 함수용 카테고리'!$A$1:$B$59, 2, 0)</f>
        <v>RAW_PRODUCE</v>
      </c>
      <c r="E1748" t="s">
        <v>331</v>
      </c>
    </row>
    <row r="1749" spans="1:6" x14ac:dyDescent="0.3">
      <c r="A1749" t="s">
        <v>3192</v>
      </c>
      <c r="B1749" t="str" cm="1">
        <f t="array" ref="B1749">_xlfn.XLOOKUP(C1749, INDEX([1]!카테고리매핑,,2), INDEX([1]!카테고리매핑,,1), "미등록 카테고리")</f>
        <v>음료</v>
      </c>
      <c r="C1749" t="s">
        <v>23</v>
      </c>
      <c r="D1749" t="str">
        <f>VLOOKUP(C1749, '[1]VLOOKUP 함수용 카테고리'!$A$1:$B$59, 2, 0)</f>
        <v>BEVERAGE</v>
      </c>
      <c r="E1749" t="s">
        <v>288</v>
      </c>
      <c r="F1749" t="s">
        <v>605</v>
      </c>
    </row>
    <row r="1750" spans="1:6" x14ac:dyDescent="0.3">
      <c r="A1750" t="s">
        <v>3193</v>
      </c>
      <c r="B1750" t="str" cm="1">
        <f t="array" ref="B1750">_xlfn.XLOOKUP(C1750, INDEX([1]!카테고리매핑,,2), INDEX([1]!카테고리매핑,,1), "미등록 카테고리")</f>
        <v>간식류</v>
      </c>
      <c r="C1750" t="s">
        <v>11</v>
      </c>
      <c r="D1750" t="str">
        <f>VLOOKUP(C1750, '[1]VLOOKUP 함수용 카테고리'!$A$1:$B$59, 2, 0)</f>
        <v>SNACK</v>
      </c>
      <c r="E1750" t="s">
        <v>3194</v>
      </c>
      <c r="F1750" t="s">
        <v>154</v>
      </c>
    </row>
    <row r="1751" spans="1:6" x14ac:dyDescent="0.3">
      <c r="A1751" t="s">
        <v>3195</v>
      </c>
      <c r="B1751" t="str" cm="1">
        <f t="array" ref="B1751">_xlfn.XLOOKUP(C1751, INDEX([1]!카테고리매핑,,2), INDEX([1]!카테고리매핑,,1), "미등록 카테고리")</f>
        <v>유제품</v>
      </c>
      <c r="C1751" t="s">
        <v>123</v>
      </c>
      <c r="D1751" t="str">
        <f>VLOOKUP(C1751, '[1]VLOOKUP 함수용 카테고리'!$A$1:$B$59, 2, 0)</f>
        <v>DAIRY</v>
      </c>
      <c r="E1751" t="s">
        <v>239</v>
      </c>
      <c r="F1751" t="s">
        <v>240</v>
      </c>
    </row>
    <row r="1752" spans="1:6" x14ac:dyDescent="0.3">
      <c r="A1752" t="s">
        <v>3196</v>
      </c>
      <c r="B1752" t="str" cm="1">
        <f t="array" ref="B1752">_xlfn.XLOOKUP(C1752, INDEX([1]!카테고리매핑,,2), INDEX([1]!카테고리매핑,,1), "미등록 카테고리")</f>
        <v>육류/계란</v>
      </c>
      <c r="C1752" t="s">
        <v>428</v>
      </c>
      <c r="D1752" t="str">
        <f>VLOOKUP(C1752, '[1]VLOOKUP 함수용 카테고리'!$A$1:$B$59, 2, 0)</f>
        <v>PROCESSED_MEAT</v>
      </c>
      <c r="E1752" t="s">
        <v>3197</v>
      </c>
      <c r="F1752" t="s">
        <v>739</v>
      </c>
    </row>
    <row r="1753" spans="1:6" x14ac:dyDescent="0.3">
      <c r="A1753" t="s">
        <v>3198</v>
      </c>
      <c r="B1753" t="str" cm="1">
        <f t="array" ref="B1753">_xlfn.XLOOKUP(C1753, INDEX([1]!카테고리매핑,,2), INDEX([1]!카테고리매핑,,1), "미등록 카테고리")</f>
        <v>간식류</v>
      </c>
      <c r="C1753" t="s">
        <v>11</v>
      </c>
      <c r="D1753" t="str">
        <f>VLOOKUP(C1753, '[1]VLOOKUP 함수용 카테고리'!$A$1:$B$59, 2, 0)</f>
        <v>SNACK</v>
      </c>
      <c r="E1753" t="s">
        <v>701</v>
      </c>
      <c r="F1753" t="s">
        <v>760</v>
      </c>
    </row>
    <row r="1754" spans="1:6" x14ac:dyDescent="0.3">
      <c r="A1754" t="s">
        <v>3199</v>
      </c>
      <c r="B1754" t="str" cm="1">
        <f t="array" ref="B1754">_xlfn.XLOOKUP(C1754, INDEX([1]!카테고리매핑,,2), INDEX([1]!카테고리매핑,,1), "미등록 카테고리")</f>
        <v>채소/곡물류</v>
      </c>
      <c r="C1754" t="s">
        <v>301</v>
      </c>
      <c r="D1754" t="str">
        <f>VLOOKUP(C1754, '[1]VLOOKUP 함수용 카테고리'!$A$1:$B$59, 2, 0)</f>
        <v>GRAIN</v>
      </c>
      <c r="E1754" t="s">
        <v>611</v>
      </c>
    </row>
    <row r="1755" spans="1:6" x14ac:dyDescent="0.3">
      <c r="A1755" t="s">
        <v>3200</v>
      </c>
      <c r="B1755" t="str" cm="1">
        <f t="array" ref="B1755">_xlfn.XLOOKUP(C1755, INDEX([1]!카테고리매핑,,2), INDEX([1]!카테고리매핑,,1), "미등록 카테고리")</f>
        <v>미등록 카테고리</v>
      </c>
      <c r="C1755" t="s">
        <v>334</v>
      </c>
      <c r="D1755" t="str">
        <f>VLOOKUP(C1755, '[1]VLOOKUP 함수용 카테고리'!$A$1:$B$59, 2, 0)</f>
        <v>UNKNOWN</v>
      </c>
      <c r="E1755" t="s">
        <v>334</v>
      </c>
      <c r="F1755" t="s">
        <v>7810</v>
      </c>
    </row>
    <row r="1756" spans="1:6" x14ac:dyDescent="0.3">
      <c r="A1756" t="s">
        <v>3202</v>
      </c>
      <c r="B1756" t="str" cm="1">
        <f t="array" ref="B1756">_xlfn.XLOOKUP(C1756, INDEX([1]!카테고리매핑,,2), INDEX([1]!카테고리매핑,,1), "미등록 카테고리")</f>
        <v>육류/계란</v>
      </c>
      <c r="C1756" t="s">
        <v>34</v>
      </c>
      <c r="D1756" t="str">
        <f>VLOOKUP(C1756, '[1]VLOOKUP 함수용 카테고리'!$A$1:$B$59, 2, 0)</f>
        <v>RAW_MEAT</v>
      </c>
      <c r="E1756" t="s">
        <v>35</v>
      </c>
      <c r="F1756" t="s">
        <v>3203</v>
      </c>
    </row>
    <row r="1757" spans="1:6" x14ac:dyDescent="0.3">
      <c r="A1757" t="s">
        <v>3204</v>
      </c>
      <c r="B1757" t="str" cm="1">
        <f t="array" ref="B1757">_xlfn.XLOOKUP(C1757, INDEX([1]!카테고리매핑,,2), INDEX([1]!카테고리매핑,,1), "미등록 카테고리")</f>
        <v>간편식</v>
      </c>
      <c r="C1757" t="s">
        <v>46</v>
      </c>
      <c r="D1757" t="str">
        <f>VLOOKUP(C1757, '[1]VLOOKUP 함수용 카테고리'!$A$1:$B$59, 2, 0)</f>
        <v>RTC_MEAL</v>
      </c>
      <c r="E1757" t="s">
        <v>46</v>
      </c>
      <c r="F1757" t="s">
        <v>3205</v>
      </c>
    </row>
    <row r="1758" spans="1:6" x14ac:dyDescent="0.3">
      <c r="A1758" t="s">
        <v>3206</v>
      </c>
      <c r="B1758" t="str" cm="1">
        <f t="array" ref="B1758">_xlfn.XLOOKUP(C1758, INDEX([1]!카테고리매핑,,2), INDEX([1]!카테고리매핑,,1), "미등록 카테고리")</f>
        <v>간식류</v>
      </c>
      <c r="C1758" t="s">
        <v>11</v>
      </c>
      <c r="D1758" t="str">
        <f>VLOOKUP(C1758, '[1]VLOOKUP 함수용 카테고리'!$A$1:$B$59, 2, 0)</f>
        <v>SNACK</v>
      </c>
      <c r="E1758" t="s">
        <v>2698</v>
      </c>
      <c r="F1758" t="s">
        <v>691</v>
      </c>
    </row>
    <row r="1759" spans="1:6" x14ac:dyDescent="0.3">
      <c r="A1759" t="s">
        <v>3207</v>
      </c>
      <c r="B1759" t="str" cm="1">
        <f t="array" ref="B1759">_xlfn.XLOOKUP(C1759, INDEX([1]!카테고리매핑,,2), INDEX([1]!카테고리매핑,,1), "미등록 카테고리")</f>
        <v>미등록 카테고리</v>
      </c>
      <c r="C1759" t="s">
        <v>334</v>
      </c>
      <c r="D1759" t="str">
        <f>VLOOKUP(C1759, '[1]VLOOKUP 함수용 카테고리'!$A$1:$B$59, 2, 0)</f>
        <v>UNKNOWN</v>
      </c>
      <c r="E1759" t="s">
        <v>334</v>
      </c>
      <c r="F1759" t="s">
        <v>809</v>
      </c>
    </row>
    <row r="1760" spans="1:6" x14ac:dyDescent="0.3">
      <c r="A1760" t="s">
        <v>3208</v>
      </c>
      <c r="B1760" t="str" cm="1">
        <f t="array" ref="B1760">_xlfn.XLOOKUP(C1760, INDEX([1]!카테고리매핑,,2), INDEX([1]!카테고리매핑,,1), "미등록 카테고리")</f>
        <v>간편식</v>
      </c>
      <c r="C1760" t="s">
        <v>46</v>
      </c>
      <c r="D1760" t="str">
        <f>VLOOKUP(C1760, '[1]VLOOKUP 함수용 카테고리'!$A$1:$B$59, 2, 0)</f>
        <v>RTC_MEAL</v>
      </c>
      <c r="E1760" t="s">
        <v>46</v>
      </c>
      <c r="F1760" t="s">
        <v>3209</v>
      </c>
    </row>
    <row r="1761" spans="1:6" x14ac:dyDescent="0.3">
      <c r="A1761" t="s">
        <v>3210</v>
      </c>
      <c r="B1761" t="str" cm="1">
        <f t="array" ref="B1761">_xlfn.XLOOKUP(C1761, INDEX([1]!카테고리매핑,,2), INDEX([1]!카테고리매핑,,1), "미등록 카테고리")</f>
        <v>육류/계란</v>
      </c>
      <c r="C1761" t="s">
        <v>149</v>
      </c>
      <c r="D1761" t="str">
        <f>VLOOKUP(C1761, '[1]VLOOKUP 함수용 카테고리'!$A$1:$B$59, 2, 0)</f>
        <v>RAW_MEAT</v>
      </c>
      <c r="E1761" t="s">
        <v>266</v>
      </c>
      <c r="F1761" t="s">
        <v>3211</v>
      </c>
    </row>
    <row r="1762" spans="1:6" x14ac:dyDescent="0.3">
      <c r="A1762" t="s">
        <v>3212</v>
      </c>
      <c r="B1762" t="str" cm="1">
        <f t="array" ref="B1762">_xlfn.XLOOKUP(C1762, INDEX([1]!카테고리매핑,,2), INDEX([1]!카테고리매핑,,1), "미등록 카테고리")</f>
        <v>조미료</v>
      </c>
      <c r="C1762" t="s">
        <v>127</v>
      </c>
      <c r="D1762" t="str">
        <f>VLOOKUP(C1762, '[1]VLOOKUP 함수용 카테고리'!$A$1:$B$59, 2, 0)</f>
        <v>SAUCE_SEASONING</v>
      </c>
      <c r="E1762" t="s">
        <v>1251</v>
      </c>
      <c r="F1762" t="s">
        <v>29</v>
      </c>
    </row>
    <row r="1763" spans="1:6" x14ac:dyDescent="0.3">
      <c r="A1763" t="s">
        <v>3213</v>
      </c>
      <c r="B1763" t="str" cm="1">
        <f t="array" ref="B1763">_xlfn.XLOOKUP(C1763, INDEX([1]!카테고리매핑,,2), INDEX([1]!카테고리매핑,,1), "미등록 카테고리")</f>
        <v>유제품</v>
      </c>
      <c r="C1763" t="s">
        <v>123</v>
      </c>
      <c r="D1763" t="str">
        <f>VLOOKUP(C1763, '[1]VLOOKUP 함수용 카테고리'!$A$1:$B$59, 2, 0)</f>
        <v>DAIRY</v>
      </c>
      <c r="E1763" t="s">
        <v>190</v>
      </c>
    </row>
    <row r="1764" spans="1:6" x14ac:dyDescent="0.3">
      <c r="A1764" t="s">
        <v>3214</v>
      </c>
      <c r="B1764" t="str" cm="1">
        <f t="array" ref="B1764">_xlfn.XLOOKUP(C1764, INDEX([1]!카테고리매핑,,2), INDEX([1]!카테고리매핑,,1), "미등록 카테고리")</f>
        <v>조미료</v>
      </c>
      <c r="C1764" t="s">
        <v>84</v>
      </c>
      <c r="D1764" t="str">
        <f>VLOOKUP(C1764, '[1]VLOOKUP 함수용 카테고리'!$A$1:$B$59, 2, 0)</f>
        <v>SAUCE_SEASONING</v>
      </c>
      <c r="E1764" t="s">
        <v>2623</v>
      </c>
      <c r="F1764" t="s">
        <v>310</v>
      </c>
    </row>
    <row r="1765" spans="1:6" x14ac:dyDescent="0.3">
      <c r="A1765" t="s">
        <v>3215</v>
      </c>
      <c r="B1765" t="str" cm="1">
        <f t="array" ref="B1765">_xlfn.XLOOKUP(C1765, INDEX([1]!카테고리매핑,,2), INDEX([1]!카테고리매핑,,1), "미등록 카테고리")</f>
        <v>간편식</v>
      </c>
      <c r="C1765" t="s">
        <v>131</v>
      </c>
      <c r="D1765" t="str">
        <f>VLOOKUP(C1765, '[1]VLOOKUP 함수용 카테고리'!$A$1:$B$59, 2, 0)</f>
        <v>SIMPLE_PROCESSED</v>
      </c>
      <c r="E1765" t="s">
        <v>3216</v>
      </c>
      <c r="F1765" t="s">
        <v>3217</v>
      </c>
    </row>
    <row r="1766" spans="1:6" x14ac:dyDescent="0.3">
      <c r="A1766" t="s">
        <v>3218</v>
      </c>
      <c r="B1766" t="str" cm="1">
        <f t="array" ref="B1766">_xlfn.XLOOKUP(C1766, INDEX([1]!카테고리매핑,,2), INDEX([1]!카테고리매핑,,1), "미등록 카테고리")</f>
        <v>유제품</v>
      </c>
      <c r="C1766" t="s">
        <v>123</v>
      </c>
      <c r="D1766" t="str">
        <f>VLOOKUP(C1766, '[1]VLOOKUP 함수용 카테고리'!$A$1:$B$59, 2, 0)</f>
        <v>DAIRY</v>
      </c>
      <c r="E1766" t="s">
        <v>190</v>
      </c>
      <c r="F1766" t="s">
        <v>1663</v>
      </c>
    </row>
    <row r="1767" spans="1:6" x14ac:dyDescent="0.3">
      <c r="A1767" t="s">
        <v>3219</v>
      </c>
      <c r="B1767" t="str" cm="1">
        <f t="array" ref="B1767">_xlfn.XLOOKUP(C1767, INDEX([1]!카테고리매핑,,2), INDEX([1]!카테고리매핑,,1), "미등록 카테고리")</f>
        <v>간편식</v>
      </c>
      <c r="C1767" t="s">
        <v>256</v>
      </c>
      <c r="D1767" t="str">
        <f>VLOOKUP(C1767, '[1]VLOOKUP 함수용 카테고리'!$A$1:$B$59, 2, 0)</f>
        <v>RTC_MEAL</v>
      </c>
      <c r="E1767" t="s">
        <v>256</v>
      </c>
      <c r="F1767" t="s">
        <v>3220</v>
      </c>
    </row>
    <row r="1768" spans="1:6" x14ac:dyDescent="0.3">
      <c r="A1768" t="s">
        <v>3221</v>
      </c>
      <c r="B1768" t="str" cm="1">
        <f t="array" ref="B1768">_xlfn.XLOOKUP(C1768, INDEX([1]!카테고리매핑,,2), INDEX([1]!카테고리매핑,,1), "미등록 카테고리")</f>
        <v>채소/곡물류</v>
      </c>
      <c r="C1768" t="s">
        <v>301</v>
      </c>
      <c r="D1768" t="str">
        <f>VLOOKUP(C1768, '[1]VLOOKUP 함수용 카테고리'!$A$1:$B$59, 2, 0)</f>
        <v>GRAIN</v>
      </c>
      <c r="E1768" t="s">
        <v>611</v>
      </c>
      <c r="F1768" t="s">
        <v>1283</v>
      </c>
    </row>
    <row r="1769" spans="1:6" x14ac:dyDescent="0.3">
      <c r="A1769" t="s">
        <v>3222</v>
      </c>
      <c r="B1769" t="str" cm="1">
        <f t="array" ref="B1769">_xlfn.XLOOKUP(C1769, INDEX([1]!카테고리매핑,,2), INDEX([1]!카테고리매핑,,1), "미등록 카테고리")</f>
        <v>간편식</v>
      </c>
      <c r="C1769" t="s">
        <v>256</v>
      </c>
      <c r="D1769" t="str">
        <f>VLOOKUP(C1769, '[1]VLOOKUP 함수용 카테고리'!$A$1:$B$59, 2, 0)</f>
        <v>RTC_MEAL</v>
      </c>
      <c r="E1769" t="s">
        <v>256</v>
      </c>
      <c r="F1769" t="s">
        <v>237</v>
      </c>
    </row>
    <row r="1770" spans="1:6" x14ac:dyDescent="0.3">
      <c r="A1770" t="s">
        <v>3223</v>
      </c>
      <c r="B1770" t="str" cm="1">
        <f t="array" ref="B1770">_xlfn.XLOOKUP(C1770, INDEX([1]!카테고리매핑,,2), INDEX([1]!카테고리매핑,,1), "미등록 카테고리")</f>
        <v>수산물</v>
      </c>
      <c r="C1770" t="s">
        <v>203</v>
      </c>
      <c r="D1770" t="str">
        <f>VLOOKUP(C1770, '[1]VLOOKUP 함수용 카테고리'!$A$1:$B$59, 2, 0)</f>
        <v>RAW_SEAFOOD</v>
      </c>
      <c r="E1770" t="s">
        <v>1228</v>
      </c>
      <c r="F1770" t="s">
        <v>1399</v>
      </c>
    </row>
    <row r="1771" spans="1:6" x14ac:dyDescent="0.3">
      <c r="A1771" t="s">
        <v>3224</v>
      </c>
      <c r="B1771" t="str" cm="1">
        <f t="array" ref="B1771">_xlfn.XLOOKUP(C1771, INDEX([1]!카테고리매핑,,2), INDEX([1]!카테고리매핑,,1), "미등록 카테고리")</f>
        <v>조미료</v>
      </c>
      <c r="C1771" t="s">
        <v>127</v>
      </c>
      <c r="D1771" t="str">
        <f>VLOOKUP(C1771, '[1]VLOOKUP 함수용 카테고리'!$A$1:$B$59, 2, 0)</f>
        <v>SAUCE_SEASONING</v>
      </c>
      <c r="E1771" t="s">
        <v>1941</v>
      </c>
      <c r="F1771" t="s">
        <v>1808</v>
      </c>
    </row>
    <row r="1772" spans="1:6" x14ac:dyDescent="0.3">
      <c r="A1772" t="s">
        <v>3225</v>
      </c>
      <c r="B1772" t="str" cm="1">
        <f t="array" ref="B1772">_xlfn.XLOOKUP(C1772, INDEX([1]!카테고리매핑,,2), INDEX([1]!카테고리매핑,,1), "미등록 카테고리")</f>
        <v>유제품</v>
      </c>
      <c r="C1772" t="s">
        <v>123</v>
      </c>
      <c r="D1772" t="str">
        <f>VLOOKUP(C1772, '[1]VLOOKUP 함수용 카테고리'!$A$1:$B$59, 2, 0)</f>
        <v>DAIRY</v>
      </c>
      <c r="E1772" t="s">
        <v>2651</v>
      </c>
      <c r="F1772" t="s">
        <v>191</v>
      </c>
    </row>
    <row r="1773" spans="1:6" x14ac:dyDescent="0.3">
      <c r="A1773" t="s">
        <v>3226</v>
      </c>
      <c r="B1773" t="str" cm="1">
        <f t="array" ref="B1773">_xlfn.XLOOKUP(C1773, INDEX([1]!카테고리매핑,,2), INDEX([1]!카테고리매핑,,1), "미등록 카테고리")</f>
        <v>간식류</v>
      </c>
      <c r="C1773" t="s">
        <v>11</v>
      </c>
      <c r="D1773" t="str">
        <f>VLOOKUP(C1773, '[1]VLOOKUP 함수용 카테고리'!$A$1:$B$59, 2, 0)</f>
        <v>SNACK</v>
      </c>
      <c r="E1773" t="s">
        <v>153</v>
      </c>
      <c r="F1773" t="s">
        <v>3227</v>
      </c>
    </row>
    <row r="1774" spans="1:6" x14ac:dyDescent="0.3">
      <c r="A1774" t="s">
        <v>3228</v>
      </c>
      <c r="B1774" t="str" cm="1">
        <f t="array" ref="B1774">_xlfn.XLOOKUP(C1774, INDEX([1]!카테고리매핑,,2), INDEX([1]!카테고리매핑,,1), "미등록 카테고리")</f>
        <v>채소/곡물류</v>
      </c>
      <c r="C1774" t="s">
        <v>301</v>
      </c>
      <c r="D1774" t="str">
        <f>VLOOKUP(C1774, '[1]VLOOKUP 함수용 카테고리'!$A$1:$B$59, 2, 0)</f>
        <v>GRAIN</v>
      </c>
      <c r="E1774" t="s">
        <v>611</v>
      </c>
      <c r="F1774" t="s">
        <v>598</v>
      </c>
    </row>
    <row r="1775" spans="1:6" x14ac:dyDescent="0.3">
      <c r="A1775" t="s">
        <v>3229</v>
      </c>
      <c r="B1775" t="str" cm="1">
        <f t="array" ref="B1775">_xlfn.XLOOKUP(C1775, INDEX([1]!카테고리매핑,,2), INDEX([1]!카테고리매핑,,1), "미등록 카테고리")</f>
        <v>간편식</v>
      </c>
      <c r="C1775" t="s">
        <v>256</v>
      </c>
      <c r="D1775" t="str">
        <f>VLOOKUP(C1775, '[1]VLOOKUP 함수용 카테고리'!$A$1:$B$59, 2, 0)</f>
        <v>RTC_MEAL</v>
      </c>
      <c r="E1775" t="s">
        <v>256</v>
      </c>
      <c r="F1775" t="s">
        <v>3230</v>
      </c>
    </row>
    <row r="1776" spans="1:6" x14ac:dyDescent="0.3">
      <c r="A1776" t="s">
        <v>3231</v>
      </c>
      <c r="B1776" t="str" cm="1">
        <f t="array" ref="B1776">_xlfn.XLOOKUP(C1776, INDEX([1]!카테고리매핑,,2), INDEX([1]!카테고리매핑,,1), "미등록 카테고리")</f>
        <v>간식류</v>
      </c>
      <c r="C1776" t="s">
        <v>63</v>
      </c>
      <c r="D1776" t="str">
        <f>VLOOKUP(C1776, '[1]VLOOKUP 함수용 카테고리'!$A$1:$B$59, 2, 0)</f>
        <v>BAKERY</v>
      </c>
      <c r="E1776" t="s">
        <v>3232</v>
      </c>
      <c r="F1776" t="s">
        <v>3233</v>
      </c>
    </row>
    <row r="1777" spans="1:6" x14ac:dyDescent="0.3">
      <c r="A1777" t="s">
        <v>3234</v>
      </c>
      <c r="B1777" t="str" cm="1">
        <f t="array" ref="B1777">_xlfn.XLOOKUP(C1777, INDEX([1]!카테고리매핑,,2), INDEX([1]!카테고리매핑,,1), "미등록 카테고리")</f>
        <v>음료</v>
      </c>
      <c r="C1777" t="s">
        <v>23</v>
      </c>
      <c r="D1777" t="str">
        <f>VLOOKUP(C1777, '[1]VLOOKUP 함수용 카테고리'!$A$1:$B$59, 2, 0)</f>
        <v>BEVERAGE</v>
      </c>
      <c r="E1777" t="s">
        <v>355</v>
      </c>
      <c r="F1777" t="s">
        <v>356</v>
      </c>
    </row>
    <row r="1778" spans="1:6" x14ac:dyDescent="0.3">
      <c r="A1778" t="s">
        <v>3235</v>
      </c>
      <c r="B1778" t="str" cm="1">
        <f t="array" ref="B1778">_xlfn.XLOOKUP(C1778, INDEX([1]!카테고리매핑,,2), INDEX([1]!카테고리매핑,,1), "미등록 카테고리")</f>
        <v>간편식</v>
      </c>
      <c r="C1778" t="s">
        <v>161</v>
      </c>
      <c r="D1778" t="str">
        <f>VLOOKUP(C1778, '[1]VLOOKUP 함수용 카테고리'!$A$1:$B$59, 2, 0)</f>
        <v>RTC_MEAL</v>
      </c>
      <c r="E1778" t="s">
        <v>162</v>
      </c>
      <c r="F1778" t="s">
        <v>1535</v>
      </c>
    </row>
    <row r="1779" spans="1:6" x14ac:dyDescent="0.3">
      <c r="A1779" t="s">
        <v>3236</v>
      </c>
      <c r="B1779" t="str" cm="1">
        <f t="array" ref="B1779">_xlfn.XLOOKUP(C1779, INDEX([1]!카테고리매핑,,2), INDEX([1]!카테고리매핑,,1), "미등록 카테고리")</f>
        <v>유제품</v>
      </c>
      <c r="C1779" t="s">
        <v>123</v>
      </c>
      <c r="D1779" t="str">
        <f>VLOOKUP(C1779, '[1]VLOOKUP 함수용 카테고리'!$A$1:$B$59, 2, 0)</f>
        <v>DAIRY</v>
      </c>
      <c r="E1779" t="s">
        <v>2651</v>
      </c>
      <c r="F1779" t="s">
        <v>191</v>
      </c>
    </row>
    <row r="1780" spans="1:6" x14ac:dyDescent="0.3">
      <c r="A1780" t="s">
        <v>3237</v>
      </c>
      <c r="B1780" t="str" cm="1">
        <f t="array" ref="B1780">_xlfn.XLOOKUP(C1780, INDEX([1]!카테고리매핑,,2), INDEX([1]!카테고리매핑,,1), "미등록 카테고리")</f>
        <v>간식류</v>
      </c>
      <c r="C1780" t="s">
        <v>11</v>
      </c>
      <c r="D1780" t="str">
        <f>VLOOKUP(C1780, '[1]VLOOKUP 함수용 카테고리'!$A$1:$B$59, 2, 0)</f>
        <v>SNACK</v>
      </c>
      <c r="E1780" t="s">
        <v>153</v>
      </c>
      <c r="F1780" t="s">
        <v>154</v>
      </c>
    </row>
    <row r="1781" spans="1:6" x14ac:dyDescent="0.3">
      <c r="A1781" t="s">
        <v>3238</v>
      </c>
      <c r="B1781" t="str" cm="1">
        <f t="array" ref="B1781">_xlfn.XLOOKUP(C1781, INDEX([1]!카테고리매핑,,2), INDEX([1]!카테고리매핑,,1), "미등록 카테고리")</f>
        <v>유제품</v>
      </c>
      <c r="C1781" t="s">
        <v>123</v>
      </c>
      <c r="D1781" t="str">
        <f>VLOOKUP(C1781, '[1]VLOOKUP 함수용 카테고리'!$A$1:$B$59, 2, 0)</f>
        <v>DAIRY</v>
      </c>
      <c r="E1781" t="s">
        <v>1799</v>
      </c>
      <c r="F1781" t="s">
        <v>191</v>
      </c>
    </row>
    <row r="1782" spans="1:6" x14ac:dyDescent="0.3">
      <c r="A1782" t="s">
        <v>3239</v>
      </c>
      <c r="B1782" t="str" cm="1">
        <f t="array" ref="B1782">_xlfn.XLOOKUP(C1782, INDEX([1]!카테고리매핑,,2), INDEX([1]!카테고리매핑,,1), "미등록 카테고리")</f>
        <v>채소/곡물류</v>
      </c>
      <c r="C1782" t="s">
        <v>7</v>
      </c>
      <c r="D1782" t="str">
        <f>VLOOKUP(C1782, '[1]VLOOKUP 함수용 카테고리'!$A$1:$B$59, 2, 0)</f>
        <v>RAW_PRODUCE</v>
      </c>
      <c r="E1782" t="s">
        <v>1927</v>
      </c>
      <c r="F1782" t="s">
        <v>3240</v>
      </c>
    </row>
    <row r="1783" spans="1:6" x14ac:dyDescent="0.3">
      <c r="A1783" t="s">
        <v>3241</v>
      </c>
      <c r="B1783" t="str" cm="1">
        <f t="array" ref="B1783">_xlfn.XLOOKUP(C1783, INDEX([1]!카테고리매핑,,2), INDEX([1]!카테고리매핑,,1), "미등록 카테고리")</f>
        <v>조미료</v>
      </c>
      <c r="C1783" t="s">
        <v>127</v>
      </c>
      <c r="D1783" t="str">
        <f>VLOOKUP(C1783, '[1]VLOOKUP 함수용 카테고리'!$A$1:$B$59, 2, 0)</f>
        <v>SAUCE_SEASONING</v>
      </c>
      <c r="E1783" t="s">
        <v>128</v>
      </c>
      <c r="F1783" t="s">
        <v>209</v>
      </c>
    </row>
    <row r="1784" spans="1:6" x14ac:dyDescent="0.3">
      <c r="A1784" t="s">
        <v>3242</v>
      </c>
      <c r="B1784" t="str" cm="1">
        <f t="array" ref="B1784">_xlfn.XLOOKUP(C1784, INDEX([1]!카테고리매핑,,2), INDEX([1]!카테고리매핑,,1), "미등록 카테고리")</f>
        <v>채소/곡물류</v>
      </c>
      <c r="C1784" t="s">
        <v>301</v>
      </c>
      <c r="D1784" t="str">
        <f>VLOOKUP(C1784, '[1]VLOOKUP 함수용 카테고리'!$A$1:$B$59, 2, 0)</f>
        <v>GRAIN</v>
      </c>
      <c r="E1784" t="s">
        <v>611</v>
      </c>
      <c r="F1784" t="s">
        <v>3243</v>
      </c>
    </row>
    <row r="1785" spans="1:6" x14ac:dyDescent="0.3">
      <c r="A1785" t="s">
        <v>3244</v>
      </c>
      <c r="B1785" t="str" cm="1">
        <f t="array" ref="B1785">_xlfn.XLOOKUP(C1785, INDEX([1]!카테고리매핑,,2), INDEX([1]!카테고리매핑,,1), "미등록 카테고리")</f>
        <v>채소/곡물류</v>
      </c>
      <c r="C1785" t="s">
        <v>7</v>
      </c>
      <c r="D1785" t="str">
        <f>VLOOKUP(C1785, '[1]VLOOKUP 함수용 카테고리'!$A$1:$B$59, 2, 0)</f>
        <v>RAW_PRODUCE</v>
      </c>
      <c r="E1785" t="s">
        <v>3245</v>
      </c>
    </row>
    <row r="1786" spans="1:6" x14ac:dyDescent="0.3">
      <c r="A1786" t="s">
        <v>3246</v>
      </c>
      <c r="B1786" t="str" cm="1">
        <f t="array" ref="B1786">_xlfn.XLOOKUP(C1786, INDEX([1]!카테고리매핑,,2), INDEX([1]!카테고리매핑,,1), "미등록 카테고리")</f>
        <v>채소/곡물류</v>
      </c>
      <c r="C1786" t="s">
        <v>7</v>
      </c>
      <c r="D1786" t="str">
        <f>VLOOKUP(C1786, '[1]VLOOKUP 함수용 카테고리'!$A$1:$B$59, 2, 0)</f>
        <v>RAW_PRODUCE</v>
      </c>
      <c r="E1786" t="s">
        <v>743</v>
      </c>
      <c r="F1786" t="s">
        <v>1457</v>
      </c>
    </row>
    <row r="1787" spans="1:6" x14ac:dyDescent="0.3">
      <c r="A1787" t="s">
        <v>3247</v>
      </c>
      <c r="B1787" t="str" cm="1">
        <f t="array" ref="B1787">_xlfn.XLOOKUP(C1787, INDEX([1]!카테고리매핑,,2), INDEX([1]!카테고리매핑,,1), "미등록 카테고리")</f>
        <v>미등록 카테고리</v>
      </c>
      <c r="C1787" t="s">
        <v>334</v>
      </c>
      <c r="D1787" t="str">
        <f>VLOOKUP(C1787, '[1]VLOOKUP 함수용 카테고리'!$A$1:$B$59, 2, 0)</f>
        <v>UNKNOWN</v>
      </c>
      <c r="E1787" t="s">
        <v>334</v>
      </c>
      <c r="F1787" t="s">
        <v>1499</v>
      </c>
    </row>
    <row r="1788" spans="1:6" x14ac:dyDescent="0.3">
      <c r="A1788" t="s">
        <v>3248</v>
      </c>
      <c r="B1788" t="str" cm="1">
        <f t="array" ref="B1788">_xlfn.XLOOKUP(C1788, INDEX([1]!카테고리매핑,,2), INDEX([1]!카테고리매핑,,1), "미등록 카테고리")</f>
        <v>육류/계란</v>
      </c>
      <c r="C1788" t="s">
        <v>149</v>
      </c>
      <c r="D1788" t="str">
        <f>VLOOKUP(C1788, '[1]VLOOKUP 함수용 카테고리'!$A$1:$B$59, 2, 0)</f>
        <v>RAW_MEAT</v>
      </c>
      <c r="E1788" t="s">
        <v>573</v>
      </c>
      <c r="F1788" t="s">
        <v>2363</v>
      </c>
    </row>
    <row r="1789" spans="1:6" x14ac:dyDescent="0.3">
      <c r="A1789" t="s">
        <v>3249</v>
      </c>
      <c r="B1789" t="str" cm="1">
        <f t="array" ref="B1789">_xlfn.XLOOKUP(C1789, INDEX([1]!카테고리매핑,,2), INDEX([1]!카테고리매핑,,1), "미등록 카테고리")</f>
        <v>육류/계란</v>
      </c>
      <c r="C1789" t="s">
        <v>428</v>
      </c>
      <c r="D1789" t="str">
        <f>VLOOKUP(C1789, '[1]VLOOKUP 함수용 카테고리'!$A$1:$B$59, 2, 0)</f>
        <v>PROCESSED_MEAT</v>
      </c>
      <c r="E1789" t="s">
        <v>804</v>
      </c>
    </row>
    <row r="1790" spans="1:6" x14ac:dyDescent="0.3">
      <c r="A1790" t="s">
        <v>3250</v>
      </c>
      <c r="B1790" t="str" cm="1">
        <f t="array" ref="B1790">_xlfn.XLOOKUP(C1790, INDEX([1]!카테고리매핑,,2), INDEX([1]!카테고리매핑,,1), "미등록 카테고리")</f>
        <v>수산물</v>
      </c>
      <c r="C1790" t="s">
        <v>101</v>
      </c>
      <c r="D1790" t="str">
        <f>VLOOKUP(C1790, '[1]VLOOKUP 함수용 카테고리'!$A$1:$B$59, 2, 0)</f>
        <v>DRIED_SEAFOOD</v>
      </c>
      <c r="E1790" t="s">
        <v>665</v>
      </c>
      <c r="F1790" t="s">
        <v>1723</v>
      </c>
    </row>
    <row r="1791" spans="1:6" x14ac:dyDescent="0.3">
      <c r="A1791" t="s">
        <v>3251</v>
      </c>
      <c r="B1791" t="str" cm="1">
        <f t="array" ref="B1791">_xlfn.XLOOKUP(C1791, INDEX([1]!카테고리매핑,,2), INDEX([1]!카테고리매핑,,1), "미등록 카테고리")</f>
        <v>육류/계란</v>
      </c>
      <c r="C1791" t="s">
        <v>105</v>
      </c>
      <c r="D1791" t="str">
        <f>VLOOKUP(C1791, '[1]VLOOKUP 함수용 카테고리'!$A$1:$B$59, 2, 0)</f>
        <v>RAW_MEAT</v>
      </c>
      <c r="E1791" t="s">
        <v>1109</v>
      </c>
      <c r="F1791" t="s">
        <v>350</v>
      </c>
    </row>
    <row r="1792" spans="1:6" x14ac:dyDescent="0.3">
      <c r="A1792" t="s">
        <v>3252</v>
      </c>
      <c r="B1792" t="str" cm="1">
        <f t="array" ref="B1792">_xlfn.XLOOKUP(C1792, INDEX([1]!카테고리매핑,,2), INDEX([1]!카테고리매핑,,1), "미등록 카테고리")</f>
        <v>간편식</v>
      </c>
      <c r="C1792" t="s">
        <v>256</v>
      </c>
      <c r="D1792" t="str">
        <f>VLOOKUP(C1792, '[1]VLOOKUP 함수용 카테고리'!$A$1:$B$59, 2, 0)</f>
        <v>RTC_MEAL</v>
      </c>
      <c r="E1792" t="s">
        <v>256</v>
      </c>
      <c r="F1792" t="s">
        <v>3253</v>
      </c>
    </row>
    <row r="1793" spans="1:6" x14ac:dyDescent="0.3">
      <c r="A1793" t="s">
        <v>3254</v>
      </c>
      <c r="B1793" t="str" cm="1">
        <f t="array" ref="B1793">_xlfn.XLOOKUP(C1793, INDEX([1]!카테고리매핑,,2), INDEX([1]!카테고리매핑,,1), "미등록 카테고리")</f>
        <v>수산물</v>
      </c>
      <c r="C1793" t="s">
        <v>140</v>
      </c>
      <c r="D1793" t="str">
        <f>VLOOKUP(C1793, '[1]VLOOKUP 함수용 카테고리'!$A$1:$B$59, 2, 0)</f>
        <v>SIMPLE_PROCESSED</v>
      </c>
      <c r="E1793" t="s">
        <v>141</v>
      </c>
      <c r="F1793" t="s">
        <v>7811</v>
      </c>
    </row>
    <row r="1794" spans="1:6" x14ac:dyDescent="0.3">
      <c r="A1794" t="s">
        <v>3255</v>
      </c>
      <c r="B1794" t="str" cm="1">
        <f t="array" ref="B1794">_xlfn.XLOOKUP(C1794, INDEX([1]!카테고리매핑,,2), INDEX([1]!카테고리매핑,,1), "미등록 카테고리")</f>
        <v>수산물</v>
      </c>
      <c r="C1794" t="s">
        <v>203</v>
      </c>
      <c r="D1794" t="str">
        <f>VLOOKUP(C1794, '[1]VLOOKUP 함수용 카테고리'!$A$1:$B$59, 2, 0)</f>
        <v>RAW_SEAFOOD</v>
      </c>
      <c r="E1794" t="s">
        <v>1801</v>
      </c>
      <c r="F1794" t="s">
        <v>7763</v>
      </c>
    </row>
    <row r="1795" spans="1:6" x14ac:dyDescent="0.3">
      <c r="A1795" t="s">
        <v>3256</v>
      </c>
      <c r="B1795" t="str" cm="1">
        <f t="array" ref="B1795">_xlfn.XLOOKUP(C1795, INDEX([1]!카테고리매핑,,2), INDEX([1]!카테고리매핑,,1), "미등록 카테고리")</f>
        <v>채소/곡물류</v>
      </c>
      <c r="C1795" t="s">
        <v>27</v>
      </c>
      <c r="D1795" t="str">
        <f>VLOOKUP(C1795, '[1]VLOOKUP 함수용 카테고리'!$A$1:$B$59, 2, 0)</f>
        <v>SIMPLE_PROCESSED</v>
      </c>
      <c r="E1795" t="s">
        <v>28</v>
      </c>
      <c r="F1795" t="s">
        <v>350</v>
      </c>
    </row>
    <row r="1796" spans="1:6" x14ac:dyDescent="0.3">
      <c r="A1796" t="s">
        <v>3257</v>
      </c>
      <c r="B1796" t="str" cm="1">
        <f t="array" ref="B1796">_xlfn.XLOOKUP(C1796, INDEX([1]!카테고리매핑,,2), INDEX([1]!카테고리매핑,,1), "미등록 카테고리")</f>
        <v>간편식</v>
      </c>
      <c r="C1796" t="s">
        <v>131</v>
      </c>
      <c r="D1796" t="str">
        <f>VLOOKUP(C1796, '[1]VLOOKUP 함수용 카테고리'!$A$1:$B$59, 2, 0)</f>
        <v>SIMPLE_PROCESSED</v>
      </c>
      <c r="E1796" t="s">
        <v>236</v>
      </c>
      <c r="F1796" t="s">
        <v>257</v>
      </c>
    </row>
    <row r="1797" spans="1:6" x14ac:dyDescent="0.3">
      <c r="A1797" t="s">
        <v>3258</v>
      </c>
      <c r="B1797" t="str" cm="1">
        <f t="array" ref="B1797">_xlfn.XLOOKUP(C1797, INDEX([1]!카테고리매핑,,2), INDEX([1]!카테고리매핑,,1), "미등록 카테고리")</f>
        <v>술</v>
      </c>
      <c r="C1797" t="s">
        <v>411</v>
      </c>
      <c r="D1797" t="str">
        <f>VLOOKUP(C1797, '[1]VLOOKUP 함수용 카테고리'!$A$1:$B$59, 2, 0)</f>
        <v>ALCOHOL</v>
      </c>
      <c r="E1797" t="s">
        <v>1753</v>
      </c>
      <c r="F1797" t="s">
        <v>411</v>
      </c>
    </row>
    <row r="1798" spans="1:6" x14ac:dyDescent="0.3">
      <c r="A1798" t="s">
        <v>3259</v>
      </c>
      <c r="B1798" t="str" cm="1">
        <f t="array" ref="B1798">_xlfn.XLOOKUP(C1798, INDEX([1]!카테고리매핑,,2), INDEX([1]!카테고리매핑,,1), "미등록 카테고리")</f>
        <v>간편식</v>
      </c>
      <c r="C1798" t="s">
        <v>256</v>
      </c>
      <c r="D1798" t="str">
        <f>VLOOKUP(C1798, '[1]VLOOKUP 함수용 카테고리'!$A$1:$B$59, 2, 0)</f>
        <v>RTC_MEAL</v>
      </c>
      <c r="E1798" t="s">
        <v>256</v>
      </c>
      <c r="F1798" t="s">
        <v>2831</v>
      </c>
    </row>
    <row r="1799" spans="1:6" x14ac:dyDescent="0.3">
      <c r="A1799" t="s">
        <v>3260</v>
      </c>
      <c r="B1799" t="str" cm="1">
        <f t="array" ref="B1799">_xlfn.XLOOKUP(C1799, INDEX([1]!카테고리매핑,,2), INDEX([1]!카테고리매핑,,1), "미등록 카테고리")</f>
        <v>간편식</v>
      </c>
      <c r="C1799" t="s">
        <v>158</v>
      </c>
      <c r="D1799" t="str">
        <f>VLOOKUP(C1799, '[1]VLOOKUP 함수용 카테고리'!$A$1:$B$59, 2, 0)</f>
        <v>INSTANT</v>
      </c>
      <c r="E1799" t="s">
        <v>3261</v>
      </c>
      <c r="F1799" t="s">
        <v>3262</v>
      </c>
    </row>
    <row r="1800" spans="1:6" x14ac:dyDescent="0.3">
      <c r="A1800" t="s">
        <v>3263</v>
      </c>
      <c r="B1800" t="str" cm="1">
        <f t="array" ref="B1800">_xlfn.XLOOKUP(C1800, INDEX([1]!카테고리매핑,,2), INDEX([1]!카테고리매핑,,1), "미등록 카테고리")</f>
        <v>간식류</v>
      </c>
      <c r="C1800" t="s">
        <v>38</v>
      </c>
      <c r="D1800" t="str">
        <f>VLOOKUP(C1800, '[1]VLOOKUP 함수용 카테고리'!$A$1:$B$59, 2, 0)</f>
        <v>SNACK</v>
      </c>
      <c r="E1800" t="s">
        <v>39</v>
      </c>
      <c r="F1800" t="s">
        <v>3264</v>
      </c>
    </row>
    <row r="1801" spans="1:6" x14ac:dyDescent="0.3">
      <c r="A1801" t="s">
        <v>3265</v>
      </c>
      <c r="B1801" t="str" cm="1">
        <f t="array" ref="B1801">_xlfn.XLOOKUP(C1801, INDEX([1]!카테고리매핑,,2), INDEX([1]!카테고리매핑,,1), "미등록 카테고리")</f>
        <v>육류/계란</v>
      </c>
      <c r="C1801" t="s">
        <v>34</v>
      </c>
      <c r="D1801" t="str">
        <f>VLOOKUP(C1801, '[1]VLOOKUP 함수용 카테고리'!$A$1:$B$59, 2, 0)</f>
        <v>RAW_MEAT</v>
      </c>
      <c r="E1801" t="s">
        <v>2294</v>
      </c>
      <c r="F1801" t="s">
        <v>1982</v>
      </c>
    </row>
    <row r="1802" spans="1:6" x14ac:dyDescent="0.3">
      <c r="A1802" t="s">
        <v>3266</v>
      </c>
      <c r="B1802" t="str" cm="1">
        <f t="array" ref="B1802">_xlfn.XLOOKUP(C1802, INDEX([1]!카테고리매핑,,2), INDEX([1]!카테고리매핑,,1), "미등록 카테고리")</f>
        <v>유제품</v>
      </c>
      <c r="C1802" t="s">
        <v>211</v>
      </c>
      <c r="D1802" t="str">
        <f>VLOOKUP(C1802, '[1]VLOOKUP 함수용 카테고리'!$A$1:$B$59, 2, 0)</f>
        <v>DAIRY</v>
      </c>
      <c r="E1802" t="s">
        <v>211</v>
      </c>
      <c r="F1802" t="s">
        <v>1714</v>
      </c>
    </row>
    <row r="1803" spans="1:6" x14ac:dyDescent="0.3">
      <c r="A1803" t="s">
        <v>3267</v>
      </c>
      <c r="B1803" t="str" cm="1">
        <f t="array" ref="B1803">_xlfn.XLOOKUP(C1803, INDEX([1]!카테고리매핑,,2), INDEX([1]!카테고리매핑,,1), "미등록 카테고리")</f>
        <v>수산물</v>
      </c>
      <c r="C1803" t="s">
        <v>229</v>
      </c>
      <c r="D1803" t="str">
        <f>VLOOKUP(C1803, '[1]VLOOKUP 함수용 카테고리'!$A$1:$B$59, 2, 0)</f>
        <v>RAW_SEAFOOD</v>
      </c>
      <c r="E1803" t="s">
        <v>230</v>
      </c>
      <c r="F1803" t="s">
        <v>3268</v>
      </c>
    </row>
    <row r="1804" spans="1:6" x14ac:dyDescent="0.3">
      <c r="A1804" t="s">
        <v>3269</v>
      </c>
      <c r="B1804" t="str" cm="1">
        <f t="array" ref="B1804">_xlfn.XLOOKUP(C1804, INDEX([1]!카테고리매핑,,2), INDEX([1]!카테고리매핑,,1), "미등록 카테고리")</f>
        <v>미등록 카테고리</v>
      </c>
      <c r="C1804" t="s">
        <v>334</v>
      </c>
      <c r="D1804" t="str">
        <f>VLOOKUP(C1804, '[1]VLOOKUP 함수용 카테고리'!$A$1:$B$59, 2, 0)</f>
        <v>UNKNOWN</v>
      </c>
      <c r="E1804" t="s">
        <v>334</v>
      </c>
      <c r="F1804" t="s">
        <v>3270</v>
      </c>
    </row>
    <row r="1805" spans="1:6" x14ac:dyDescent="0.3">
      <c r="A1805" t="s">
        <v>3271</v>
      </c>
      <c r="B1805" t="str" cm="1">
        <f t="array" ref="B1805">_xlfn.XLOOKUP(C1805, INDEX([1]!카테고리매핑,,2), INDEX([1]!카테고리매핑,,1), "미등록 카테고리")</f>
        <v>간편식</v>
      </c>
      <c r="C1805" t="s">
        <v>19</v>
      </c>
      <c r="D1805" t="str">
        <f>VLOOKUP(C1805, '[1]VLOOKUP 함수용 카테고리'!$A$1:$B$59, 2, 0)</f>
        <v>FROZEN_MEAL</v>
      </c>
      <c r="E1805" t="s">
        <v>1842</v>
      </c>
      <c r="F1805" t="s">
        <v>36</v>
      </c>
    </row>
    <row r="1806" spans="1:6" x14ac:dyDescent="0.3">
      <c r="A1806" t="s">
        <v>3272</v>
      </c>
      <c r="B1806" t="str" cm="1">
        <f t="array" ref="B1806">_xlfn.XLOOKUP(C1806, INDEX([1]!카테고리매핑,,2), INDEX([1]!카테고리매핑,,1), "미등록 카테고리")</f>
        <v>간식류</v>
      </c>
      <c r="C1806" t="s">
        <v>11</v>
      </c>
      <c r="D1806" t="str">
        <f>VLOOKUP(C1806, '[1]VLOOKUP 함수용 카테고리'!$A$1:$B$59, 2, 0)</f>
        <v>SNACK</v>
      </c>
      <c r="E1806" t="s">
        <v>371</v>
      </c>
      <c r="F1806" t="s">
        <v>1231</v>
      </c>
    </row>
    <row r="1807" spans="1:6" x14ac:dyDescent="0.3">
      <c r="A1807" t="s">
        <v>3273</v>
      </c>
      <c r="B1807" t="str" cm="1">
        <f t="array" ref="B1807">_xlfn.XLOOKUP(C1807, INDEX([1]!카테고리매핑,,2), INDEX([1]!카테고리매핑,,1), "미등록 카테고리")</f>
        <v>조미료</v>
      </c>
      <c r="C1807" t="s">
        <v>83</v>
      </c>
      <c r="D1807" t="str">
        <f>VLOOKUP(C1807, '[1]VLOOKUP 함수용 카테고리'!$A$1:$B$59, 2, 0)</f>
        <v>SAUCE_SEASONING</v>
      </c>
      <c r="E1807" t="s">
        <v>1918</v>
      </c>
      <c r="F1807" t="s">
        <v>1919</v>
      </c>
    </row>
    <row r="1808" spans="1:6" x14ac:dyDescent="0.3">
      <c r="A1808" t="s">
        <v>3274</v>
      </c>
      <c r="B1808" t="str" cm="1">
        <f t="array" ref="B1808">_xlfn.XLOOKUP(C1808, INDEX([1]!카테고리매핑,,2), INDEX([1]!카테고리매핑,,1), "미등록 카테고리")</f>
        <v>간식류</v>
      </c>
      <c r="C1808" t="s">
        <v>38</v>
      </c>
      <c r="D1808" t="str">
        <f>VLOOKUP(C1808, '[1]VLOOKUP 함수용 카테고리'!$A$1:$B$59, 2, 0)</f>
        <v>SNACK</v>
      </c>
      <c r="E1808" t="s">
        <v>39</v>
      </c>
      <c r="F1808" t="s">
        <v>88</v>
      </c>
    </row>
    <row r="1809" spans="1:6" x14ac:dyDescent="0.3">
      <c r="A1809" t="s">
        <v>3275</v>
      </c>
      <c r="B1809" t="str" cm="1">
        <f t="array" ref="B1809">_xlfn.XLOOKUP(C1809, INDEX([1]!카테고리매핑,,2), INDEX([1]!카테고리매핑,,1), "미등록 카테고리")</f>
        <v>음료</v>
      </c>
      <c r="C1809" t="s">
        <v>23</v>
      </c>
      <c r="D1809" t="str">
        <f>VLOOKUP(C1809, '[1]VLOOKUP 함수용 카테고리'!$A$1:$B$59, 2, 0)</f>
        <v>BEVERAGE</v>
      </c>
      <c r="E1809" t="s">
        <v>355</v>
      </c>
      <c r="F1809" t="s">
        <v>356</v>
      </c>
    </row>
    <row r="1810" spans="1:6" x14ac:dyDescent="0.3">
      <c r="A1810" t="s">
        <v>3276</v>
      </c>
      <c r="B1810" t="str" cm="1">
        <f t="array" ref="B1810">_xlfn.XLOOKUP(C1810, INDEX([1]!카테고리매핑,,2), INDEX([1]!카테고리매핑,,1), "미등록 카테고리")</f>
        <v>간편식</v>
      </c>
      <c r="C1810" t="s">
        <v>158</v>
      </c>
      <c r="D1810" t="str">
        <f>VLOOKUP(C1810, '[1]VLOOKUP 함수용 카테고리'!$A$1:$B$59, 2, 0)</f>
        <v>INSTANT</v>
      </c>
      <c r="E1810" t="s">
        <v>3277</v>
      </c>
      <c r="F1810" t="s">
        <v>7799</v>
      </c>
    </row>
    <row r="1811" spans="1:6" x14ac:dyDescent="0.3">
      <c r="A1811" t="s">
        <v>3279</v>
      </c>
      <c r="B1811" t="str" cm="1">
        <f t="array" ref="B1811">_xlfn.XLOOKUP(C1811, INDEX([1]!카테고리매핑,,2), INDEX([1]!카테고리매핑,,1), "미등록 카테고리")</f>
        <v>간편식</v>
      </c>
      <c r="C1811" t="s">
        <v>46</v>
      </c>
      <c r="D1811" t="str">
        <f>VLOOKUP(C1811, '[1]VLOOKUP 함수용 카테고리'!$A$1:$B$59, 2, 0)</f>
        <v>RTC_MEAL</v>
      </c>
      <c r="E1811" t="s">
        <v>46</v>
      </c>
      <c r="F1811" t="s">
        <v>3280</v>
      </c>
    </row>
    <row r="1812" spans="1:6" x14ac:dyDescent="0.3">
      <c r="A1812" t="s">
        <v>3281</v>
      </c>
      <c r="B1812" t="str" cm="1">
        <f t="array" ref="B1812">_xlfn.XLOOKUP(C1812, INDEX([1]!카테고리매핑,,2), INDEX([1]!카테고리매핑,,1), "미등록 카테고리")</f>
        <v>채소/곡물류</v>
      </c>
      <c r="C1812" t="s">
        <v>301</v>
      </c>
      <c r="D1812" t="str">
        <f>VLOOKUP(C1812, '[1]VLOOKUP 함수용 카테고리'!$A$1:$B$59, 2, 0)</f>
        <v>GRAIN</v>
      </c>
      <c r="E1812" t="s">
        <v>1737</v>
      </c>
      <c r="F1812" t="s">
        <v>3282</v>
      </c>
    </row>
    <row r="1813" spans="1:6" x14ac:dyDescent="0.3">
      <c r="A1813" t="s">
        <v>3283</v>
      </c>
      <c r="B1813" t="str" cm="1">
        <f t="array" ref="B1813">_xlfn.XLOOKUP(C1813, INDEX([1]!카테고리매핑,,2), INDEX([1]!카테고리매핑,,1), "미등록 카테고리")</f>
        <v>간편식</v>
      </c>
      <c r="C1813" t="s">
        <v>46</v>
      </c>
      <c r="D1813" t="str">
        <f>VLOOKUP(C1813, '[1]VLOOKUP 함수용 카테고리'!$A$1:$B$59, 2, 0)</f>
        <v>RTC_MEAL</v>
      </c>
      <c r="E1813" t="s">
        <v>46</v>
      </c>
      <c r="F1813" t="s">
        <v>3284</v>
      </c>
    </row>
    <row r="1814" spans="1:6" x14ac:dyDescent="0.3">
      <c r="A1814" t="s">
        <v>3285</v>
      </c>
      <c r="B1814" t="str" cm="1">
        <f t="array" ref="B1814">_xlfn.XLOOKUP(C1814, INDEX([1]!카테고리매핑,,2), INDEX([1]!카테고리매핑,,1), "미등록 카테고리")</f>
        <v>간편식</v>
      </c>
      <c r="C1814" t="s">
        <v>19</v>
      </c>
      <c r="D1814" t="str">
        <f>VLOOKUP(C1814, '[1]VLOOKUP 함수용 카테고리'!$A$1:$B$59, 2, 0)</f>
        <v>FROZEN_MEAL</v>
      </c>
      <c r="E1814" t="s">
        <v>763</v>
      </c>
      <c r="F1814" t="s">
        <v>156</v>
      </c>
    </row>
    <row r="1815" spans="1:6" x14ac:dyDescent="0.3">
      <c r="A1815" t="s">
        <v>3286</v>
      </c>
      <c r="B1815" t="str" cm="1">
        <f t="array" ref="B1815">_xlfn.XLOOKUP(C1815, INDEX([1]!카테고리매핑,,2), INDEX([1]!카테고리매핑,,1), "미등록 카테고리")</f>
        <v>술</v>
      </c>
      <c r="C1815" t="s">
        <v>42</v>
      </c>
      <c r="D1815" t="str">
        <f>VLOOKUP(C1815, '[1]VLOOKUP 함수용 카테고리'!$A$1:$B$59, 2, 0)</f>
        <v>ALCOHOL</v>
      </c>
      <c r="E1815" t="s">
        <v>1074</v>
      </c>
    </row>
    <row r="1816" spans="1:6" x14ac:dyDescent="0.3">
      <c r="A1816" t="s">
        <v>3287</v>
      </c>
      <c r="B1816" t="str" cm="1">
        <f t="array" ref="B1816">_xlfn.XLOOKUP(C1816, INDEX([1]!카테고리매핑,,2), INDEX([1]!카테고리매핑,,1), "미등록 카테고리")</f>
        <v>육류/계란</v>
      </c>
      <c r="C1816" t="s">
        <v>105</v>
      </c>
      <c r="D1816" t="str">
        <f>VLOOKUP(C1816, '[1]VLOOKUP 함수용 카테고리'!$A$1:$B$59, 2, 0)</f>
        <v>RAW_MEAT</v>
      </c>
      <c r="E1816" t="s">
        <v>469</v>
      </c>
      <c r="F1816" t="s">
        <v>3288</v>
      </c>
    </row>
    <row r="1817" spans="1:6" x14ac:dyDescent="0.3">
      <c r="A1817" t="s">
        <v>3289</v>
      </c>
      <c r="B1817" t="str" cm="1">
        <f t="array" ref="B1817">_xlfn.XLOOKUP(C1817, INDEX([1]!카테고리매핑,,2), INDEX([1]!카테고리매핑,,1), "미등록 카테고리")</f>
        <v>간식류</v>
      </c>
      <c r="C1817" t="s">
        <v>109</v>
      </c>
      <c r="D1817" t="str">
        <f>VLOOKUP(C1817, '[1]VLOOKUP 함수용 카테고리'!$A$1:$B$59, 2, 0)</f>
        <v>SNACK</v>
      </c>
      <c r="E1817" t="s">
        <v>3290</v>
      </c>
      <c r="F1817" t="s">
        <v>379</v>
      </c>
    </row>
    <row r="1818" spans="1:6" x14ac:dyDescent="0.3">
      <c r="A1818" t="s">
        <v>3291</v>
      </c>
      <c r="B1818" t="str" cm="1">
        <f t="array" ref="B1818">_xlfn.XLOOKUP(C1818, INDEX([1]!카테고리매핑,,2), INDEX([1]!카테고리매핑,,1), "미등록 카테고리")</f>
        <v>간식류</v>
      </c>
      <c r="C1818" t="s">
        <v>38</v>
      </c>
      <c r="D1818" t="str">
        <f>VLOOKUP(C1818, '[1]VLOOKUP 함수용 카테고리'!$A$1:$B$59, 2, 0)</f>
        <v>SNACK</v>
      </c>
      <c r="E1818" t="s">
        <v>179</v>
      </c>
      <c r="F1818" t="s">
        <v>3292</v>
      </c>
    </row>
    <row r="1819" spans="1:6" x14ac:dyDescent="0.3">
      <c r="A1819" t="s">
        <v>3293</v>
      </c>
      <c r="B1819" t="str" cm="1">
        <f t="array" ref="B1819">_xlfn.XLOOKUP(C1819, INDEX([1]!카테고리매핑,,2), INDEX([1]!카테고리매핑,,1), "미등록 카테고리")</f>
        <v>미등록 카테고리</v>
      </c>
      <c r="C1819" t="s">
        <v>334</v>
      </c>
      <c r="D1819" t="str">
        <f>VLOOKUP(C1819, '[1]VLOOKUP 함수용 카테고리'!$A$1:$B$59, 2, 0)</f>
        <v>UNKNOWN</v>
      </c>
      <c r="E1819" t="s">
        <v>334</v>
      </c>
      <c r="F1819" t="s">
        <v>3294</v>
      </c>
    </row>
    <row r="1820" spans="1:6" x14ac:dyDescent="0.3">
      <c r="A1820" t="s">
        <v>3295</v>
      </c>
      <c r="B1820" t="str" cm="1">
        <f t="array" ref="B1820">_xlfn.XLOOKUP(C1820, INDEX([1]!카테고리매핑,,2), INDEX([1]!카테고리매핑,,1), "미등록 카테고리")</f>
        <v>간편식</v>
      </c>
      <c r="C1820" t="s">
        <v>161</v>
      </c>
      <c r="D1820" t="str">
        <f>VLOOKUP(C1820, '[1]VLOOKUP 함수용 카테고리'!$A$1:$B$59, 2, 0)</f>
        <v>RTC_MEAL</v>
      </c>
      <c r="E1820" t="s">
        <v>162</v>
      </c>
      <c r="F1820" t="s">
        <v>406</v>
      </c>
    </row>
    <row r="1821" spans="1:6" x14ac:dyDescent="0.3">
      <c r="A1821" t="s">
        <v>3296</v>
      </c>
      <c r="B1821" t="str" cm="1">
        <f t="array" ref="B1821">_xlfn.XLOOKUP(C1821, INDEX([1]!카테고리매핑,,2), INDEX([1]!카테고리매핑,,1), "미등록 카테고리")</f>
        <v>간편식</v>
      </c>
      <c r="C1821" t="s">
        <v>131</v>
      </c>
      <c r="D1821" t="str">
        <f>VLOOKUP(C1821, '[1]VLOOKUP 함수용 카테고리'!$A$1:$B$59, 2, 0)</f>
        <v>SIMPLE_PROCESSED</v>
      </c>
      <c r="E1821" t="s">
        <v>3297</v>
      </c>
      <c r="F1821" t="s">
        <v>1457</v>
      </c>
    </row>
    <row r="1822" spans="1:6" x14ac:dyDescent="0.3">
      <c r="A1822" t="s">
        <v>3298</v>
      </c>
      <c r="B1822" t="str" cm="1">
        <f t="array" ref="B1822">_xlfn.XLOOKUP(C1822, INDEX([1]!카테고리매핑,,2), INDEX([1]!카테고리매핑,,1), "미등록 카테고리")</f>
        <v>음료</v>
      </c>
      <c r="C1822" t="s">
        <v>23</v>
      </c>
      <c r="D1822" t="str">
        <f>VLOOKUP(C1822, '[1]VLOOKUP 함수용 카테고리'!$A$1:$B$59, 2, 0)</f>
        <v>BEVERAGE</v>
      </c>
      <c r="E1822" t="s">
        <v>352</v>
      </c>
      <c r="F1822" t="s">
        <v>7764</v>
      </c>
    </row>
    <row r="1823" spans="1:6" x14ac:dyDescent="0.3">
      <c r="A1823" t="s">
        <v>3299</v>
      </c>
      <c r="B1823" t="str" cm="1">
        <f t="array" ref="B1823">_xlfn.XLOOKUP(C1823, INDEX([1]!카테고리매핑,,2), INDEX([1]!카테고리매핑,,1), "미등록 카테고리")</f>
        <v>간편식</v>
      </c>
      <c r="C1823" t="s">
        <v>46</v>
      </c>
      <c r="D1823" t="str">
        <f>VLOOKUP(C1823, '[1]VLOOKUP 함수용 카테고리'!$A$1:$B$59, 2, 0)</f>
        <v>RTC_MEAL</v>
      </c>
      <c r="E1823" t="s">
        <v>46</v>
      </c>
      <c r="F1823" t="s">
        <v>805</v>
      </c>
    </row>
    <row r="1824" spans="1:6" x14ac:dyDescent="0.3">
      <c r="A1824" t="s">
        <v>3300</v>
      </c>
      <c r="B1824" t="str" cm="1">
        <f t="array" ref="B1824">_xlfn.XLOOKUP(C1824, INDEX([1]!카테고리매핑,,2), INDEX([1]!카테고리매핑,,1), "미등록 카테고리")</f>
        <v>미등록 카테고리</v>
      </c>
      <c r="C1824" t="s">
        <v>334</v>
      </c>
      <c r="D1824" t="str">
        <f>VLOOKUP(C1824, '[1]VLOOKUP 함수용 카테고리'!$A$1:$B$59, 2, 0)</f>
        <v>UNKNOWN</v>
      </c>
      <c r="E1824" t="s">
        <v>334</v>
      </c>
      <c r="F1824" t="s">
        <v>3301</v>
      </c>
    </row>
    <row r="1825" spans="1:6" x14ac:dyDescent="0.3">
      <c r="A1825" t="s">
        <v>3302</v>
      </c>
      <c r="B1825" t="str" cm="1">
        <f t="array" ref="B1825">_xlfn.XLOOKUP(C1825, INDEX([1]!카테고리매핑,,2), INDEX([1]!카테고리매핑,,1), "미등록 카테고리")</f>
        <v>간식류</v>
      </c>
      <c r="C1825" t="s">
        <v>63</v>
      </c>
      <c r="D1825" t="str">
        <f>VLOOKUP(C1825, '[1]VLOOKUP 함수용 카테고리'!$A$1:$B$59, 2, 0)</f>
        <v>BAKERY</v>
      </c>
      <c r="E1825" t="s">
        <v>496</v>
      </c>
      <c r="F1825" t="s">
        <v>2571</v>
      </c>
    </row>
    <row r="1826" spans="1:6" x14ac:dyDescent="0.3">
      <c r="A1826" t="s">
        <v>3303</v>
      </c>
      <c r="B1826" t="str" cm="1">
        <f t="array" ref="B1826">_xlfn.XLOOKUP(C1826, INDEX([1]!카테고리매핑,,2), INDEX([1]!카테고리매핑,,1), "미등록 카테고리")</f>
        <v>채소/곡물류</v>
      </c>
      <c r="C1826" t="s">
        <v>7</v>
      </c>
      <c r="D1826" t="str">
        <f>VLOOKUP(C1826, '[1]VLOOKUP 함수용 카테고리'!$A$1:$B$59, 2, 0)</f>
        <v>RAW_PRODUCE</v>
      </c>
      <c r="E1826" t="s">
        <v>2053</v>
      </c>
    </row>
    <row r="1827" spans="1:6" x14ac:dyDescent="0.3">
      <c r="A1827" t="s">
        <v>3304</v>
      </c>
      <c r="B1827" t="str" cm="1">
        <f t="array" ref="B1827">_xlfn.XLOOKUP(C1827, INDEX([1]!카테고리매핑,,2), INDEX([1]!카테고리매핑,,1), "미등록 카테고리")</f>
        <v>간식류</v>
      </c>
      <c r="C1827" t="s">
        <v>63</v>
      </c>
      <c r="D1827" t="str">
        <f>VLOOKUP(C1827, '[1]VLOOKUP 함수용 카테고리'!$A$1:$B$59, 2, 0)</f>
        <v>BAKERY</v>
      </c>
      <c r="E1827" t="s">
        <v>496</v>
      </c>
      <c r="F1827" t="s">
        <v>892</v>
      </c>
    </row>
    <row r="1828" spans="1:6" x14ac:dyDescent="0.3">
      <c r="A1828" t="s">
        <v>3305</v>
      </c>
      <c r="B1828" t="str" cm="1">
        <f t="array" ref="B1828">_xlfn.XLOOKUP(C1828, INDEX([1]!카테고리매핑,,2), INDEX([1]!카테고리매핑,,1), "미등록 카테고리")</f>
        <v>간편식</v>
      </c>
      <c r="C1828" t="s">
        <v>46</v>
      </c>
      <c r="D1828" t="str">
        <f>VLOOKUP(C1828, '[1]VLOOKUP 함수용 카테고리'!$A$1:$B$59, 2, 0)</f>
        <v>RTC_MEAL</v>
      </c>
      <c r="E1828" t="s">
        <v>46</v>
      </c>
      <c r="F1828" t="s">
        <v>151</v>
      </c>
    </row>
    <row r="1829" spans="1:6" x14ac:dyDescent="0.3">
      <c r="A1829" t="s">
        <v>3306</v>
      </c>
      <c r="B1829" t="str" cm="1">
        <f t="array" ref="B1829">_xlfn.XLOOKUP(C1829, INDEX([1]!카테고리매핑,,2), INDEX([1]!카테고리매핑,,1), "미등록 카테고리")</f>
        <v>간식류</v>
      </c>
      <c r="C1829" t="s">
        <v>38</v>
      </c>
      <c r="D1829" t="str">
        <f>VLOOKUP(C1829, '[1]VLOOKUP 함수용 카테고리'!$A$1:$B$59, 2, 0)</f>
        <v>SNACK</v>
      </c>
      <c r="E1829" t="s">
        <v>179</v>
      </c>
      <c r="F1829" t="s">
        <v>3307</v>
      </c>
    </row>
    <row r="1830" spans="1:6" x14ac:dyDescent="0.3">
      <c r="A1830" t="s">
        <v>3308</v>
      </c>
      <c r="B1830" t="str" cm="1">
        <f t="array" ref="B1830">_xlfn.XLOOKUP(C1830, INDEX([1]!카테고리매핑,,2), INDEX([1]!카테고리매핑,,1), "미등록 카테고리")</f>
        <v>간식류</v>
      </c>
      <c r="C1830" t="s">
        <v>38</v>
      </c>
      <c r="D1830" t="str">
        <f>VLOOKUP(C1830, '[1]VLOOKUP 함수용 카테고리'!$A$1:$B$59, 2, 0)</f>
        <v>SNACK</v>
      </c>
      <c r="E1830" t="s">
        <v>39</v>
      </c>
      <c r="F1830" t="s">
        <v>3309</v>
      </c>
    </row>
    <row r="1831" spans="1:6" x14ac:dyDescent="0.3">
      <c r="A1831" t="s">
        <v>3310</v>
      </c>
      <c r="B1831" t="str" cm="1">
        <f t="array" ref="B1831">_xlfn.XLOOKUP(C1831, INDEX([1]!카테고리매핑,,2), INDEX([1]!카테고리매핑,,1), "미등록 카테고리")</f>
        <v>유제품</v>
      </c>
      <c r="C1831" t="s">
        <v>123</v>
      </c>
      <c r="D1831" t="str">
        <f>VLOOKUP(C1831, '[1]VLOOKUP 함수용 카테고리'!$A$1:$B$59, 2, 0)</f>
        <v>DAIRY</v>
      </c>
      <c r="E1831" t="s">
        <v>3311</v>
      </c>
      <c r="F1831" t="s">
        <v>3312</v>
      </c>
    </row>
    <row r="1832" spans="1:6" x14ac:dyDescent="0.3">
      <c r="A1832" t="s">
        <v>3313</v>
      </c>
      <c r="B1832" t="str" cm="1">
        <f t="array" ref="B1832">_xlfn.XLOOKUP(C1832, INDEX([1]!카테고리매핑,,2), INDEX([1]!카테고리매핑,,1), "미등록 카테고리")</f>
        <v>유제품</v>
      </c>
      <c r="C1832" t="s">
        <v>98</v>
      </c>
      <c r="D1832" t="str">
        <f>VLOOKUP(C1832, '[1]VLOOKUP 함수용 카테고리'!$A$1:$B$59, 2, 0)</f>
        <v>DAIRY</v>
      </c>
      <c r="E1832" t="s">
        <v>98</v>
      </c>
      <c r="F1832" t="s">
        <v>3314</v>
      </c>
    </row>
    <row r="1833" spans="1:6" x14ac:dyDescent="0.3">
      <c r="A1833" t="s">
        <v>3315</v>
      </c>
      <c r="B1833" t="str" cm="1">
        <f t="array" ref="B1833">_xlfn.XLOOKUP(C1833, INDEX([1]!카테고리매핑,,2), INDEX([1]!카테고리매핑,,1), "미등록 카테고리")</f>
        <v>음료</v>
      </c>
      <c r="C1833" t="s">
        <v>23</v>
      </c>
      <c r="D1833" t="str">
        <f>VLOOKUP(C1833, '[1]VLOOKUP 함수용 카테고리'!$A$1:$B$59, 2, 0)</f>
        <v>BEVERAGE</v>
      </c>
      <c r="E1833" t="s">
        <v>355</v>
      </c>
      <c r="F1833" t="s">
        <v>3316</v>
      </c>
    </row>
    <row r="1834" spans="1:6" x14ac:dyDescent="0.3">
      <c r="A1834" t="s">
        <v>3317</v>
      </c>
      <c r="B1834" t="str" cm="1">
        <f t="array" ref="B1834">_xlfn.XLOOKUP(C1834, INDEX([1]!카테고리매핑,,2), INDEX([1]!카테고리매핑,,1), "미등록 카테고리")</f>
        <v>간편식</v>
      </c>
      <c r="C1834" t="s">
        <v>19</v>
      </c>
      <c r="D1834" t="str">
        <f>VLOOKUP(C1834, '[1]VLOOKUP 함수용 카테고리'!$A$1:$B$59, 2, 0)</f>
        <v>FROZEN_MEAL</v>
      </c>
      <c r="E1834" t="s">
        <v>3318</v>
      </c>
      <c r="F1834" t="s">
        <v>2356</v>
      </c>
    </row>
    <row r="1835" spans="1:6" x14ac:dyDescent="0.3">
      <c r="A1835" t="s">
        <v>3319</v>
      </c>
      <c r="B1835" t="str" cm="1">
        <f t="array" ref="B1835">_xlfn.XLOOKUP(C1835, INDEX([1]!카테고리매핑,,2), INDEX([1]!카테고리매핑,,1), "미등록 카테고리")</f>
        <v>육류/계란</v>
      </c>
      <c r="C1835" t="s">
        <v>298</v>
      </c>
      <c r="D1835" t="str">
        <f>VLOOKUP(C1835, '[1]VLOOKUP 함수용 카테고리'!$A$1:$B$59, 2, 0)</f>
        <v>RAW_MEAT</v>
      </c>
      <c r="E1835" t="s">
        <v>298</v>
      </c>
      <c r="F1835" t="s">
        <v>156</v>
      </c>
    </row>
    <row r="1836" spans="1:6" x14ac:dyDescent="0.3">
      <c r="A1836" t="s">
        <v>3320</v>
      </c>
      <c r="B1836" t="str" cm="1">
        <f t="array" ref="B1836">_xlfn.XLOOKUP(C1836, INDEX([1]!카테고리매핑,,2), INDEX([1]!카테고리매핑,,1), "미등록 카테고리")</f>
        <v>조미료</v>
      </c>
      <c r="C1836" t="s">
        <v>127</v>
      </c>
      <c r="D1836" t="str">
        <f>VLOOKUP(C1836, '[1]VLOOKUP 함수용 카테고리'!$A$1:$B$59, 2, 0)</f>
        <v>SAUCE_SEASONING</v>
      </c>
      <c r="E1836" t="s">
        <v>2106</v>
      </c>
      <c r="F1836" t="s">
        <v>129</v>
      </c>
    </row>
    <row r="1837" spans="1:6" x14ac:dyDescent="0.3">
      <c r="A1837" t="s">
        <v>3321</v>
      </c>
      <c r="B1837" t="str" cm="1">
        <f t="array" ref="B1837">_xlfn.XLOOKUP(C1837, INDEX([1]!카테고리매핑,,2), INDEX([1]!카테고리매핑,,1), "미등록 카테고리")</f>
        <v>음료</v>
      </c>
      <c r="C1837" t="s">
        <v>23</v>
      </c>
      <c r="D1837" t="str">
        <f>VLOOKUP(C1837, '[1]VLOOKUP 함수용 카테고리'!$A$1:$B$59, 2, 0)</f>
        <v>BEVERAGE</v>
      </c>
      <c r="E1837" t="s">
        <v>323</v>
      </c>
      <c r="F1837" t="s">
        <v>605</v>
      </c>
    </row>
    <row r="1838" spans="1:6" x14ac:dyDescent="0.3">
      <c r="A1838" t="s">
        <v>3322</v>
      </c>
      <c r="B1838" t="str" cm="1">
        <f t="array" ref="B1838">_xlfn.XLOOKUP(C1838, INDEX([1]!카테고리매핑,,2), INDEX([1]!카테고리매핑,,1), "미등록 카테고리")</f>
        <v>간편식</v>
      </c>
      <c r="C1838" t="s">
        <v>19</v>
      </c>
      <c r="D1838" t="str">
        <f>VLOOKUP(C1838, '[1]VLOOKUP 함수용 카테고리'!$A$1:$B$59, 2, 0)</f>
        <v>FROZEN_MEAL</v>
      </c>
      <c r="E1838" t="s">
        <v>245</v>
      </c>
      <c r="F1838" t="s">
        <v>7812</v>
      </c>
    </row>
    <row r="1839" spans="1:6" x14ac:dyDescent="0.3">
      <c r="A1839" t="s">
        <v>3323</v>
      </c>
      <c r="B1839" t="str" cm="1">
        <f t="array" ref="B1839">_xlfn.XLOOKUP(C1839, INDEX([1]!카테고리매핑,,2), INDEX([1]!카테고리매핑,,1), "미등록 카테고리")</f>
        <v>간식류</v>
      </c>
      <c r="C1839" t="s">
        <v>11</v>
      </c>
      <c r="D1839" t="str">
        <f>VLOOKUP(C1839, '[1]VLOOKUP 함수용 카테고리'!$A$1:$B$59, 2, 0)</f>
        <v>SNACK</v>
      </c>
      <c r="E1839" t="s">
        <v>153</v>
      </c>
      <c r="F1839" t="s">
        <v>221</v>
      </c>
    </row>
    <row r="1840" spans="1:6" x14ac:dyDescent="0.3">
      <c r="A1840" t="s">
        <v>3324</v>
      </c>
      <c r="B1840" t="str" cm="1">
        <f t="array" ref="B1840">_xlfn.XLOOKUP(C1840, INDEX([1]!카테고리매핑,,2), INDEX([1]!카테고리매핑,,1), "미등록 카테고리")</f>
        <v>유제품</v>
      </c>
      <c r="C1840" t="s">
        <v>432</v>
      </c>
      <c r="D1840" t="str">
        <f>VLOOKUP(C1840, '[1]VLOOKUP 함수용 카테고리'!$A$1:$B$59, 2, 0)</f>
        <v>DAIRY</v>
      </c>
      <c r="E1840" t="s">
        <v>549</v>
      </c>
      <c r="F1840" t="s">
        <v>3325</v>
      </c>
    </row>
    <row r="1841" spans="1:6" x14ac:dyDescent="0.3">
      <c r="A1841" t="s">
        <v>3326</v>
      </c>
      <c r="B1841" t="str" cm="1">
        <f t="array" ref="B1841">_xlfn.XLOOKUP(C1841, INDEX([1]!카테고리매핑,,2), INDEX([1]!카테고리매핑,,1), "미등록 카테고리")</f>
        <v>간식류</v>
      </c>
      <c r="C1841" t="s">
        <v>11</v>
      </c>
      <c r="D1841" t="str">
        <f>VLOOKUP(C1841, '[1]VLOOKUP 함수용 카테고리'!$A$1:$B$59, 2, 0)</f>
        <v>SNACK</v>
      </c>
      <c r="E1841" t="s">
        <v>3327</v>
      </c>
      <c r="F1841" t="s">
        <v>3328</v>
      </c>
    </row>
    <row r="1842" spans="1:6" x14ac:dyDescent="0.3">
      <c r="A1842" t="s">
        <v>3329</v>
      </c>
      <c r="B1842" t="str" cm="1">
        <f t="array" ref="B1842">_xlfn.XLOOKUP(C1842, INDEX([1]!카테고리매핑,,2), INDEX([1]!카테고리매핑,,1), "미등록 카테고리")</f>
        <v>채소/곡물류</v>
      </c>
      <c r="C1842" t="s">
        <v>301</v>
      </c>
      <c r="D1842" t="str">
        <f>VLOOKUP(C1842, '[1]VLOOKUP 함수용 카테고리'!$A$1:$B$59, 2, 0)</f>
        <v>GRAIN</v>
      </c>
      <c r="E1842" t="s">
        <v>1737</v>
      </c>
      <c r="F1842" t="s">
        <v>941</v>
      </c>
    </row>
    <row r="1843" spans="1:6" x14ac:dyDescent="0.3">
      <c r="A1843" t="s">
        <v>3330</v>
      </c>
      <c r="B1843" t="str" cm="1">
        <f t="array" ref="B1843">_xlfn.XLOOKUP(C1843, INDEX([1]!카테고리매핑,,2), INDEX([1]!카테고리매핑,,1), "미등록 카테고리")</f>
        <v>조미료</v>
      </c>
      <c r="C1843" t="s">
        <v>84</v>
      </c>
      <c r="D1843" t="str">
        <f>VLOOKUP(C1843, '[1]VLOOKUP 함수용 카테고리'!$A$1:$B$59, 2, 0)</f>
        <v>SAUCE_SEASONING</v>
      </c>
      <c r="E1843" t="s">
        <v>85</v>
      </c>
      <c r="F1843" t="s">
        <v>3331</v>
      </c>
    </row>
    <row r="1844" spans="1:6" x14ac:dyDescent="0.3">
      <c r="A1844" t="s">
        <v>3332</v>
      </c>
      <c r="B1844" t="str" cm="1">
        <f t="array" ref="B1844">_xlfn.XLOOKUP(C1844, INDEX([1]!카테고리매핑,,2), INDEX([1]!카테고리매핑,,1), "미등록 카테고리")</f>
        <v>조미료</v>
      </c>
      <c r="C1844" t="s">
        <v>83</v>
      </c>
      <c r="D1844" t="str">
        <f>VLOOKUP(C1844, '[1]VLOOKUP 함수용 카테고리'!$A$1:$B$59, 2, 0)</f>
        <v>SAUCE_SEASONING</v>
      </c>
      <c r="E1844" t="s">
        <v>7653</v>
      </c>
      <c r="F1844" t="s">
        <v>136</v>
      </c>
    </row>
    <row r="1845" spans="1:6" x14ac:dyDescent="0.3">
      <c r="A1845" t="s">
        <v>3333</v>
      </c>
      <c r="B1845" t="str" cm="1">
        <f t="array" ref="B1845">_xlfn.XLOOKUP(C1845, INDEX([1]!카테고리매핑,,2), INDEX([1]!카테고리매핑,,1), "미등록 카테고리")</f>
        <v>조미료</v>
      </c>
      <c r="C1845" t="s">
        <v>127</v>
      </c>
      <c r="D1845" t="str">
        <f>VLOOKUP(C1845, '[1]VLOOKUP 함수용 카테고리'!$A$1:$B$59, 2, 0)</f>
        <v>SAUCE_SEASONING</v>
      </c>
      <c r="E1845" t="s">
        <v>3334</v>
      </c>
      <c r="F1845" t="s">
        <v>3335</v>
      </c>
    </row>
    <row r="1846" spans="1:6" x14ac:dyDescent="0.3">
      <c r="A1846" t="s">
        <v>3336</v>
      </c>
      <c r="B1846" t="str" cm="1">
        <f t="array" ref="B1846">_xlfn.XLOOKUP(C1846, INDEX([1]!카테고리매핑,,2), INDEX([1]!카테고리매핑,,1), "미등록 카테고리")</f>
        <v>유제품</v>
      </c>
      <c r="C1846" t="s">
        <v>123</v>
      </c>
      <c r="D1846" t="str">
        <f>VLOOKUP(C1846, '[1]VLOOKUP 함수용 카테고리'!$A$1:$B$59, 2, 0)</f>
        <v>DAIRY</v>
      </c>
      <c r="E1846" t="s">
        <v>3337</v>
      </c>
      <c r="F1846" t="s">
        <v>3338</v>
      </c>
    </row>
    <row r="1847" spans="1:6" x14ac:dyDescent="0.3">
      <c r="A1847" t="s">
        <v>3339</v>
      </c>
      <c r="B1847" t="str" cm="1">
        <f t="array" ref="B1847">_xlfn.XLOOKUP(C1847, INDEX([1]!카테고리매핑,,2), INDEX([1]!카테고리매핑,,1), "미등록 카테고리")</f>
        <v>채소/곡물류</v>
      </c>
      <c r="C1847" t="s">
        <v>301</v>
      </c>
      <c r="D1847" t="str">
        <f>VLOOKUP(C1847, '[1]VLOOKUP 함수용 카테고리'!$A$1:$B$59, 2, 0)</f>
        <v>GRAIN</v>
      </c>
      <c r="E1847" t="s">
        <v>490</v>
      </c>
      <c r="F1847" t="s">
        <v>1000</v>
      </c>
    </row>
    <row r="1848" spans="1:6" x14ac:dyDescent="0.3">
      <c r="A1848" t="s">
        <v>3340</v>
      </c>
      <c r="B1848" t="str" cm="1">
        <f t="array" ref="B1848">_xlfn.XLOOKUP(C1848, INDEX([1]!카테고리매핑,,2), INDEX([1]!카테고리매핑,,1), "미등록 카테고리")</f>
        <v>간편식</v>
      </c>
      <c r="C1848" t="s">
        <v>256</v>
      </c>
      <c r="D1848" t="str">
        <f>VLOOKUP(C1848, '[1]VLOOKUP 함수용 카테고리'!$A$1:$B$59, 2, 0)</f>
        <v>RTC_MEAL</v>
      </c>
      <c r="E1848" t="s">
        <v>256</v>
      </c>
      <c r="F1848" t="s">
        <v>156</v>
      </c>
    </row>
    <row r="1849" spans="1:6" x14ac:dyDescent="0.3">
      <c r="A1849" t="s">
        <v>3341</v>
      </c>
      <c r="B1849" t="str" cm="1">
        <f t="array" ref="B1849">_xlfn.XLOOKUP(C1849, INDEX([1]!카테고리매핑,,2), INDEX([1]!카테고리매핑,,1), "미등록 카테고리")</f>
        <v>수산물</v>
      </c>
      <c r="C1849" t="s">
        <v>1673</v>
      </c>
      <c r="D1849" t="str">
        <f>VLOOKUP(C1849, '[1]VLOOKUP 함수용 카테고리'!$A$1:$B$59, 2, 0)</f>
        <v>RAW_SEAFOOD</v>
      </c>
      <c r="E1849" t="s">
        <v>1674</v>
      </c>
    </row>
    <row r="1850" spans="1:6" x14ac:dyDescent="0.3">
      <c r="A1850" t="s">
        <v>3342</v>
      </c>
      <c r="B1850" t="str" cm="1">
        <f t="array" ref="B1850">_xlfn.XLOOKUP(C1850, INDEX([1]!카테고리매핑,,2), INDEX([1]!카테고리매핑,,1), "미등록 카테고리")</f>
        <v>미등록 카테고리</v>
      </c>
      <c r="C1850" t="s">
        <v>334</v>
      </c>
      <c r="D1850" t="str">
        <f>VLOOKUP(C1850, '[1]VLOOKUP 함수용 카테고리'!$A$1:$B$59, 2, 0)</f>
        <v>UNKNOWN</v>
      </c>
      <c r="E1850" t="s">
        <v>334</v>
      </c>
      <c r="F1850" t="s">
        <v>3343</v>
      </c>
    </row>
    <row r="1851" spans="1:6" x14ac:dyDescent="0.3">
      <c r="A1851" t="s">
        <v>3344</v>
      </c>
      <c r="B1851" t="str" cm="1">
        <f t="array" ref="B1851">_xlfn.XLOOKUP(C1851, INDEX([1]!카테고리매핑,,2), INDEX([1]!카테고리매핑,,1), "미등록 카테고리")</f>
        <v>조미료</v>
      </c>
      <c r="C1851" t="s">
        <v>117</v>
      </c>
      <c r="D1851" t="str">
        <f>VLOOKUP(C1851, '[1]VLOOKUP 함수용 카테고리'!$A$1:$B$59, 2, 0)</f>
        <v>SAUCE_SEASONING</v>
      </c>
      <c r="E1851" t="s">
        <v>645</v>
      </c>
      <c r="F1851" t="s">
        <v>1452</v>
      </c>
    </row>
    <row r="1852" spans="1:6" x14ac:dyDescent="0.3">
      <c r="A1852" t="s">
        <v>3345</v>
      </c>
      <c r="B1852" t="str" cm="1">
        <f t="array" ref="B1852">_xlfn.XLOOKUP(C1852, INDEX([1]!카테고리매핑,,2), INDEX([1]!카테고리매핑,,1), "미등록 카테고리")</f>
        <v>간식류</v>
      </c>
      <c r="C1852" t="s">
        <v>11</v>
      </c>
      <c r="D1852" t="str">
        <f>VLOOKUP(C1852, '[1]VLOOKUP 함수용 카테고리'!$A$1:$B$59, 2, 0)</f>
        <v>SNACK</v>
      </c>
      <c r="E1852" t="s">
        <v>2426</v>
      </c>
      <c r="F1852" t="s">
        <v>941</v>
      </c>
    </row>
    <row r="1853" spans="1:6" x14ac:dyDescent="0.3">
      <c r="A1853" t="s">
        <v>3346</v>
      </c>
      <c r="B1853" t="str" cm="1">
        <f t="array" ref="B1853">_xlfn.XLOOKUP(C1853, INDEX([1]!카테고리매핑,,2), INDEX([1]!카테고리매핑,,1), "미등록 카테고리")</f>
        <v>간편식</v>
      </c>
      <c r="C1853" t="s">
        <v>131</v>
      </c>
      <c r="D1853" t="str">
        <f>VLOOKUP(C1853, '[1]VLOOKUP 함수용 카테고리'!$A$1:$B$59, 2, 0)</f>
        <v>SIMPLE_PROCESSED</v>
      </c>
      <c r="E1853" t="s">
        <v>1067</v>
      </c>
      <c r="F1853" t="s">
        <v>237</v>
      </c>
    </row>
    <row r="1854" spans="1:6" x14ac:dyDescent="0.3">
      <c r="A1854" t="s">
        <v>3347</v>
      </c>
      <c r="B1854" t="str" cm="1">
        <f t="array" ref="B1854">_xlfn.XLOOKUP(C1854, INDEX([1]!카테고리매핑,,2), INDEX([1]!카테고리매핑,,1), "미등록 카테고리")</f>
        <v>유제품</v>
      </c>
      <c r="C1854" t="s">
        <v>211</v>
      </c>
      <c r="D1854" t="str">
        <f>VLOOKUP(C1854, '[1]VLOOKUP 함수용 카테고리'!$A$1:$B$59, 2, 0)</f>
        <v>DAIRY</v>
      </c>
      <c r="E1854" t="s">
        <v>211</v>
      </c>
      <c r="F1854" t="s">
        <v>1714</v>
      </c>
    </row>
    <row r="1855" spans="1:6" x14ac:dyDescent="0.3">
      <c r="A1855" t="s">
        <v>3348</v>
      </c>
      <c r="B1855" t="str" cm="1">
        <f t="array" ref="B1855">_xlfn.XLOOKUP(C1855, INDEX([1]!카테고리매핑,,2), INDEX([1]!카테고리매핑,,1), "미등록 카테고리")</f>
        <v>상온식품</v>
      </c>
      <c r="C1855" t="s">
        <v>835</v>
      </c>
      <c r="D1855" t="str">
        <f>VLOOKUP(C1855, '[1]VLOOKUP 함수용 카테고리'!$A$1:$B$59, 2, 0)</f>
        <v>SAUCE_SEASONING</v>
      </c>
      <c r="E1855" t="s">
        <v>3349</v>
      </c>
      <c r="F1855" t="s">
        <v>3350</v>
      </c>
    </row>
    <row r="1856" spans="1:6" x14ac:dyDescent="0.3">
      <c r="A1856" t="s">
        <v>3351</v>
      </c>
      <c r="B1856" t="str" cm="1">
        <f t="array" ref="B1856">_xlfn.XLOOKUP(C1856, INDEX([1]!카테고리매핑,,2), INDEX([1]!카테고리매핑,,1), "미등록 카테고리")</f>
        <v>채소/곡물류</v>
      </c>
      <c r="C1856" t="s">
        <v>7</v>
      </c>
      <c r="D1856" t="str">
        <f>VLOOKUP(C1856, '[1]VLOOKUP 함수용 카테고리'!$A$1:$B$59, 2, 0)</f>
        <v>RAW_PRODUCE</v>
      </c>
      <c r="E1856" t="s">
        <v>2068</v>
      </c>
      <c r="F1856" t="s">
        <v>941</v>
      </c>
    </row>
    <row r="1857" spans="1:6" x14ac:dyDescent="0.3">
      <c r="A1857" t="s">
        <v>3352</v>
      </c>
      <c r="B1857" t="str" cm="1">
        <f t="array" ref="B1857">_xlfn.XLOOKUP(C1857, INDEX([1]!카테고리매핑,,2), INDEX([1]!카테고리매핑,,1), "미등록 카테고리")</f>
        <v>음료</v>
      </c>
      <c r="C1857" t="s">
        <v>23</v>
      </c>
      <c r="D1857" t="str">
        <f>VLOOKUP(C1857, '[1]VLOOKUP 함수용 카테고리'!$A$1:$B$59, 2, 0)</f>
        <v>BEVERAGE</v>
      </c>
      <c r="E1857" t="s">
        <v>323</v>
      </c>
      <c r="F1857" t="s">
        <v>3353</v>
      </c>
    </row>
    <row r="1858" spans="1:6" x14ac:dyDescent="0.3">
      <c r="A1858" t="s">
        <v>3354</v>
      </c>
      <c r="B1858" t="str" cm="1">
        <f t="array" ref="B1858">_xlfn.XLOOKUP(C1858, INDEX([1]!카테고리매핑,,2), INDEX([1]!카테고리매핑,,1), "미등록 카테고리")</f>
        <v>미등록 카테고리</v>
      </c>
      <c r="C1858" t="s">
        <v>334</v>
      </c>
      <c r="D1858" t="str">
        <f>VLOOKUP(C1858, '[1]VLOOKUP 함수용 카테고리'!$A$1:$B$59, 2, 0)</f>
        <v>UNKNOWN</v>
      </c>
      <c r="E1858" t="s">
        <v>334</v>
      </c>
      <c r="F1858" t="s">
        <v>2823</v>
      </c>
    </row>
    <row r="1859" spans="1:6" x14ac:dyDescent="0.3">
      <c r="A1859" t="s">
        <v>3355</v>
      </c>
      <c r="B1859" t="str" cm="1">
        <f t="array" ref="B1859">_xlfn.XLOOKUP(C1859, INDEX([1]!카테고리매핑,,2), INDEX([1]!카테고리매핑,,1), "미등록 카테고리")</f>
        <v>간식류</v>
      </c>
      <c r="C1859" t="s">
        <v>15</v>
      </c>
      <c r="D1859" t="str">
        <f>VLOOKUP(C1859, '[1]VLOOKUP 함수용 카테고리'!$A$1:$B$59, 2, 0)</f>
        <v>BAKERY</v>
      </c>
      <c r="E1859" t="s">
        <v>3356</v>
      </c>
      <c r="F1859" t="s">
        <v>1019</v>
      </c>
    </row>
    <row r="1860" spans="1:6" x14ac:dyDescent="0.3">
      <c r="A1860" t="s">
        <v>3357</v>
      </c>
      <c r="B1860" t="str" cm="1">
        <f t="array" ref="B1860">_xlfn.XLOOKUP(C1860, INDEX([1]!카테고리매핑,,2), INDEX([1]!카테고리매핑,,1), "미등록 카테고리")</f>
        <v>수산물</v>
      </c>
      <c r="C1860" t="s">
        <v>101</v>
      </c>
      <c r="D1860" t="str">
        <f>VLOOKUP(C1860, '[1]VLOOKUP 함수용 카테고리'!$A$1:$B$59, 2, 0)</f>
        <v>DRIED_SEAFOOD</v>
      </c>
      <c r="E1860" t="s">
        <v>601</v>
      </c>
      <c r="F1860" t="s">
        <v>1336</v>
      </c>
    </row>
    <row r="1861" spans="1:6" x14ac:dyDescent="0.3">
      <c r="A1861" t="s">
        <v>3358</v>
      </c>
      <c r="B1861" t="str" cm="1">
        <f t="array" ref="B1861">_xlfn.XLOOKUP(C1861, INDEX([1]!카테고리매핑,,2), INDEX([1]!카테고리매핑,,1), "미등록 카테고리")</f>
        <v>간식류</v>
      </c>
      <c r="C1861" t="s">
        <v>15</v>
      </c>
      <c r="D1861" t="str">
        <f>VLOOKUP(C1861, '[1]VLOOKUP 함수용 카테고리'!$A$1:$B$59, 2, 0)</f>
        <v>BAKERY</v>
      </c>
      <c r="E1861" t="s">
        <v>1787</v>
      </c>
      <c r="F1861" t="s">
        <v>3359</v>
      </c>
    </row>
    <row r="1862" spans="1:6" x14ac:dyDescent="0.3">
      <c r="A1862" t="s">
        <v>3360</v>
      </c>
      <c r="B1862" t="str" cm="1">
        <f t="array" ref="B1862">_xlfn.XLOOKUP(C1862, INDEX([1]!카테고리매핑,,2), INDEX([1]!카테고리매핑,,1), "미등록 카테고리")</f>
        <v>음료</v>
      </c>
      <c r="C1862" t="s">
        <v>242</v>
      </c>
      <c r="D1862" t="str">
        <f>VLOOKUP(C1862, '[1]VLOOKUP 함수용 카테고리'!$A$1:$B$59, 2, 0)</f>
        <v>BEVERAGE</v>
      </c>
      <c r="E1862" t="s">
        <v>3361</v>
      </c>
      <c r="F1862" t="s">
        <v>475</v>
      </c>
    </row>
    <row r="1863" spans="1:6" x14ac:dyDescent="0.3">
      <c r="A1863" t="s">
        <v>3362</v>
      </c>
      <c r="B1863" t="str" cm="1">
        <f t="array" ref="B1863">_xlfn.XLOOKUP(C1863, INDEX([1]!카테고리매핑,,2), INDEX([1]!카테고리매핑,,1), "미등록 카테고리")</f>
        <v>조미료</v>
      </c>
      <c r="C1863" t="s">
        <v>127</v>
      </c>
      <c r="D1863" t="str">
        <f>VLOOKUP(C1863, '[1]VLOOKUP 함수용 카테고리'!$A$1:$B$59, 2, 0)</f>
        <v>SAUCE_SEASONING</v>
      </c>
      <c r="E1863" t="s">
        <v>171</v>
      </c>
      <c r="F1863" t="s">
        <v>129</v>
      </c>
    </row>
    <row r="1864" spans="1:6" x14ac:dyDescent="0.3">
      <c r="A1864" t="s">
        <v>3363</v>
      </c>
      <c r="B1864" t="str" cm="1">
        <f t="array" ref="B1864">_xlfn.XLOOKUP(C1864, INDEX([1]!카테고리매핑,,2), INDEX([1]!카테고리매핑,,1), "미등록 카테고리")</f>
        <v>간식류</v>
      </c>
      <c r="C1864" t="s">
        <v>11</v>
      </c>
      <c r="D1864" t="str">
        <f>VLOOKUP(C1864, '[1]VLOOKUP 함수용 카테고리'!$A$1:$B$59, 2, 0)</f>
        <v>SNACK</v>
      </c>
      <c r="E1864" t="s">
        <v>371</v>
      </c>
      <c r="F1864" t="s">
        <v>7765</v>
      </c>
    </row>
    <row r="1865" spans="1:6" x14ac:dyDescent="0.3">
      <c r="A1865" t="s">
        <v>3364</v>
      </c>
      <c r="B1865" t="str" cm="1">
        <f t="array" ref="B1865">_xlfn.XLOOKUP(C1865, INDEX([1]!카테고리매핑,,2), INDEX([1]!카테고리매핑,,1), "미등록 카테고리")</f>
        <v>채소/곡물류</v>
      </c>
      <c r="C1865" t="s">
        <v>27</v>
      </c>
      <c r="D1865" t="str">
        <f>VLOOKUP(C1865, '[1]VLOOKUP 함수용 카테고리'!$A$1:$B$59, 2, 0)</f>
        <v>SIMPLE_PROCESSED</v>
      </c>
      <c r="E1865" t="s">
        <v>1173</v>
      </c>
      <c r="F1865" t="s">
        <v>246</v>
      </c>
    </row>
    <row r="1866" spans="1:6" x14ac:dyDescent="0.3">
      <c r="A1866" t="s">
        <v>3365</v>
      </c>
      <c r="B1866" t="str" cm="1">
        <f t="array" ref="B1866">_xlfn.XLOOKUP(C1866, INDEX([1]!카테고리매핑,,2), INDEX([1]!카테고리매핑,,1), "미등록 카테고리")</f>
        <v>간식류</v>
      </c>
      <c r="C1866" t="s">
        <v>11</v>
      </c>
      <c r="D1866" t="str">
        <f>VLOOKUP(C1866, '[1]VLOOKUP 함수용 카테고리'!$A$1:$B$59, 2, 0)</f>
        <v>SNACK</v>
      </c>
      <c r="E1866" t="s">
        <v>2312</v>
      </c>
      <c r="F1866" t="s">
        <v>1212</v>
      </c>
    </row>
    <row r="1867" spans="1:6" x14ac:dyDescent="0.3">
      <c r="A1867" t="s">
        <v>3366</v>
      </c>
      <c r="B1867" t="str" cm="1">
        <f t="array" ref="B1867">_xlfn.XLOOKUP(C1867, INDEX([1]!카테고리매핑,,2), INDEX([1]!카테고리매핑,,1), "미등록 카테고리")</f>
        <v>음료</v>
      </c>
      <c r="C1867" t="s">
        <v>23</v>
      </c>
      <c r="D1867" t="str">
        <f>VLOOKUP(C1867, '[1]VLOOKUP 함수용 카테고리'!$A$1:$B$59, 2, 0)</f>
        <v>BEVERAGE</v>
      </c>
      <c r="E1867" t="s">
        <v>24</v>
      </c>
      <c r="F1867" t="s">
        <v>3367</v>
      </c>
    </row>
    <row r="1868" spans="1:6" x14ac:dyDescent="0.3">
      <c r="A1868" t="s">
        <v>3368</v>
      </c>
      <c r="B1868" t="str" cm="1">
        <f t="array" ref="B1868">_xlfn.XLOOKUP(C1868, INDEX([1]!카테고리매핑,,2), INDEX([1]!카테고리매핑,,1), "미등록 카테고리")</f>
        <v>음료</v>
      </c>
      <c r="C1868" t="s">
        <v>23</v>
      </c>
      <c r="D1868" t="str">
        <f>VLOOKUP(C1868, '[1]VLOOKUP 함수용 카테고리'!$A$1:$B$59, 2, 0)</f>
        <v>BEVERAGE</v>
      </c>
      <c r="E1868" t="s">
        <v>323</v>
      </c>
      <c r="F1868" t="s">
        <v>324</v>
      </c>
    </row>
    <row r="1869" spans="1:6" x14ac:dyDescent="0.3">
      <c r="A1869" t="s">
        <v>3369</v>
      </c>
      <c r="B1869" t="str" cm="1">
        <f t="array" ref="B1869">_xlfn.XLOOKUP(C1869, INDEX([1]!카테고리매핑,,2), INDEX([1]!카테고리매핑,,1), "미등록 카테고리")</f>
        <v>상온식품</v>
      </c>
      <c r="C1869" t="s">
        <v>1104</v>
      </c>
      <c r="D1869" t="str">
        <f>VLOOKUP(C1869, '[1]VLOOKUP 함수용 카테고리'!$A$1:$B$59, 2, 0)</f>
        <v>CANNED</v>
      </c>
      <c r="E1869" t="s">
        <v>1105</v>
      </c>
      <c r="F1869" t="s">
        <v>1106</v>
      </c>
    </row>
    <row r="1870" spans="1:6" x14ac:dyDescent="0.3">
      <c r="A1870" t="s">
        <v>3370</v>
      </c>
      <c r="B1870" t="str" cm="1">
        <f t="array" ref="B1870">_xlfn.XLOOKUP(C1870, INDEX([1]!카테고리매핑,,2), INDEX([1]!카테고리매핑,,1), "미등록 카테고리")</f>
        <v>육류/계란</v>
      </c>
      <c r="C1870" t="s">
        <v>105</v>
      </c>
      <c r="D1870" t="str">
        <f>VLOOKUP(C1870, '[1]VLOOKUP 함수용 카테고리'!$A$1:$B$59, 2, 0)</f>
        <v>RAW_MEAT</v>
      </c>
      <c r="E1870" t="s">
        <v>469</v>
      </c>
      <c r="F1870" t="s">
        <v>151</v>
      </c>
    </row>
    <row r="1871" spans="1:6" x14ac:dyDescent="0.3">
      <c r="A1871" t="s">
        <v>3371</v>
      </c>
      <c r="B1871" t="str" cm="1">
        <f t="array" ref="B1871">_xlfn.XLOOKUP(C1871, INDEX([1]!카테고리매핑,,2), INDEX([1]!카테고리매핑,,1), "미등록 카테고리")</f>
        <v>수산물</v>
      </c>
      <c r="C1871" t="s">
        <v>140</v>
      </c>
      <c r="D1871" t="str">
        <f>VLOOKUP(C1871, '[1]VLOOKUP 함수용 카테고리'!$A$1:$B$59, 2, 0)</f>
        <v>SIMPLE_PROCESSED</v>
      </c>
      <c r="E1871" t="s">
        <v>2805</v>
      </c>
      <c r="F1871" t="s">
        <v>1490</v>
      </c>
    </row>
    <row r="1872" spans="1:6" x14ac:dyDescent="0.3">
      <c r="A1872" t="s">
        <v>3372</v>
      </c>
      <c r="B1872" t="str" cm="1">
        <f t="array" ref="B1872">_xlfn.XLOOKUP(C1872, INDEX([1]!카테고리매핑,,2), INDEX([1]!카테고리매핑,,1), "미등록 카테고리")</f>
        <v>간식류</v>
      </c>
      <c r="C1872" t="s">
        <v>15</v>
      </c>
      <c r="D1872" t="str">
        <f>VLOOKUP(C1872, '[1]VLOOKUP 함수용 카테고리'!$A$1:$B$59, 2, 0)</f>
        <v>BAKERY</v>
      </c>
      <c r="E1872" t="s">
        <v>200</v>
      </c>
      <c r="F1872" t="s">
        <v>3373</v>
      </c>
    </row>
    <row r="1873" spans="1:6" x14ac:dyDescent="0.3">
      <c r="A1873" t="s">
        <v>3374</v>
      </c>
      <c r="B1873" t="str" cm="1">
        <f t="array" ref="B1873">_xlfn.XLOOKUP(C1873, INDEX([1]!카테고리매핑,,2), INDEX([1]!카테고리매핑,,1), "미등록 카테고리")</f>
        <v>간편식</v>
      </c>
      <c r="C1873" t="s">
        <v>256</v>
      </c>
      <c r="D1873" t="str">
        <f>VLOOKUP(C1873, '[1]VLOOKUP 함수용 카테고리'!$A$1:$B$59, 2, 0)</f>
        <v>RTC_MEAL</v>
      </c>
      <c r="E1873" t="s">
        <v>256</v>
      </c>
      <c r="F1873" t="s">
        <v>1484</v>
      </c>
    </row>
    <row r="1874" spans="1:6" x14ac:dyDescent="0.3">
      <c r="A1874" t="s">
        <v>3375</v>
      </c>
      <c r="B1874" t="str" cm="1">
        <f t="array" ref="B1874">_xlfn.XLOOKUP(C1874, INDEX([1]!카테고리매핑,,2), INDEX([1]!카테고리매핑,,1), "미등록 카테고리")</f>
        <v>간편식</v>
      </c>
      <c r="C1874" t="s">
        <v>46</v>
      </c>
      <c r="D1874" t="str">
        <f>VLOOKUP(C1874, '[1]VLOOKUP 함수용 카테고리'!$A$1:$B$59, 2, 0)</f>
        <v>RTC_MEAL</v>
      </c>
      <c r="E1874" t="s">
        <v>46</v>
      </c>
      <c r="F1874" t="s">
        <v>2356</v>
      </c>
    </row>
    <row r="1875" spans="1:6" x14ac:dyDescent="0.3">
      <c r="A1875" t="s">
        <v>3376</v>
      </c>
      <c r="B1875" t="str" cm="1">
        <f t="array" ref="B1875">_xlfn.XLOOKUP(C1875, INDEX([1]!카테고리매핑,,2), INDEX([1]!카테고리매핑,,1), "미등록 카테고리")</f>
        <v>미등록 카테고리</v>
      </c>
      <c r="C1875" t="s">
        <v>334</v>
      </c>
      <c r="D1875" t="str">
        <f>VLOOKUP(C1875, '[1]VLOOKUP 함수용 카테고리'!$A$1:$B$59, 2, 0)</f>
        <v>UNKNOWN</v>
      </c>
      <c r="E1875" t="s">
        <v>334</v>
      </c>
      <c r="F1875" t="s">
        <v>3377</v>
      </c>
    </row>
    <row r="1876" spans="1:6" x14ac:dyDescent="0.3">
      <c r="A1876" t="s">
        <v>3378</v>
      </c>
      <c r="B1876" t="str" cm="1">
        <f t="array" ref="B1876">_xlfn.XLOOKUP(C1876, INDEX([1]!카테고리매핑,,2), INDEX([1]!카테고리매핑,,1), "미등록 카테고리")</f>
        <v>조미료</v>
      </c>
      <c r="C1876" t="s">
        <v>127</v>
      </c>
      <c r="D1876" t="str">
        <f>VLOOKUP(C1876, '[1]VLOOKUP 함수용 카테고리'!$A$1:$B$59, 2, 0)</f>
        <v>SAUCE_SEASONING</v>
      </c>
      <c r="E1876" t="s">
        <v>989</v>
      </c>
      <c r="F1876" t="s">
        <v>3379</v>
      </c>
    </row>
    <row r="1877" spans="1:6" x14ac:dyDescent="0.3">
      <c r="A1877" t="s">
        <v>3380</v>
      </c>
      <c r="B1877" t="str" cm="1">
        <f t="array" ref="B1877">_xlfn.XLOOKUP(C1877, INDEX([1]!카테고리매핑,,2), INDEX([1]!카테고리매핑,,1), "미등록 카테고리")</f>
        <v>조미료</v>
      </c>
      <c r="C1877" t="s">
        <v>117</v>
      </c>
      <c r="D1877" t="str">
        <f>VLOOKUP(C1877, '[1]VLOOKUP 함수용 카테고리'!$A$1:$B$59, 2, 0)</f>
        <v>SAUCE_SEASONING</v>
      </c>
      <c r="E1877" t="s">
        <v>1987</v>
      </c>
      <c r="F1877" t="s">
        <v>937</v>
      </c>
    </row>
    <row r="1878" spans="1:6" x14ac:dyDescent="0.3">
      <c r="A1878" t="s">
        <v>3381</v>
      </c>
      <c r="B1878" t="str" cm="1">
        <f t="array" ref="B1878">_xlfn.XLOOKUP(C1878, INDEX([1]!카테고리매핑,,2), INDEX([1]!카테고리매핑,,1), "미등록 카테고리")</f>
        <v>채소/곡물류</v>
      </c>
      <c r="C1878" t="s">
        <v>27</v>
      </c>
      <c r="D1878" t="str">
        <f>VLOOKUP(C1878, '[1]VLOOKUP 함수용 카테고리'!$A$1:$B$59, 2, 0)</f>
        <v>SIMPLE_PROCESSED</v>
      </c>
      <c r="E1878" t="s">
        <v>28</v>
      </c>
      <c r="F1878" t="s">
        <v>3382</v>
      </c>
    </row>
    <row r="1879" spans="1:6" x14ac:dyDescent="0.3">
      <c r="A1879" t="s">
        <v>3383</v>
      </c>
      <c r="B1879" t="str" cm="1">
        <f t="array" ref="B1879">_xlfn.XLOOKUP(C1879, INDEX([1]!카테고리매핑,,2), INDEX([1]!카테고리매핑,,1), "미등록 카테고리")</f>
        <v>간식류</v>
      </c>
      <c r="C1879" t="s">
        <v>63</v>
      </c>
      <c r="D1879" t="str">
        <f>VLOOKUP(C1879, '[1]VLOOKUP 함수용 카테고리'!$A$1:$B$59, 2, 0)</f>
        <v>BAKERY</v>
      </c>
      <c r="E1879" t="s">
        <v>3384</v>
      </c>
      <c r="F1879" t="s">
        <v>892</v>
      </c>
    </row>
    <row r="1880" spans="1:6" x14ac:dyDescent="0.3">
      <c r="A1880" t="s">
        <v>3385</v>
      </c>
      <c r="B1880" t="str" cm="1">
        <f t="array" ref="B1880">_xlfn.XLOOKUP(C1880, INDEX([1]!카테고리매핑,,2), INDEX([1]!카테고리매핑,,1), "미등록 카테고리")</f>
        <v>수산물</v>
      </c>
      <c r="C1880" t="s">
        <v>203</v>
      </c>
      <c r="D1880" t="str">
        <f>VLOOKUP(C1880, '[1]VLOOKUP 함수용 카테고리'!$A$1:$B$59, 2, 0)</f>
        <v>RAW_SEAFOOD</v>
      </c>
      <c r="E1880" t="s">
        <v>204</v>
      </c>
    </row>
    <row r="1881" spans="1:6" x14ac:dyDescent="0.3">
      <c r="A1881" t="s">
        <v>3386</v>
      </c>
      <c r="B1881" t="str" cm="1">
        <f t="array" ref="B1881">_xlfn.XLOOKUP(C1881, INDEX([1]!카테고리매핑,,2), INDEX([1]!카테고리매핑,,1), "미등록 카테고리")</f>
        <v>간편식</v>
      </c>
      <c r="C1881" t="s">
        <v>131</v>
      </c>
      <c r="D1881" t="str">
        <f>VLOOKUP(C1881, '[1]VLOOKUP 함수용 카테고리'!$A$1:$B$59, 2, 0)</f>
        <v>SIMPLE_PROCESSED</v>
      </c>
      <c r="E1881" t="s">
        <v>2993</v>
      </c>
      <c r="F1881" t="s">
        <v>2057</v>
      </c>
    </row>
    <row r="1882" spans="1:6" x14ac:dyDescent="0.3">
      <c r="A1882" t="s">
        <v>3387</v>
      </c>
      <c r="B1882" t="str" cm="1">
        <f t="array" ref="B1882">_xlfn.XLOOKUP(C1882, INDEX([1]!카테고리매핑,,2), INDEX([1]!카테고리매핑,,1), "미등록 카테고리")</f>
        <v>음료</v>
      </c>
      <c r="C1882" t="s">
        <v>23</v>
      </c>
      <c r="D1882" t="str">
        <f>VLOOKUP(C1882, '[1]VLOOKUP 함수용 카테고리'!$A$1:$B$59, 2, 0)</f>
        <v>BEVERAGE</v>
      </c>
      <c r="E1882" t="s">
        <v>24</v>
      </c>
      <c r="F1882" t="s">
        <v>3388</v>
      </c>
    </row>
    <row r="1883" spans="1:6" x14ac:dyDescent="0.3">
      <c r="A1883" t="s">
        <v>3389</v>
      </c>
      <c r="B1883" t="str" cm="1">
        <f t="array" ref="B1883">_xlfn.XLOOKUP(C1883, INDEX([1]!카테고리매핑,,2), INDEX([1]!카테고리매핑,,1), "미등록 카테고리")</f>
        <v>미등록 카테고리</v>
      </c>
      <c r="C1883" t="s">
        <v>334</v>
      </c>
      <c r="D1883" t="str">
        <f>VLOOKUP(C1883, '[1]VLOOKUP 함수용 카테고리'!$A$1:$B$59, 2, 0)</f>
        <v>UNKNOWN</v>
      </c>
      <c r="E1883" t="s">
        <v>334</v>
      </c>
      <c r="F1883" t="s">
        <v>3390</v>
      </c>
    </row>
    <row r="1884" spans="1:6" x14ac:dyDescent="0.3">
      <c r="A1884" t="s">
        <v>3391</v>
      </c>
      <c r="B1884" t="str" cm="1">
        <f t="array" ref="B1884">_xlfn.XLOOKUP(C1884, INDEX([1]!카테고리매핑,,2), INDEX([1]!카테고리매핑,,1), "미등록 카테고리")</f>
        <v>간편식</v>
      </c>
      <c r="C1884" t="s">
        <v>256</v>
      </c>
      <c r="D1884" t="str">
        <f>VLOOKUP(C1884, '[1]VLOOKUP 함수용 카테고리'!$A$1:$B$59, 2, 0)</f>
        <v>RTC_MEAL</v>
      </c>
      <c r="E1884" t="s">
        <v>256</v>
      </c>
      <c r="F1884" t="s">
        <v>541</v>
      </c>
    </row>
    <row r="1885" spans="1:6" x14ac:dyDescent="0.3">
      <c r="A1885" t="s">
        <v>3392</v>
      </c>
      <c r="B1885" t="str" cm="1">
        <f t="array" ref="B1885">_xlfn.XLOOKUP(C1885, INDEX([1]!카테고리매핑,,2), INDEX([1]!카테고리매핑,,1), "미등록 카테고리")</f>
        <v>조미료</v>
      </c>
      <c r="C1885" t="s">
        <v>83</v>
      </c>
      <c r="D1885" t="str">
        <f>VLOOKUP(C1885, '[1]VLOOKUP 함수용 카테고리'!$A$1:$B$59, 2, 0)</f>
        <v>SAUCE_SEASONING</v>
      </c>
      <c r="E1885" t="s">
        <v>2910</v>
      </c>
      <c r="F1885" t="s">
        <v>2910</v>
      </c>
    </row>
    <row r="1886" spans="1:6" x14ac:dyDescent="0.3">
      <c r="A1886" t="s">
        <v>3393</v>
      </c>
      <c r="B1886" t="str" cm="1">
        <f t="array" ref="B1886">_xlfn.XLOOKUP(C1886, INDEX([1]!카테고리매핑,,2), INDEX([1]!카테고리매핑,,1), "미등록 카테고리")</f>
        <v>미등록 카테고리</v>
      </c>
      <c r="C1886" t="s">
        <v>334</v>
      </c>
      <c r="D1886" t="str">
        <f>VLOOKUP(C1886, '[1]VLOOKUP 함수용 카테고리'!$A$1:$B$59, 2, 0)</f>
        <v>UNKNOWN</v>
      </c>
      <c r="E1886" t="s">
        <v>334</v>
      </c>
      <c r="F1886" t="s">
        <v>7813</v>
      </c>
    </row>
    <row r="1887" spans="1:6" x14ac:dyDescent="0.3">
      <c r="A1887" t="s">
        <v>3394</v>
      </c>
      <c r="B1887" t="str" cm="1">
        <f t="array" ref="B1887">_xlfn.XLOOKUP(C1887, INDEX([1]!카테고리매핑,,2), INDEX([1]!카테고리매핑,,1), "미등록 카테고리")</f>
        <v>미등록 카테고리</v>
      </c>
      <c r="C1887" t="s">
        <v>334</v>
      </c>
      <c r="D1887" t="str">
        <f>VLOOKUP(C1887, '[1]VLOOKUP 함수용 카테고리'!$A$1:$B$59, 2, 0)</f>
        <v>UNKNOWN</v>
      </c>
      <c r="E1887" t="s">
        <v>334</v>
      </c>
      <c r="F1887" t="s">
        <v>3377</v>
      </c>
    </row>
    <row r="1888" spans="1:6" x14ac:dyDescent="0.3">
      <c r="A1888" t="s">
        <v>3395</v>
      </c>
      <c r="B1888" t="str" cm="1">
        <f t="array" ref="B1888">_xlfn.XLOOKUP(C1888, INDEX([1]!카테고리매핑,,2), INDEX([1]!카테고리매핑,,1), "미등록 카테고리")</f>
        <v>조미료</v>
      </c>
      <c r="C1888" t="s">
        <v>117</v>
      </c>
      <c r="D1888" t="str">
        <f>VLOOKUP(C1888, '[1]VLOOKUP 함수용 카테고리'!$A$1:$B$59, 2, 0)</f>
        <v>SAUCE_SEASONING</v>
      </c>
      <c r="E1888" t="s">
        <v>421</v>
      </c>
      <c r="F1888" t="s">
        <v>1884</v>
      </c>
    </row>
    <row r="1889" spans="1:6" x14ac:dyDescent="0.3">
      <c r="A1889" t="s">
        <v>3396</v>
      </c>
      <c r="B1889" t="str" cm="1">
        <f t="array" ref="B1889">_xlfn.XLOOKUP(C1889, INDEX([1]!카테고리매핑,,2), INDEX([1]!카테고리매핑,,1), "미등록 카테고리")</f>
        <v>수산물</v>
      </c>
      <c r="C1889" t="s">
        <v>229</v>
      </c>
      <c r="D1889" t="str">
        <f>VLOOKUP(C1889, '[1]VLOOKUP 함수용 카테고리'!$A$1:$B$59, 2, 0)</f>
        <v>RAW_SEAFOOD</v>
      </c>
      <c r="E1889" t="s">
        <v>230</v>
      </c>
      <c r="F1889" t="s">
        <v>3268</v>
      </c>
    </row>
    <row r="1890" spans="1:6" x14ac:dyDescent="0.3">
      <c r="A1890" t="s">
        <v>3397</v>
      </c>
      <c r="B1890" t="str" cm="1">
        <f t="array" ref="B1890">_xlfn.XLOOKUP(C1890, INDEX([1]!카테고리매핑,,2), INDEX([1]!카테고리매핑,,1), "미등록 카테고리")</f>
        <v>간식류</v>
      </c>
      <c r="C1890" t="s">
        <v>11</v>
      </c>
      <c r="D1890" t="str">
        <f>VLOOKUP(C1890, '[1]VLOOKUP 함수용 카테고리'!$A$1:$B$59, 2, 0)</f>
        <v>SNACK</v>
      </c>
      <c r="E1890" t="s">
        <v>361</v>
      </c>
      <c r="F1890" t="s">
        <v>1784</v>
      </c>
    </row>
    <row r="1891" spans="1:6" x14ac:dyDescent="0.3">
      <c r="A1891" t="s">
        <v>3398</v>
      </c>
      <c r="B1891" t="str" cm="1">
        <f t="array" ref="B1891">_xlfn.XLOOKUP(C1891, INDEX([1]!카테고리매핑,,2), INDEX([1]!카테고리매핑,,1), "미등록 카테고리")</f>
        <v>채소/곡물류</v>
      </c>
      <c r="C1891" t="s">
        <v>27</v>
      </c>
      <c r="D1891" t="str">
        <f>VLOOKUP(C1891, '[1]VLOOKUP 함수용 카테고리'!$A$1:$B$59, 2, 0)</f>
        <v>SIMPLE_PROCESSED</v>
      </c>
      <c r="E1891" t="s">
        <v>28</v>
      </c>
      <c r="F1891" t="s">
        <v>350</v>
      </c>
    </row>
    <row r="1892" spans="1:6" x14ac:dyDescent="0.3">
      <c r="A1892" t="s">
        <v>3399</v>
      </c>
      <c r="B1892" t="str" cm="1">
        <f t="array" ref="B1892">_xlfn.XLOOKUP(C1892, INDEX([1]!카테고리매핑,,2), INDEX([1]!카테고리매핑,,1), "미등록 카테고리")</f>
        <v>간편식</v>
      </c>
      <c r="C1892" t="s">
        <v>131</v>
      </c>
      <c r="D1892" t="str">
        <f>VLOOKUP(C1892, '[1]VLOOKUP 함수용 카테고리'!$A$1:$B$59, 2, 0)</f>
        <v>SIMPLE_PROCESSED</v>
      </c>
      <c r="E1892" t="s">
        <v>3400</v>
      </c>
      <c r="F1892" t="s">
        <v>237</v>
      </c>
    </row>
    <row r="1893" spans="1:6" x14ac:dyDescent="0.3">
      <c r="A1893" t="s">
        <v>3401</v>
      </c>
      <c r="B1893" t="str" cm="1">
        <f t="array" ref="B1893">_xlfn.XLOOKUP(C1893, INDEX([1]!카테고리매핑,,2), INDEX([1]!카테고리매핑,,1), "미등록 카테고리")</f>
        <v>채소/곡물류</v>
      </c>
      <c r="C1893" t="s">
        <v>301</v>
      </c>
      <c r="D1893" t="str">
        <f>VLOOKUP(C1893, '[1]VLOOKUP 함수용 카테고리'!$A$1:$B$59, 2, 0)</f>
        <v>GRAIN</v>
      </c>
      <c r="E1893" t="s">
        <v>2825</v>
      </c>
      <c r="F1893" t="s">
        <v>2345</v>
      </c>
    </row>
    <row r="1894" spans="1:6" x14ac:dyDescent="0.3">
      <c r="A1894" t="s">
        <v>3402</v>
      </c>
      <c r="B1894" t="str" cm="1">
        <f t="array" ref="B1894">_xlfn.XLOOKUP(C1894, INDEX([1]!카테고리매핑,,2), INDEX([1]!카테고리매핑,,1), "미등록 카테고리")</f>
        <v>상온식품</v>
      </c>
      <c r="C1894" t="s">
        <v>769</v>
      </c>
      <c r="D1894" t="str">
        <f>VLOOKUP(C1894, '[1]VLOOKUP 함수용 카테고리'!$A$1:$B$59, 2, 0)</f>
        <v>GRAIN</v>
      </c>
      <c r="E1894" t="s">
        <v>770</v>
      </c>
      <c r="F1894" t="s">
        <v>3403</v>
      </c>
    </row>
    <row r="1895" spans="1:6" x14ac:dyDescent="0.3">
      <c r="A1895" t="s">
        <v>3404</v>
      </c>
      <c r="B1895" t="str" cm="1">
        <f t="array" ref="B1895">_xlfn.XLOOKUP(C1895, INDEX([1]!카테고리매핑,,2), INDEX([1]!카테고리매핑,,1), "미등록 카테고리")</f>
        <v>육류/계란</v>
      </c>
      <c r="C1895" t="s">
        <v>149</v>
      </c>
      <c r="D1895" t="str">
        <f>VLOOKUP(C1895, '[1]VLOOKUP 함수용 카테고리'!$A$1:$B$59, 2, 0)</f>
        <v>RAW_MEAT</v>
      </c>
      <c r="E1895" t="s">
        <v>1630</v>
      </c>
      <c r="F1895" t="s">
        <v>2649</v>
      </c>
    </row>
    <row r="1896" spans="1:6" x14ac:dyDescent="0.3">
      <c r="A1896" t="s">
        <v>3405</v>
      </c>
      <c r="B1896" t="str" cm="1">
        <f t="array" ref="B1896">_xlfn.XLOOKUP(C1896, INDEX([1]!카테고리매핑,,2), INDEX([1]!카테고리매핑,,1), "미등록 카테고리")</f>
        <v>수산물</v>
      </c>
      <c r="C1896" t="s">
        <v>140</v>
      </c>
      <c r="D1896" t="str">
        <f>VLOOKUP(C1896, '[1]VLOOKUP 함수용 카테고리'!$A$1:$B$59, 2, 0)</f>
        <v>SIMPLE_PROCESSED</v>
      </c>
      <c r="E1896" t="s">
        <v>141</v>
      </c>
      <c r="F1896" t="s">
        <v>1244</v>
      </c>
    </row>
    <row r="1897" spans="1:6" x14ac:dyDescent="0.3">
      <c r="A1897" t="s">
        <v>3406</v>
      </c>
      <c r="B1897" t="str" cm="1">
        <f t="array" ref="B1897">_xlfn.XLOOKUP(C1897, INDEX([1]!카테고리매핑,,2), INDEX([1]!카테고리매핑,,1), "미등록 카테고리")</f>
        <v>채소/곡물류</v>
      </c>
      <c r="C1897" t="s">
        <v>301</v>
      </c>
      <c r="D1897" t="str">
        <f>VLOOKUP(C1897, '[1]VLOOKUP 함수용 카테고리'!$A$1:$B$59, 2, 0)</f>
        <v>GRAIN</v>
      </c>
      <c r="E1897" t="s">
        <v>1737</v>
      </c>
    </row>
    <row r="1898" spans="1:6" x14ac:dyDescent="0.3">
      <c r="A1898" t="s">
        <v>3407</v>
      </c>
      <c r="B1898" t="str" cm="1">
        <f t="array" ref="B1898">_xlfn.XLOOKUP(C1898, INDEX([1]!카테고리매핑,,2), INDEX([1]!카테고리매핑,,1), "미등록 카테고리")</f>
        <v>채소/곡물류</v>
      </c>
      <c r="C1898" t="s">
        <v>164</v>
      </c>
      <c r="D1898" t="str">
        <f>VLOOKUP(C1898, '[1]VLOOKUP 함수용 카테고리'!$A$1:$B$59, 2, 0)</f>
        <v>RAW_PRODUCE</v>
      </c>
      <c r="E1898" t="s">
        <v>1084</v>
      </c>
      <c r="F1898" t="s">
        <v>1084</v>
      </c>
    </row>
    <row r="1899" spans="1:6" x14ac:dyDescent="0.3">
      <c r="A1899" t="s">
        <v>3408</v>
      </c>
      <c r="B1899" t="str" cm="1">
        <f t="array" ref="B1899">_xlfn.XLOOKUP(C1899, INDEX([1]!카테고리매핑,,2), INDEX([1]!카테고리매핑,,1), "미등록 카테고리")</f>
        <v>간편식</v>
      </c>
      <c r="C1899" t="s">
        <v>46</v>
      </c>
      <c r="D1899" t="str">
        <f>VLOOKUP(C1899, '[1]VLOOKUP 함수용 카테고리'!$A$1:$B$59, 2, 0)</f>
        <v>RTC_MEAL</v>
      </c>
      <c r="E1899" t="s">
        <v>46</v>
      </c>
      <c r="F1899" t="s">
        <v>3409</v>
      </c>
    </row>
    <row r="1900" spans="1:6" x14ac:dyDescent="0.3">
      <c r="A1900" t="s">
        <v>3410</v>
      </c>
      <c r="B1900" t="str" cm="1">
        <f t="array" ref="B1900">_xlfn.XLOOKUP(C1900, INDEX([1]!카테고리매핑,,2), INDEX([1]!카테고리매핑,,1), "미등록 카테고리")</f>
        <v>간편식</v>
      </c>
      <c r="C1900" t="s">
        <v>256</v>
      </c>
      <c r="D1900" t="str">
        <f>VLOOKUP(C1900, '[1]VLOOKUP 함수용 카테고리'!$A$1:$B$59, 2, 0)</f>
        <v>RTC_MEAL</v>
      </c>
      <c r="E1900" t="s">
        <v>256</v>
      </c>
      <c r="F1900" t="s">
        <v>246</v>
      </c>
    </row>
    <row r="1901" spans="1:6" x14ac:dyDescent="0.3">
      <c r="A1901" t="s">
        <v>3411</v>
      </c>
      <c r="B1901" t="str" cm="1">
        <f t="array" ref="B1901">_xlfn.XLOOKUP(C1901, INDEX([1]!카테고리매핑,,2), INDEX([1]!카테고리매핑,,1), "미등록 카테고리")</f>
        <v>음료</v>
      </c>
      <c r="C1901" t="s">
        <v>708</v>
      </c>
      <c r="D1901" t="str">
        <f>VLOOKUP(C1901, '[1]VLOOKUP 함수용 카테고리'!$A$1:$B$59, 2, 0)</f>
        <v>BEVERAGE</v>
      </c>
      <c r="E1901" t="s">
        <v>708</v>
      </c>
      <c r="F1901" t="s">
        <v>7814</v>
      </c>
    </row>
    <row r="1902" spans="1:6" x14ac:dyDescent="0.3">
      <c r="A1902" t="s">
        <v>3412</v>
      </c>
      <c r="B1902" t="str" cm="1">
        <f t="array" ref="B1902">_xlfn.XLOOKUP(C1902, INDEX([1]!카테고리매핑,,2), INDEX([1]!카테고리매핑,,1), "미등록 카테고리")</f>
        <v>간식류</v>
      </c>
      <c r="C1902" t="s">
        <v>63</v>
      </c>
      <c r="D1902" t="str">
        <f>VLOOKUP(C1902, '[1]VLOOKUP 함수용 카테고리'!$A$1:$B$59, 2, 0)</f>
        <v>BAKERY</v>
      </c>
      <c r="E1902" t="s">
        <v>1594</v>
      </c>
      <c r="F1902" t="s">
        <v>169</v>
      </c>
    </row>
    <row r="1903" spans="1:6" x14ac:dyDescent="0.3">
      <c r="A1903" t="s">
        <v>3413</v>
      </c>
      <c r="B1903" t="str" cm="1">
        <f t="array" ref="B1903">_xlfn.XLOOKUP(C1903, INDEX([1]!카테고리매핑,,2), INDEX([1]!카테고리매핑,,1), "미등록 카테고리")</f>
        <v>수산물</v>
      </c>
      <c r="C1903" t="s">
        <v>1397</v>
      </c>
      <c r="D1903" t="str">
        <f>VLOOKUP(C1903, '[1]VLOOKUP 함수용 카테고리'!$A$1:$B$59, 2, 0)</f>
        <v>RAW_SEAFOOD</v>
      </c>
      <c r="E1903" t="s">
        <v>1398</v>
      </c>
      <c r="F1903" t="s">
        <v>3414</v>
      </c>
    </row>
    <row r="1904" spans="1:6" x14ac:dyDescent="0.3">
      <c r="A1904" t="s">
        <v>3415</v>
      </c>
      <c r="B1904" t="str" cm="1">
        <f t="array" ref="B1904">_xlfn.XLOOKUP(C1904, INDEX([1]!카테고리매핑,,2), INDEX([1]!카테고리매핑,,1), "미등록 카테고리")</f>
        <v>육류/계란</v>
      </c>
      <c r="C1904" t="s">
        <v>105</v>
      </c>
      <c r="D1904" t="str">
        <f>VLOOKUP(C1904, '[1]VLOOKUP 함수용 카테고리'!$A$1:$B$59, 2, 0)</f>
        <v>RAW_MEAT</v>
      </c>
      <c r="E1904" t="s">
        <v>176</v>
      </c>
      <c r="F1904" t="s">
        <v>805</v>
      </c>
    </row>
    <row r="1905" spans="1:6" x14ac:dyDescent="0.3">
      <c r="A1905" t="s">
        <v>3416</v>
      </c>
      <c r="B1905" t="str" cm="1">
        <f t="array" ref="B1905">_xlfn.XLOOKUP(C1905, INDEX([1]!카테고리매핑,,2), INDEX([1]!카테고리매핑,,1), "미등록 카테고리")</f>
        <v>미등록 카테고리</v>
      </c>
      <c r="C1905" t="s">
        <v>334</v>
      </c>
      <c r="D1905" t="str">
        <f>VLOOKUP(C1905, '[1]VLOOKUP 함수용 카테고리'!$A$1:$B$59, 2, 0)</f>
        <v>UNKNOWN</v>
      </c>
      <c r="E1905" t="s">
        <v>334</v>
      </c>
      <c r="F1905" t="s">
        <v>3417</v>
      </c>
    </row>
    <row r="1906" spans="1:6" x14ac:dyDescent="0.3">
      <c r="A1906" t="s">
        <v>3418</v>
      </c>
      <c r="B1906" t="str" cm="1">
        <f t="array" ref="B1906">_xlfn.XLOOKUP(C1906, INDEX([1]!카테고리매핑,,2), INDEX([1]!카테고리매핑,,1), "미등록 카테고리")</f>
        <v>육류/계란</v>
      </c>
      <c r="C1906" t="s">
        <v>149</v>
      </c>
      <c r="D1906" t="str">
        <f>VLOOKUP(C1906, '[1]VLOOKUP 함수용 카테고리'!$A$1:$B$59, 2, 0)</f>
        <v>RAW_MEAT</v>
      </c>
      <c r="E1906" t="s">
        <v>1630</v>
      </c>
      <c r="F1906" t="s">
        <v>1141</v>
      </c>
    </row>
    <row r="1907" spans="1:6" x14ac:dyDescent="0.3">
      <c r="A1907" t="s">
        <v>3419</v>
      </c>
      <c r="B1907" t="str" cm="1">
        <f t="array" ref="B1907">_xlfn.XLOOKUP(C1907, INDEX([1]!카테고리매핑,,2), INDEX([1]!카테고리매핑,,1), "미등록 카테고리")</f>
        <v>술</v>
      </c>
      <c r="C1907" t="s">
        <v>56</v>
      </c>
      <c r="D1907" t="str">
        <f>VLOOKUP(C1907, '[1]VLOOKUP 함수용 카테고리'!$A$1:$B$59, 2, 0)</f>
        <v>ALCOHOL</v>
      </c>
      <c r="E1907" t="s">
        <v>505</v>
      </c>
    </row>
    <row r="1908" spans="1:6" x14ac:dyDescent="0.3">
      <c r="A1908" t="s">
        <v>3420</v>
      </c>
      <c r="B1908" t="str" cm="1">
        <f t="array" ref="B1908">_xlfn.XLOOKUP(C1908, INDEX([1]!카테고리매핑,,2), INDEX([1]!카테고리매핑,,1), "미등록 카테고리")</f>
        <v>채소/곡물류</v>
      </c>
      <c r="C1908" t="s">
        <v>301</v>
      </c>
      <c r="D1908" t="str">
        <f>VLOOKUP(C1908, '[1]VLOOKUP 함수용 카테고리'!$A$1:$B$59, 2, 0)</f>
        <v>GRAIN</v>
      </c>
      <c r="E1908" t="s">
        <v>611</v>
      </c>
      <c r="F1908" t="s">
        <v>303</v>
      </c>
    </row>
    <row r="1909" spans="1:6" x14ac:dyDescent="0.3">
      <c r="A1909" t="s">
        <v>3421</v>
      </c>
      <c r="B1909" t="str" cm="1">
        <f t="array" ref="B1909">_xlfn.XLOOKUP(C1909, INDEX([1]!카테고리매핑,,2), INDEX([1]!카테고리매핑,,1), "미등록 카테고리")</f>
        <v>육류/계란</v>
      </c>
      <c r="C1909" t="s">
        <v>428</v>
      </c>
      <c r="D1909" t="str">
        <f>VLOOKUP(C1909, '[1]VLOOKUP 함수용 카테고리'!$A$1:$B$59, 2, 0)</f>
        <v>PROCESSED_MEAT</v>
      </c>
      <c r="E1909" t="s">
        <v>804</v>
      </c>
      <c r="F1909" t="s">
        <v>805</v>
      </c>
    </row>
    <row r="1910" spans="1:6" x14ac:dyDescent="0.3">
      <c r="A1910" t="s">
        <v>3422</v>
      </c>
      <c r="B1910" t="str" cm="1">
        <f t="array" ref="B1910">_xlfn.XLOOKUP(C1910, INDEX([1]!카테고리매핑,,2), INDEX([1]!카테고리매핑,,1), "미등록 카테고리")</f>
        <v>음료</v>
      </c>
      <c r="C1910" t="s">
        <v>242</v>
      </c>
      <c r="D1910" t="str">
        <f>VLOOKUP(C1910, '[1]VLOOKUP 함수용 카테고리'!$A$1:$B$59, 2, 0)</f>
        <v>BEVERAGE</v>
      </c>
      <c r="E1910" t="s">
        <v>3423</v>
      </c>
      <c r="F1910" t="s">
        <v>3424</v>
      </c>
    </row>
    <row r="1911" spans="1:6" x14ac:dyDescent="0.3">
      <c r="A1911" t="s">
        <v>3425</v>
      </c>
      <c r="B1911" t="str" cm="1">
        <f t="array" ref="B1911">_xlfn.XLOOKUP(C1911, INDEX([1]!카테고리매핑,,2), INDEX([1]!카테고리매핑,,1), "미등록 카테고리")</f>
        <v>간편식</v>
      </c>
      <c r="C1911" t="s">
        <v>19</v>
      </c>
      <c r="D1911" t="str">
        <f>VLOOKUP(C1911, '[1]VLOOKUP 함수용 카테고리'!$A$1:$B$59, 2, 0)</f>
        <v>FROZEN_MEAL</v>
      </c>
      <c r="E1911" t="s">
        <v>1842</v>
      </c>
      <c r="F1911" t="s">
        <v>36</v>
      </c>
    </row>
    <row r="1912" spans="1:6" x14ac:dyDescent="0.3">
      <c r="A1912" t="s">
        <v>3426</v>
      </c>
      <c r="B1912" t="str" cm="1">
        <f t="array" ref="B1912">_xlfn.XLOOKUP(C1912, INDEX([1]!카테고리매핑,,2), INDEX([1]!카테고리매핑,,1), "미등록 카테고리")</f>
        <v>간식류</v>
      </c>
      <c r="C1912" t="s">
        <v>11</v>
      </c>
      <c r="D1912" t="str">
        <f>VLOOKUP(C1912, '[1]VLOOKUP 함수용 카테고리'!$A$1:$B$59, 2, 0)</f>
        <v>SNACK</v>
      </c>
      <c r="E1912" t="s">
        <v>1775</v>
      </c>
      <c r="F1912" t="s">
        <v>2013</v>
      </c>
    </row>
    <row r="1913" spans="1:6" x14ac:dyDescent="0.3">
      <c r="A1913" t="s">
        <v>3427</v>
      </c>
      <c r="B1913" t="str" cm="1">
        <f t="array" ref="B1913">_xlfn.XLOOKUP(C1913, INDEX([1]!카테고리매핑,,2), INDEX([1]!카테고리매핑,,1), "미등록 카테고리")</f>
        <v>육류/계란</v>
      </c>
      <c r="C1913" t="s">
        <v>428</v>
      </c>
      <c r="D1913" t="str">
        <f>VLOOKUP(C1913, '[1]VLOOKUP 함수용 카테고리'!$A$1:$B$59, 2, 0)</f>
        <v>PROCESSED_MEAT</v>
      </c>
      <c r="E1913" t="s">
        <v>790</v>
      </c>
      <c r="F1913" t="s">
        <v>2446</v>
      </c>
    </row>
    <row r="1914" spans="1:6" x14ac:dyDescent="0.3">
      <c r="A1914" t="s">
        <v>3428</v>
      </c>
      <c r="B1914" t="str" cm="1">
        <f t="array" ref="B1914">_xlfn.XLOOKUP(C1914, INDEX([1]!카테고리매핑,,2), INDEX([1]!카테고리매핑,,1), "미등록 카테고리")</f>
        <v>수산물</v>
      </c>
      <c r="C1914" t="s">
        <v>203</v>
      </c>
      <c r="D1914" t="str">
        <f>VLOOKUP(C1914, '[1]VLOOKUP 함수용 카테고리'!$A$1:$B$59, 2, 0)</f>
        <v>RAW_SEAFOOD</v>
      </c>
      <c r="E1914" t="s">
        <v>1228</v>
      </c>
      <c r="F1914" t="s">
        <v>3429</v>
      </c>
    </row>
    <row r="1915" spans="1:6" x14ac:dyDescent="0.3">
      <c r="A1915" t="s">
        <v>3430</v>
      </c>
      <c r="B1915" t="str" cm="1">
        <f t="array" ref="B1915">_xlfn.XLOOKUP(C1915, INDEX([1]!카테고리매핑,,2), INDEX([1]!카테고리매핑,,1), "미등록 카테고리")</f>
        <v>간편식</v>
      </c>
      <c r="C1915" t="s">
        <v>19</v>
      </c>
      <c r="D1915" t="str">
        <f>VLOOKUP(C1915, '[1]VLOOKUP 함수용 카테고리'!$A$1:$B$59, 2, 0)</f>
        <v>FROZEN_MEAL</v>
      </c>
      <c r="E1915" t="s">
        <v>20</v>
      </c>
      <c r="F1915" t="s">
        <v>760</v>
      </c>
    </row>
    <row r="1916" spans="1:6" x14ac:dyDescent="0.3">
      <c r="A1916" t="s">
        <v>3431</v>
      </c>
      <c r="B1916" t="str" cm="1">
        <f t="array" ref="B1916">_xlfn.XLOOKUP(C1916, INDEX([1]!카테고리매핑,,2), INDEX([1]!카테고리매핑,,1), "미등록 카테고리")</f>
        <v>조미료</v>
      </c>
      <c r="C1916" t="s">
        <v>127</v>
      </c>
      <c r="D1916" t="str">
        <f>VLOOKUP(C1916, '[1]VLOOKUP 함수용 카테고리'!$A$1:$B$59, 2, 0)</f>
        <v>SAUCE_SEASONING</v>
      </c>
      <c r="E1916" t="s">
        <v>171</v>
      </c>
      <c r="F1916" t="s">
        <v>7815</v>
      </c>
    </row>
    <row r="1917" spans="1:6" x14ac:dyDescent="0.3">
      <c r="A1917" t="s">
        <v>3432</v>
      </c>
      <c r="B1917" t="str" cm="1">
        <f t="array" ref="B1917">_xlfn.XLOOKUP(C1917, INDEX([1]!카테고리매핑,,2), INDEX([1]!카테고리매핑,,1), "미등록 카테고리")</f>
        <v>유제품</v>
      </c>
      <c r="C1917" t="s">
        <v>432</v>
      </c>
      <c r="D1917" t="str">
        <f>VLOOKUP(C1917, '[1]VLOOKUP 함수용 카테고리'!$A$1:$B$59, 2, 0)</f>
        <v>DAIRY</v>
      </c>
      <c r="E1917" t="s">
        <v>3433</v>
      </c>
      <c r="F1917" t="s">
        <v>3434</v>
      </c>
    </row>
    <row r="1918" spans="1:6" x14ac:dyDescent="0.3">
      <c r="A1918" t="s">
        <v>3435</v>
      </c>
      <c r="B1918" t="str" cm="1">
        <f t="array" ref="B1918">_xlfn.XLOOKUP(C1918, INDEX([1]!카테고리매핑,,2), INDEX([1]!카테고리매핑,,1), "미등록 카테고리")</f>
        <v>육류/계란</v>
      </c>
      <c r="C1918" t="s">
        <v>298</v>
      </c>
      <c r="D1918" t="str">
        <f>VLOOKUP(C1918, '[1]VLOOKUP 함수용 카테고리'!$A$1:$B$59, 2, 0)</f>
        <v>RAW_MEAT</v>
      </c>
      <c r="E1918" t="s">
        <v>298</v>
      </c>
      <c r="F1918" t="s">
        <v>3436</v>
      </c>
    </row>
    <row r="1919" spans="1:6" x14ac:dyDescent="0.3">
      <c r="A1919" t="s">
        <v>3437</v>
      </c>
      <c r="B1919" t="str" cm="1">
        <f t="array" ref="B1919">_xlfn.XLOOKUP(C1919, INDEX([1]!카테고리매핑,,2), INDEX([1]!카테고리매핑,,1), "미등록 카테고리")</f>
        <v>조미료</v>
      </c>
      <c r="C1919" t="s">
        <v>127</v>
      </c>
      <c r="D1919" t="str">
        <f>VLOOKUP(C1919, '[1]VLOOKUP 함수용 카테고리'!$A$1:$B$59, 2, 0)</f>
        <v>SAUCE_SEASONING</v>
      </c>
      <c r="E1919" t="s">
        <v>903</v>
      </c>
      <c r="F1919" t="s">
        <v>136</v>
      </c>
    </row>
    <row r="1920" spans="1:6" x14ac:dyDescent="0.3">
      <c r="A1920" t="s">
        <v>3438</v>
      </c>
      <c r="B1920" t="str" cm="1">
        <f t="array" ref="B1920">_xlfn.XLOOKUP(C1920, INDEX([1]!카테고리매핑,,2), INDEX([1]!카테고리매핑,,1), "미등록 카테고리")</f>
        <v>조미료</v>
      </c>
      <c r="C1920" t="s">
        <v>83</v>
      </c>
      <c r="D1920" t="str">
        <f>VLOOKUP(C1920, '[1]VLOOKUP 함수용 카테고리'!$A$1:$B$59, 2, 0)</f>
        <v>SAUCE_SEASONING</v>
      </c>
      <c r="E1920" t="s">
        <v>3439</v>
      </c>
      <c r="F1920" t="s">
        <v>3440</v>
      </c>
    </row>
    <row r="1921" spans="1:6" x14ac:dyDescent="0.3">
      <c r="A1921" t="s">
        <v>3441</v>
      </c>
      <c r="B1921" t="str" cm="1">
        <f t="array" ref="B1921">_xlfn.XLOOKUP(C1921, INDEX([1]!카테고리매핑,,2), INDEX([1]!카테고리매핑,,1), "미등록 카테고리")</f>
        <v>간편식</v>
      </c>
      <c r="C1921" t="s">
        <v>131</v>
      </c>
      <c r="D1921" t="str">
        <f>VLOOKUP(C1921, '[1]VLOOKUP 함수용 카테고리'!$A$1:$B$59, 2, 0)</f>
        <v>SIMPLE_PROCESSED</v>
      </c>
      <c r="E1921" t="s">
        <v>2226</v>
      </c>
      <c r="F1921" t="s">
        <v>2747</v>
      </c>
    </row>
    <row r="1922" spans="1:6" x14ac:dyDescent="0.3">
      <c r="A1922" t="s">
        <v>3442</v>
      </c>
      <c r="B1922" t="str" cm="1">
        <f t="array" ref="B1922">_xlfn.XLOOKUP(C1922, INDEX([1]!카테고리매핑,,2), INDEX([1]!카테고리매핑,,1), "미등록 카테고리")</f>
        <v>술</v>
      </c>
      <c r="C1922" t="s">
        <v>56</v>
      </c>
      <c r="D1922" t="str">
        <f>VLOOKUP(C1922, '[1]VLOOKUP 함수용 카테고리'!$A$1:$B$59, 2, 0)</f>
        <v>ALCOHOL</v>
      </c>
      <c r="E1922" t="s">
        <v>505</v>
      </c>
    </row>
    <row r="1923" spans="1:6" x14ac:dyDescent="0.3">
      <c r="A1923" t="s">
        <v>3443</v>
      </c>
      <c r="B1923" t="str" cm="1">
        <f t="array" ref="B1923">_xlfn.XLOOKUP(C1923, INDEX([1]!카테고리매핑,,2), INDEX([1]!카테고리매핑,,1), "미등록 카테고리")</f>
        <v>유제품</v>
      </c>
      <c r="C1923" t="s">
        <v>123</v>
      </c>
      <c r="D1923" t="str">
        <f>VLOOKUP(C1923, '[1]VLOOKUP 함수용 카테고리'!$A$1:$B$59, 2, 0)</f>
        <v>DAIRY</v>
      </c>
      <c r="E1923" t="s">
        <v>190</v>
      </c>
      <c r="F1923" t="s">
        <v>3444</v>
      </c>
    </row>
    <row r="1924" spans="1:6" x14ac:dyDescent="0.3">
      <c r="A1924" t="s">
        <v>3445</v>
      </c>
      <c r="B1924" t="str" cm="1">
        <f t="array" ref="B1924">_xlfn.XLOOKUP(C1924, INDEX([1]!카테고리매핑,,2), INDEX([1]!카테고리매핑,,1), "미등록 카테고리")</f>
        <v>간편식</v>
      </c>
      <c r="C1924" t="s">
        <v>131</v>
      </c>
      <c r="D1924" t="str">
        <f>VLOOKUP(C1924, '[1]VLOOKUP 함수용 카테고리'!$A$1:$B$59, 2, 0)</f>
        <v>SIMPLE_PROCESSED</v>
      </c>
      <c r="E1924" t="s">
        <v>2380</v>
      </c>
      <c r="F1924" t="s">
        <v>1246</v>
      </c>
    </row>
    <row r="1925" spans="1:6" x14ac:dyDescent="0.3">
      <c r="A1925" t="s">
        <v>3446</v>
      </c>
      <c r="B1925" t="str" cm="1">
        <f t="array" ref="B1925">_xlfn.XLOOKUP(C1925, INDEX([1]!카테고리매핑,,2), INDEX([1]!카테고리매핑,,1), "미등록 카테고리")</f>
        <v>미등록 카테고리</v>
      </c>
      <c r="C1925" t="s">
        <v>334</v>
      </c>
      <c r="D1925" t="str">
        <f>VLOOKUP(C1925, '[1]VLOOKUP 함수용 카테고리'!$A$1:$B$59, 2, 0)</f>
        <v>UNKNOWN</v>
      </c>
      <c r="E1925" t="s">
        <v>334</v>
      </c>
      <c r="F1925" t="s">
        <v>3447</v>
      </c>
    </row>
    <row r="1926" spans="1:6" x14ac:dyDescent="0.3">
      <c r="A1926" t="s">
        <v>3448</v>
      </c>
      <c r="B1926" t="str" cm="1">
        <f t="array" ref="B1926">_xlfn.XLOOKUP(C1926, INDEX([1]!카테고리매핑,,2), INDEX([1]!카테고리매핑,,1), "미등록 카테고리")</f>
        <v>간식류</v>
      </c>
      <c r="C1926" t="s">
        <v>15</v>
      </c>
      <c r="D1926" t="str">
        <f>VLOOKUP(C1926, '[1]VLOOKUP 함수용 카테고리'!$A$1:$B$59, 2, 0)</f>
        <v>BAKERY</v>
      </c>
      <c r="E1926" t="s">
        <v>16</v>
      </c>
      <c r="F1926" t="s">
        <v>1969</v>
      </c>
    </row>
    <row r="1927" spans="1:6" x14ac:dyDescent="0.3">
      <c r="A1927" t="s">
        <v>3449</v>
      </c>
      <c r="B1927" t="str" cm="1">
        <f t="array" ref="B1927">_xlfn.XLOOKUP(C1927, INDEX([1]!카테고리매핑,,2), INDEX([1]!카테고리매핑,,1), "미등록 카테고리")</f>
        <v>조미료</v>
      </c>
      <c r="C1927" t="s">
        <v>117</v>
      </c>
      <c r="D1927" t="str">
        <f>VLOOKUP(C1927, '[1]VLOOKUP 함수용 카테고리'!$A$1:$B$59, 2, 0)</f>
        <v>SAUCE_SEASONING</v>
      </c>
      <c r="E1927" t="s">
        <v>895</v>
      </c>
      <c r="F1927" t="s">
        <v>3450</v>
      </c>
    </row>
    <row r="1928" spans="1:6" x14ac:dyDescent="0.3">
      <c r="A1928" t="s">
        <v>3451</v>
      </c>
      <c r="B1928" t="str" cm="1">
        <f t="array" ref="B1928">_xlfn.XLOOKUP(C1928, INDEX([1]!카테고리매핑,,2), INDEX([1]!카테고리매핑,,1), "미등록 카테고리")</f>
        <v>채소/곡물류</v>
      </c>
      <c r="C1928" t="s">
        <v>27</v>
      </c>
      <c r="D1928" t="str">
        <f>VLOOKUP(C1928, '[1]VLOOKUP 함수용 카테고리'!$A$1:$B$59, 2, 0)</f>
        <v>SIMPLE_PROCESSED</v>
      </c>
      <c r="E1928" t="s">
        <v>1173</v>
      </c>
      <c r="F1928" t="s">
        <v>1244</v>
      </c>
    </row>
    <row r="1929" spans="1:6" x14ac:dyDescent="0.3">
      <c r="A1929" t="s">
        <v>3452</v>
      </c>
      <c r="B1929" t="str" cm="1">
        <f t="array" ref="B1929">_xlfn.XLOOKUP(C1929, INDEX([1]!카테고리매핑,,2), INDEX([1]!카테고리매핑,,1), "미등록 카테고리")</f>
        <v>유제품</v>
      </c>
      <c r="C1929" t="s">
        <v>123</v>
      </c>
      <c r="D1929" t="str">
        <f>VLOOKUP(C1929, '[1]VLOOKUP 함수용 카테고리'!$A$1:$B$59, 2, 0)</f>
        <v>DAIRY</v>
      </c>
      <c r="E1929" t="s">
        <v>190</v>
      </c>
      <c r="F1929" t="s">
        <v>3453</v>
      </c>
    </row>
    <row r="1930" spans="1:6" x14ac:dyDescent="0.3">
      <c r="A1930" t="s">
        <v>3454</v>
      </c>
      <c r="B1930" t="str" cm="1">
        <f t="array" ref="B1930">_xlfn.XLOOKUP(C1930, INDEX([1]!카테고리매핑,,2), INDEX([1]!카테고리매핑,,1), "미등록 카테고리")</f>
        <v>육류/계란</v>
      </c>
      <c r="C1930" t="s">
        <v>428</v>
      </c>
      <c r="D1930" t="str">
        <f>VLOOKUP(C1930, '[1]VLOOKUP 함수용 카테고리'!$A$1:$B$59, 2, 0)</f>
        <v>PROCESSED_MEAT</v>
      </c>
      <c r="E1930" t="s">
        <v>790</v>
      </c>
      <c r="F1930" t="s">
        <v>3455</v>
      </c>
    </row>
    <row r="1931" spans="1:6" x14ac:dyDescent="0.3">
      <c r="A1931" t="s">
        <v>3456</v>
      </c>
      <c r="B1931" t="str" cm="1">
        <f t="array" ref="B1931">_xlfn.XLOOKUP(C1931, INDEX([1]!카테고리매핑,,2), INDEX([1]!카테고리매핑,,1), "미등록 카테고리")</f>
        <v>간편식</v>
      </c>
      <c r="C1931" t="s">
        <v>19</v>
      </c>
      <c r="D1931" t="str">
        <f>VLOOKUP(C1931, '[1]VLOOKUP 함수용 카테고리'!$A$1:$B$59, 2, 0)</f>
        <v>FROZEN_MEAL</v>
      </c>
      <c r="E1931" t="s">
        <v>1115</v>
      </c>
      <c r="F1931" t="s">
        <v>1116</v>
      </c>
    </row>
    <row r="1932" spans="1:6" x14ac:dyDescent="0.3">
      <c r="A1932" t="s">
        <v>3457</v>
      </c>
      <c r="B1932" t="str" cm="1">
        <f t="array" ref="B1932">_xlfn.XLOOKUP(C1932, INDEX([1]!카테고리매핑,,2), INDEX([1]!카테고리매핑,,1), "미등록 카테고리")</f>
        <v>유제품</v>
      </c>
      <c r="C1932" t="s">
        <v>211</v>
      </c>
      <c r="D1932" t="str">
        <f>VLOOKUP(C1932, '[1]VLOOKUP 함수용 카테고리'!$A$1:$B$59, 2, 0)</f>
        <v>DAIRY</v>
      </c>
      <c r="E1932" t="s">
        <v>2223</v>
      </c>
    </row>
    <row r="1933" spans="1:6" x14ac:dyDescent="0.3">
      <c r="A1933" t="s">
        <v>3458</v>
      </c>
      <c r="B1933" t="str" cm="1">
        <f t="array" ref="B1933">_xlfn.XLOOKUP(C1933, INDEX([1]!카테고리매핑,,2), INDEX([1]!카테고리매핑,,1), "미등록 카테고리")</f>
        <v>조미료</v>
      </c>
      <c r="C1933" t="s">
        <v>84</v>
      </c>
      <c r="D1933" t="str">
        <f>VLOOKUP(C1933, '[1]VLOOKUP 함수용 카테고리'!$A$1:$B$59, 2, 0)</f>
        <v>SAUCE_SEASONING</v>
      </c>
      <c r="E1933" t="s">
        <v>3459</v>
      </c>
      <c r="F1933" t="s">
        <v>646</v>
      </c>
    </row>
    <row r="1934" spans="1:6" x14ac:dyDescent="0.3">
      <c r="A1934" t="s">
        <v>3460</v>
      </c>
      <c r="B1934" t="str" cm="1">
        <f t="array" ref="B1934">_xlfn.XLOOKUP(C1934, INDEX([1]!카테고리매핑,,2), INDEX([1]!카테고리매핑,,1), "미등록 카테고리")</f>
        <v>간편식</v>
      </c>
      <c r="C1934" t="s">
        <v>19</v>
      </c>
      <c r="D1934" t="str">
        <f>VLOOKUP(C1934, '[1]VLOOKUP 함수용 카테고리'!$A$1:$B$59, 2, 0)</f>
        <v>FROZEN_MEAL</v>
      </c>
      <c r="E1934" t="s">
        <v>1115</v>
      </c>
      <c r="F1934" t="s">
        <v>151</v>
      </c>
    </row>
    <row r="1935" spans="1:6" x14ac:dyDescent="0.3">
      <c r="A1935" t="s">
        <v>3461</v>
      </c>
      <c r="B1935" t="str" cm="1">
        <f t="array" ref="B1935">_xlfn.XLOOKUP(C1935, INDEX([1]!카테고리매핑,,2), INDEX([1]!카테고리매핑,,1), "미등록 카테고리")</f>
        <v>유제품</v>
      </c>
      <c r="C1935" t="s">
        <v>98</v>
      </c>
      <c r="D1935" t="str">
        <f>VLOOKUP(C1935, '[1]VLOOKUP 함수용 카테고리'!$A$1:$B$59, 2, 0)</f>
        <v>DAIRY</v>
      </c>
      <c r="E1935" t="s">
        <v>98</v>
      </c>
      <c r="F1935" t="s">
        <v>844</v>
      </c>
    </row>
    <row r="1936" spans="1:6" x14ac:dyDescent="0.3">
      <c r="A1936" t="s">
        <v>3462</v>
      </c>
      <c r="B1936" t="str" cm="1">
        <f t="array" ref="B1936">_xlfn.XLOOKUP(C1936, INDEX([1]!카테고리매핑,,2), INDEX([1]!카테고리매핑,,1), "미등록 카테고리")</f>
        <v>간식류</v>
      </c>
      <c r="C1936" t="s">
        <v>109</v>
      </c>
      <c r="D1936" t="str">
        <f>VLOOKUP(C1936, '[1]VLOOKUP 함수용 카테고리'!$A$1:$B$59, 2, 0)</f>
        <v>SNACK</v>
      </c>
      <c r="E1936" t="s">
        <v>3463</v>
      </c>
      <c r="F1936" t="s">
        <v>1122</v>
      </c>
    </row>
    <row r="1937" spans="1:6" x14ac:dyDescent="0.3">
      <c r="A1937" t="s">
        <v>3464</v>
      </c>
      <c r="B1937" t="str" cm="1">
        <f t="array" ref="B1937">_xlfn.XLOOKUP(C1937, INDEX([1]!카테고리매핑,,2), INDEX([1]!카테고리매핑,,1), "미등록 카테고리")</f>
        <v>상온식품</v>
      </c>
      <c r="C1937" t="s">
        <v>276</v>
      </c>
      <c r="D1937" t="str">
        <f>VLOOKUP(C1937, '[1]VLOOKUP 함수용 카테고리'!$A$1:$B$59, 2, 0)</f>
        <v>DRIED_SEAFOOD</v>
      </c>
      <c r="E1937" t="s">
        <v>277</v>
      </c>
      <c r="F1937" t="s">
        <v>278</v>
      </c>
    </row>
    <row r="1938" spans="1:6" x14ac:dyDescent="0.3">
      <c r="A1938" t="s">
        <v>3465</v>
      </c>
      <c r="B1938" t="str" cm="1">
        <f t="array" ref="B1938">_xlfn.XLOOKUP(C1938, INDEX([1]!카테고리매핑,,2), INDEX([1]!카테고리매핑,,1), "미등록 카테고리")</f>
        <v>미등록 카테고리</v>
      </c>
      <c r="C1938" t="s">
        <v>334</v>
      </c>
      <c r="D1938" t="str">
        <f>VLOOKUP(C1938, '[1]VLOOKUP 함수용 카테고리'!$A$1:$B$59, 2, 0)</f>
        <v>UNKNOWN</v>
      </c>
      <c r="E1938" t="s">
        <v>334</v>
      </c>
      <c r="F1938" t="s">
        <v>2083</v>
      </c>
    </row>
    <row r="1939" spans="1:6" x14ac:dyDescent="0.3">
      <c r="A1939" t="s">
        <v>3466</v>
      </c>
      <c r="B1939" t="str" cm="1">
        <f t="array" ref="B1939">_xlfn.XLOOKUP(C1939, INDEX([1]!카테고리매핑,,2), INDEX([1]!카테고리매핑,,1), "미등록 카테고리")</f>
        <v>유제품</v>
      </c>
      <c r="C1939" t="s">
        <v>123</v>
      </c>
      <c r="D1939" t="str">
        <f>VLOOKUP(C1939, '[1]VLOOKUP 함수용 카테고리'!$A$1:$B$59, 2, 0)</f>
        <v>DAIRY</v>
      </c>
      <c r="E1939" t="s">
        <v>622</v>
      </c>
      <c r="F1939" t="s">
        <v>3467</v>
      </c>
    </row>
    <row r="1940" spans="1:6" x14ac:dyDescent="0.3">
      <c r="A1940" t="s">
        <v>3468</v>
      </c>
      <c r="B1940" t="str" cm="1">
        <f t="array" ref="B1940">_xlfn.XLOOKUP(C1940, INDEX([1]!카테고리매핑,,2), INDEX([1]!카테고리매핑,,1), "미등록 카테고리")</f>
        <v>간편식</v>
      </c>
      <c r="C1940" t="s">
        <v>158</v>
      </c>
      <c r="D1940" t="str">
        <f>VLOOKUP(C1940, '[1]VLOOKUP 함수용 카테고리'!$A$1:$B$59, 2, 0)</f>
        <v>INSTANT</v>
      </c>
      <c r="E1940" t="s">
        <v>3277</v>
      </c>
      <c r="F1940" t="s">
        <v>3278</v>
      </c>
    </row>
    <row r="1941" spans="1:6" x14ac:dyDescent="0.3">
      <c r="A1941" t="s">
        <v>3469</v>
      </c>
      <c r="B1941" t="str" cm="1">
        <f t="array" ref="B1941">_xlfn.XLOOKUP(C1941, INDEX([1]!카테고리매핑,,2), INDEX([1]!카테고리매핑,,1), "미등록 카테고리")</f>
        <v>수산물</v>
      </c>
      <c r="C1941" t="s">
        <v>101</v>
      </c>
      <c r="D1941" t="str">
        <f>VLOOKUP(C1941, '[1]VLOOKUP 함수용 카테고리'!$A$1:$B$59, 2, 0)</f>
        <v>DRIED_SEAFOOD</v>
      </c>
      <c r="E1941" t="s">
        <v>665</v>
      </c>
      <c r="F1941" t="s">
        <v>7816</v>
      </c>
    </row>
    <row r="1942" spans="1:6" x14ac:dyDescent="0.3">
      <c r="A1942" t="s">
        <v>3470</v>
      </c>
      <c r="B1942" t="str" cm="1">
        <f t="array" ref="B1942">_xlfn.XLOOKUP(C1942, INDEX([1]!카테고리매핑,,2), INDEX([1]!카테고리매핑,,1), "미등록 카테고리")</f>
        <v>유제품</v>
      </c>
      <c r="C1942" t="s">
        <v>123</v>
      </c>
      <c r="D1942" t="str">
        <f>VLOOKUP(C1942, '[1]VLOOKUP 함수용 카테고리'!$A$1:$B$59, 2, 0)</f>
        <v>DAIRY</v>
      </c>
      <c r="E1942" t="s">
        <v>190</v>
      </c>
      <c r="F1942" t="s">
        <v>623</v>
      </c>
    </row>
    <row r="1943" spans="1:6" x14ac:dyDescent="0.3">
      <c r="A1943" t="s">
        <v>3471</v>
      </c>
      <c r="B1943" t="str" cm="1">
        <f t="array" ref="B1943">_xlfn.XLOOKUP(C1943, INDEX([1]!카테고리매핑,,2), INDEX([1]!카테고리매핑,,1), "미등록 카테고리")</f>
        <v>간식류</v>
      </c>
      <c r="C1943" t="s">
        <v>63</v>
      </c>
      <c r="D1943" t="str">
        <f>VLOOKUP(C1943, '[1]VLOOKUP 함수용 카테고리'!$A$1:$B$59, 2, 0)</f>
        <v>BAKERY</v>
      </c>
      <c r="E1943" t="s">
        <v>496</v>
      </c>
      <c r="F1943" t="s">
        <v>2087</v>
      </c>
    </row>
    <row r="1944" spans="1:6" x14ac:dyDescent="0.3">
      <c r="A1944" t="s">
        <v>3472</v>
      </c>
      <c r="B1944" t="str" cm="1">
        <f t="array" ref="B1944">_xlfn.XLOOKUP(C1944, INDEX([1]!카테고리매핑,,2), INDEX([1]!카테고리매핑,,1), "미등록 카테고리")</f>
        <v>간편식</v>
      </c>
      <c r="C1944" t="s">
        <v>131</v>
      </c>
      <c r="D1944" t="str">
        <f>VLOOKUP(C1944, '[1]VLOOKUP 함수용 카테고리'!$A$1:$B$59, 2, 0)</f>
        <v>SIMPLE_PROCESSED</v>
      </c>
      <c r="E1944" t="s">
        <v>132</v>
      </c>
      <c r="F1944" t="s">
        <v>133</v>
      </c>
    </row>
    <row r="1945" spans="1:6" x14ac:dyDescent="0.3">
      <c r="A1945" t="s">
        <v>3473</v>
      </c>
      <c r="B1945" t="str" cm="1">
        <f t="array" ref="B1945">_xlfn.XLOOKUP(C1945, INDEX([1]!카테고리매핑,,2), INDEX([1]!카테고리매핑,,1), "미등록 카테고리")</f>
        <v>채소/곡물류</v>
      </c>
      <c r="C1945" t="s">
        <v>7</v>
      </c>
      <c r="D1945" t="str">
        <f>VLOOKUP(C1945, '[1]VLOOKUP 함수용 카테고리'!$A$1:$B$59, 2, 0)</f>
        <v>RAW_PRODUCE</v>
      </c>
      <c r="E1945" t="s">
        <v>1177</v>
      </c>
      <c r="F1945" t="s">
        <v>406</v>
      </c>
    </row>
    <row r="1946" spans="1:6" x14ac:dyDescent="0.3">
      <c r="A1946" t="s">
        <v>3474</v>
      </c>
      <c r="B1946" t="str" cm="1">
        <f t="array" ref="B1946">_xlfn.XLOOKUP(C1946, INDEX([1]!카테고리매핑,,2), INDEX([1]!카테고리매핑,,1), "미등록 카테고리")</f>
        <v>간편식</v>
      </c>
      <c r="C1946" t="s">
        <v>131</v>
      </c>
      <c r="D1946" t="str">
        <f>VLOOKUP(C1946, '[1]VLOOKUP 함수용 카테고리'!$A$1:$B$59, 2, 0)</f>
        <v>SIMPLE_PROCESSED</v>
      </c>
      <c r="E1946" t="s">
        <v>132</v>
      </c>
      <c r="F1946" t="s">
        <v>406</v>
      </c>
    </row>
    <row r="1947" spans="1:6" x14ac:dyDescent="0.3">
      <c r="A1947" t="s">
        <v>3475</v>
      </c>
      <c r="B1947" t="str" cm="1">
        <f t="array" ref="B1947">_xlfn.XLOOKUP(C1947, INDEX([1]!카테고리매핑,,2), INDEX([1]!카테고리매핑,,1), "미등록 카테고리")</f>
        <v>간식류</v>
      </c>
      <c r="C1947" t="s">
        <v>15</v>
      </c>
      <c r="D1947" t="str">
        <f>VLOOKUP(C1947, '[1]VLOOKUP 함수용 카테고리'!$A$1:$B$59, 2, 0)</f>
        <v>BAKERY</v>
      </c>
      <c r="E1947" t="s">
        <v>2592</v>
      </c>
      <c r="F1947" t="s">
        <v>3476</v>
      </c>
    </row>
    <row r="1948" spans="1:6" x14ac:dyDescent="0.3">
      <c r="A1948" t="s">
        <v>3477</v>
      </c>
      <c r="B1948" t="str" cm="1">
        <f t="array" ref="B1948">_xlfn.XLOOKUP(C1948, INDEX([1]!카테고리매핑,,2), INDEX([1]!카테고리매핑,,1), "미등록 카테고리")</f>
        <v>수산물</v>
      </c>
      <c r="C1948" t="s">
        <v>101</v>
      </c>
      <c r="D1948" t="str">
        <f>VLOOKUP(C1948, '[1]VLOOKUP 함수용 카테고리'!$A$1:$B$59, 2, 0)</f>
        <v>DRIED_SEAFOOD</v>
      </c>
      <c r="E1948" t="s">
        <v>1706</v>
      </c>
      <c r="F1948" t="s">
        <v>2255</v>
      </c>
    </row>
    <row r="1949" spans="1:6" x14ac:dyDescent="0.3">
      <c r="A1949" t="s">
        <v>3478</v>
      </c>
      <c r="B1949" t="str" cm="1">
        <f t="array" ref="B1949">_xlfn.XLOOKUP(C1949, INDEX([1]!카테고리매핑,,2), INDEX([1]!카테고리매핑,,1), "미등록 카테고리")</f>
        <v>간편식</v>
      </c>
      <c r="C1949" t="s">
        <v>131</v>
      </c>
      <c r="D1949" t="str">
        <f>VLOOKUP(C1949, '[1]VLOOKUP 함수용 카테고리'!$A$1:$B$59, 2, 0)</f>
        <v>SIMPLE_PROCESSED</v>
      </c>
      <c r="E1949" t="s">
        <v>3479</v>
      </c>
      <c r="F1949" t="s">
        <v>461</v>
      </c>
    </row>
    <row r="1950" spans="1:6" x14ac:dyDescent="0.3">
      <c r="A1950" t="s">
        <v>3480</v>
      </c>
      <c r="B1950" t="str" cm="1">
        <f t="array" ref="B1950">_xlfn.XLOOKUP(C1950, INDEX([1]!카테고리매핑,,2), INDEX([1]!카테고리매핑,,1), "미등록 카테고리")</f>
        <v>간편식</v>
      </c>
      <c r="C1950" t="s">
        <v>131</v>
      </c>
      <c r="D1950" t="str">
        <f>VLOOKUP(C1950, '[1]VLOOKUP 함수용 카테고리'!$A$1:$B$59, 2, 0)</f>
        <v>SIMPLE_PROCESSED</v>
      </c>
      <c r="E1950" t="s">
        <v>1067</v>
      </c>
      <c r="F1950" t="s">
        <v>3481</v>
      </c>
    </row>
    <row r="1951" spans="1:6" x14ac:dyDescent="0.3">
      <c r="A1951" t="s">
        <v>3482</v>
      </c>
      <c r="B1951" t="str" cm="1">
        <f t="array" ref="B1951">_xlfn.XLOOKUP(C1951, INDEX([1]!카테고리매핑,,2), INDEX([1]!카테고리매핑,,1), "미등록 카테고리")</f>
        <v>채소/곡물류</v>
      </c>
      <c r="C1951" t="s">
        <v>7</v>
      </c>
      <c r="D1951" t="str">
        <f>VLOOKUP(C1951, '[1]VLOOKUP 함수용 카테고리'!$A$1:$B$59, 2, 0)</f>
        <v>RAW_PRODUCE</v>
      </c>
      <c r="E1951" t="s">
        <v>1177</v>
      </c>
      <c r="F1951" t="s">
        <v>406</v>
      </c>
    </row>
    <row r="1952" spans="1:6" x14ac:dyDescent="0.3">
      <c r="A1952" t="s">
        <v>3483</v>
      </c>
      <c r="B1952" t="str" cm="1">
        <f t="array" ref="B1952">_xlfn.XLOOKUP(C1952, INDEX([1]!카테고리매핑,,2), INDEX([1]!카테고리매핑,,1), "미등록 카테고리")</f>
        <v>조미료</v>
      </c>
      <c r="C1952" t="s">
        <v>117</v>
      </c>
      <c r="D1952" t="str">
        <f>VLOOKUP(C1952, '[1]VLOOKUP 함수용 카테고리'!$A$1:$B$59, 2, 0)</f>
        <v>SAUCE_SEASONING</v>
      </c>
      <c r="E1952" t="s">
        <v>1987</v>
      </c>
      <c r="F1952" t="s">
        <v>129</v>
      </c>
    </row>
    <row r="1953" spans="1:6" x14ac:dyDescent="0.3">
      <c r="A1953" t="s">
        <v>3484</v>
      </c>
      <c r="B1953" t="str" cm="1">
        <f t="array" ref="B1953">_xlfn.XLOOKUP(C1953, INDEX([1]!카테고리매핑,,2), INDEX([1]!카테고리매핑,,1), "미등록 카테고리")</f>
        <v>미등록 카테고리</v>
      </c>
      <c r="C1953" t="s">
        <v>334</v>
      </c>
      <c r="D1953" t="str">
        <f>VLOOKUP(C1953, '[1]VLOOKUP 함수용 카테고리'!$A$1:$B$59, 2, 0)</f>
        <v>UNKNOWN</v>
      </c>
      <c r="E1953" t="s">
        <v>334</v>
      </c>
      <c r="F1953" t="s">
        <v>77</v>
      </c>
    </row>
    <row r="1954" spans="1:6" x14ac:dyDescent="0.3">
      <c r="A1954" t="s">
        <v>3485</v>
      </c>
      <c r="B1954" t="str" cm="1">
        <f t="array" ref="B1954">_xlfn.XLOOKUP(C1954, INDEX([1]!카테고리매핑,,2), INDEX([1]!카테고리매핑,,1), "미등록 카테고리")</f>
        <v>간편식</v>
      </c>
      <c r="C1954" t="s">
        <v>161</v>
      </c>
      <c r="D1954" t="str">
        <f>VLOOKUP(C1954, '[1]VLOOKUP 함수용 카테고리'!$A$1:$B$59, 2, 0)</f>
        <v>RTC_MEAL</v>
      </c>
      <c r="E1954" t="s">
        <v>3486</v>
      </c>
      <c r="F1954" t="s">
        <v>3487</v>
      </c>
    </row>
    <row r="1955" spans="1:6" x14ac:dyDescent="0.3">
      <c r="A1955" t="s">
        <v>3488</v>
      </c>
      <c r="B1955" t="str" cm="1">
        <f t="array" ref="B1955">_xlfn.XLOOKUP(C1955, INDEX([1]!카테고리매핑,,2), INDEX([1]!카테고리매핑,,1), "미등록 카테고리")</f>
        <v>음료</v>
      </c>
      <c r="C1955" t="s">
        <v>23</v>
      </c>
      <c r="D1955" t="str">
        <f>VLOOKUP(C1955, '[1]VLOOKUP 함수용 카테고리'!$A$1:$B$59, 2, 0)</f>
        <v>BEVERAGE</v>
      </c>
      <c r="E1955" t="s">
        <v>1778</v>
      </c>
      <c r="F1955" t="s">
        <v>3489</v>
      </c>
    </row>
    <row r="1956" spans="1:6" x14ac:dyDescent="0.3">
      <c r="A1956" t="s">
        <v>3490</v>
      </c>
      <c r="B1956" t="str" cm="1">
        <f t="array" ref="B1956">_xlfn.XLOOKUP(C1956, INDEX([1]!카테고리매핑,,2), INDEX([1]!카테고리매핑,,1), "미등록 카테고리")</f>
        <v>조미료</v>
      </c>
      <c r="C1956" t="s">
        <v>558</v>
      </c>
      <c r="D1956" t="str">
        <f>VLOOKUP(C1956, '[1]VLOOKUP 함수용 카테고리'!$A$1:$B$59, 2, 0)</f>
        <v>SAUCE_SEASONING</v>
      </c>
      <c r="E1956" t="s">
        <v>2687</v>
      </c>
      <c r="F1956" t="s">
        <v>2007</v>
      </c>
    </row>
    <row r="1957" spans="1:6" x14ac:dyDescent="0.3">
      <c r="A1957" t="s">
        <v>3491</v>
      </c>
      <c r="B1957" t="str" cm="1">
        <f t="array" ref="B1957">_xlfn.XLOOKUP(C1957, INDEX([1]!카테고리매핑,,2), INDEX([1]!카테고리매핑,,1), "미등록 카테고리")</f>
        <v>수산물</v>
      </c>
      <c r="C1957" t="s">
        <v>263</v>
      </c>
      <c r="D1957" t="str">
        <f>VLOOKUP(C1957, '[1]VLOOKUP 함수용 카테고리'!$A$1:$B$59, 2, 0)</f>
        <v>RAW_SEAFOOD</v>
      </c>
      <c r="E1957" t="s">
        <v>264</v>
      </c>
    </row>
    <row r="1958" spans="1:6" x14ac:dyDescent="0.3">
      <c r="A1958" t="s">
        <v>3492</v>
      </c>
      <c r="B1958" t="str" cm="1">
        <f t="array" ref="B1958">_xlfn.XLOOKUP(C1958, INDEX([1]!카테고리매핑,,2), INDEX([1]!카테고리매핑,,1), "미등록 카테고리")</f>
        <v>음료</v>
      </c>
      <c r="C1958" t="s">
        <v>23</v>
      </c>
      <c r="D1958" t="str">
        <f>VLOOKUP(C1958, '[1]VLOOKUP 함수용 카테고리'!$A$1:$B$59, 2, 0)</f>
        <v>BEVERAGE</v>
      </c>
      <c r="E1958" t="s">
        <v>74</v>
      </c>
      <c r="F1958" t="s">
        <v>7817</v>
      </c>
    </row>
    <row r="1959" spans="1:6" x14ac:dyDescent="0.3">
      <c r="A1959" t="s">
        <v>3493</v>
      </c>
      <c r="B1959" t="str" cm="1">
        <f t="array" ref="B1959">_xlfn.XLOOKUP(C1959, INDEX([1]!카테고리매핑,,2), INDEX([1]!카테고리매핑,,1), "미등록 카테고리")</f>
        <v>음료</v>
      </c>
      <c r="C1959" t="s">
        <v>23</v>
      </c>
      <c r="D1959" t="str">
        <f>VLOOKUP(C1959, '[1]VLOOKUP 함수용 카테고리'!$A$1:$B$59, 2, 0)</f>
        <v>BEVERAGE</v>
      </c>
      <c r="E1959" t="s">
        <v>355</v>
      </c>
      <c r="F1959" t="s">
        <v>7818</v>
      </c>
    </row>
    <row r="1960" spans="1:6" x14ac:dyDescent="0.3">
      <c r="A1960" t="s">
        <v>3494</v>
      </c>
      <c r="B1960" t="str" cm="1">
        <f t="array" ref="B1960">_xlfn.XLOOKUP(C1960, INDEX([1]!카테고리매핑,,2), INDEX([1]!카테고리매핑,,1), "미등록 카테고리")</f>
        <v>음료</v>
      </c>
      <c r="C1960" t="s">
        <v>23</v>
      </c>
      <c r="D1960" t="str">
        <f>VLOOKUP(C1960, '[1]VLOOKUP 함수용 카테고리'!$A$1:$B$59, 2, 0)</f>
        <v>BEVERAGE</v>
      </c>
      <c r="E1960" t="s">
        <v>3495</v>
      </c>
      <c r="F1960" t="s">
        <v>3496</v>
      </c>
    </row>
    <row r="1961" spans="1:6" x14ac:dyDescent="0.3">
      <c r="A1961" t="s">
        <v>3497</v>
      </c>
      <c r="B1961" t="str" cm="1">
        <f t="array" ref="B1961">_xlfn.XLOOKUP(C1961, INDEX([1]!카테고리매핑,,2), INDEX([1]!카테고리매핑,,1), "미등록 카테고리")</f>
        <v>상온식품</v>
      </c>
      <c r="C1961" t="s">
        <v>276</v>
      </c>
      <c r="D1961" t="str">
        <f>VLOOKUP(C1961, '[1]VLOOKUP 함수용 카테고리'!$A$1:$B$59, 2, 0)</f>
        <v>DRIED_SEAFOOD</v>
      </c>
      <c r="E1961" t="s">
        <v>277</v>
      </c>
      <c r="F1961" t="s">
        <v>151</v>
      </c>
    </row>
    <row r="1962" spans="1:6" x14ac:dyDescent="0.3">
      <c r="A1962" t="s">
        <v>3498</v>
      </c>
      <c r="B1962" t="str" cm="1">
        <f t="array" ref="B1962">_xlfn.XLOOKUP(C1962, INDEX([1]!카테고리매핑,,2), INDEX([1]!카테고리매핑,,1), "미등록 카테고리")</f>
        <v>간편식</v>
      </c>
      <c r="C1962" t="s">
        <v>46</v>
      </c>
      <c r="D1962" t="str">
        <f>VLOOKUP(C1962, '[1]VLOOKUP 함수용 카테고리'!$A$1:$B$59, 2, 0)</f>
        <v>RTC_MEAL</v>
      </c>
      <c r="E1962" t="s">
        <v>46</v>
      </c>
      <c r="F1962" t="s">
        <v>3499</v>
      </c>
    </row>
    <row r="1963" spans="1:6" x14ac:dyDescent="0.3">
      <c r="A1963" t="s">
        <v>3500</v>
      </c>
      <c r="B1963" t="str" cm="1">
        <f t="array" ref="B1963">_xlfn.XLOOKUP(C1963, INDEX([1]!카테고리매핑,,2), INDEX([1]!카테고리매핑,,1), "미등록 카테고리")</f>
        <v>조미료</v>
      </c>
      <c r="C1963" t="s">
        <v>127</v>
      </c>
      <c r="D1963" t="str">
        <f>VLOOKUP(C1963, '[1]VLOOKUP 함수용 카테고리'!$A$1:$B$59, 2, 0)</f>
        <v>SAUCE_SEASONING</v>
      </c>
      <c r="E1963" t="s">
        <v>3501</v>
      </c>
      <c r="F1963" t="s">
        <v>3502</v>
      </c>
    </row>
    <row r="1964" spans="1:6" x14ac:dyDescent="0.3">
      <c r="A1964" t="s">
        <v>3503</v>
      </c>
      <c r="B1964" t="str" cm="1">
        <f t="array" ref="B1964">_xlfn.XLOOKUP(C1964, INDEX([1]!카테고리매핑,,2), INDEX([1]!카테고리매핑,,1), "미등록 카테고리")</f>
        <v>수산물</v>
      </c>
      <c r="C1964" t="s">
        <v>183</v>
      </c>
      <c r="D1964" t="str">
        <f>VLOOKUP(C1964, '[1]VLOOKUP 함수용 카테고리'!$A$1:$B$59, 2, 0)</f>
        <v>DRIED_SEAFOOD</v>
      </c>
      <c r="E1964" t="s">
        <v>466</v>
      </c>
      <c r="F1964" t="s">
        <v>3504</v>
      </c>
    </row>
    <row r="1965" spans="1:6" x14ac:dyDescent="0.3">
      <c r="A1965" t="s">
        <v>3505</v>
      </c>
      <c r="B1965" t="str" cm="1">
        <f t="array" ref="B1965">_xlfn.XLOOKUP(C1965, INDEX([1]!카테고리매핑,,2), INDEX([1]!카테고리매핑,,1), "미등록 카테고리")</f>
        <v>채소/곡물류</v>
      </c>
      <c r="C1965" t="s">
        <v>207</v>
      </c>
      <c r="D1965" t="str">
        <f>VLOOKUP(C1965, '[1]VLOOKUP 함수용 카테고리'!$A$1:$B$59, 2, 0)</f>
        <v>GRAIN</v>
      </c>
      <c r="E1965" t="s">
        <v>3506</v>
      </c>
      <c r="F1965" t="s">
        <v>2370</v>
      </c>
    </row>
    <row r="1966" spans="1:6" x14ac:dyDescent="0.3">
      <c r="A1966" t="s">
        <v>3507</v>
      </c>
      <c r="B1966" t="str" cm="1">
        <f t="array" ref="B1966">_xlfn.XLOOKUP(C1966, INDEX([1]!카테고리매핑,,2), INDEX([1]!카테고리매핑,,1), "미등록 카테고리")</f>
        <v>간식류</v>
      </c>
      <c r="C1966" t="s">
        <v>15</v>
      </c>
      <c r="D1966" t="str">
        <f>VLOOKUP(C1966, '[1]VLOOKUP 함수용 카테고리'!$A$1:$B$59, 2, 0)</f>
        <v>BAKERY</v>
      </c>
      <c r="E1966" t="s">
        <v>53</v>
      </c>
      <c r="F1966" t="s">
        <v>7819</v>
      </c>
    </row>
    <row r="1967" spans="1:6" x14ac:dyDescent="0.3">
      <c r="A1967" t="s">
        <v>3508</v>
      </c>
      <c r="B1967" t="str" cm="1">
        <f t="array" ref="B1967">_xlfn.XLOOKUP(C1967, INDEX([1]!카테고리매핑,,2), INDEX([1]!카테고리매핑,,1), "미등록 카테고리")</f>
        <v>간편식</v>
      </c>
      <c r="C1967" t="s">
        <v>256</v>
      </c>
      <c r="D1967" t="str">
        <f>VLOOKUP(C1967, '[1]VLOOKUP 함수용 카테고리'!$A$1:$B$59, 2, 0)</f>
        <v>RTC_MEAL</v>
      </c>
      <c r="E1967" t="s">
        <v>256</v>
      </c>
      <c r="F1967" t="s">
        <v>246</v>
      </c>
    </row>
    <row r="1968" spans="1:6" x14ac:dyDescent="0.3">
      <c r="A1968" t="s">
        <v>3509</v>
      </c>
      <c r="B1968" t="str" cm="1">
        <f t="array" ref="B1968">_xlfn.XLOOKUP(C1968, INDEX([1]!카테고리매핑,,2), INDEX([1]!카테고리매핑,,1), "미등록 카테고리")</f>
        <v>채소/곡물류</v>
      </c>
      <c r="C1968" t="s">
        <v>7</v>
      </c>
      <c r="D1968" t="str">
        <f>VLOOKUP(C1968, '[1]VLOOKUP 함수용 카테고리'!$A$1:$B$59, 2, 0)</f>
        <v>RAW_PRODUCE</v>
      </c>
      <c r="E1968" t="s">
        <v>1177</v>
      </c>
      <c r="F1968" t="s">
        <v>406</v>
      </c>
    </row>
    <row r="1969" spans="1:6" x14ac:dyDescent="0.3">
      <c r="A1969" t="s">
        <v>3510</v>
      </c>
      <c r="B1969" t="str" cm="1">
        <f t="array" ref="B1969">_xlfn.XLOOKUP(C1969, INDEX([1]!카테고리매핑,,2), INDEX([1]!카테고리매핑,,1), "미등록 카테고리")</f>
        <v>채소/곡물류</v>
      </c>
      <c r="C1969" t="s">
        <v>7</v>
      </c>
      <c r="D1969" t="str">
        <f>VLOOKUP(C1969, '[1]VLOOKUP 함수용 카테고리'!$A$1:$B$59, 2, 0)</f>
        <v>RAW_PRODUCE</v>
      </c>
      <c r="E1969" t="s">
        <v>1177</v>
      </c>
      <c r="F1969" t="s">
        <v>406</v>
      </c>
    </row>
    <row r="1970" spans="1:6" x14ac:dyDescent="0.3">
      <c r="A1970" t="s">
        <v>3511</v>
      </c>
      <c r="B1970" t="str" cm="1">
        <f t="array" ref="B1970">_xlfn.XLOOKUP(C1970, INDEX([1]!카테고리매핑,,2), INDEX([1]!카테고리매핑,,1), "미등록 카테고리")</f>
        <v>간식류</v>
      </c>
      <c r="C1970" t="s">
        <v>63</v>
      </c>
      <c r="D1970" t="str">
        <f>VLOOKUP(C1970, '[1]VLOOKUP 함수용 카테고리'!$A$1:$B$59, 2, 0)</f>
        <v>BAKERY</v>
      </c>
      <c r="E1970" t="s">
        <v>3512</v>
      </c>
      <c r="F1970" t="s">
        <v>3513</v>
      </c>
    </row>
    <row r="1971" spans="1:6" x14ac:dyDescent="0.3">
      <c r="A1971" t="s">
        <v>3514</v>
      </c>
      <c r="B1971" t="str" cm="1">
        <f t="array" ref="B1971">_xlfn.XLOOKUP(C1971, INDEX([1]!카테고리매핑,,2), INDEX([1]!카테고리매핑,,1), "미등록 카테고리")</f>
        <v>수산물</v>
      </c>
      <c r="C1971" t="s">
        <v>263</v>
      </c>
      <c r="D1971" t="str">
        <f>VLOOKUP(C1971, '[1]VLOOKUP 함수용 카테고리'!$A$1:$B$59, 2, 0)</f>
        <v>RAW_SEAFOOD</v>
      </c>
      <c r="E1971" t="s">
        <v>264</v>
      </c>
    </row>
    <row r="1972" spans="1:6" x14ac:dyDescent="0.3">
      <c r="A1972" t="s">
        <v>3515</v>
      </c>
      <c r="B1972" t="str" cm="1">
        <f t="array" ref="B1972">_xlfn.XLOOKUP(C1972, INDEX([1]!카테고리매핑,,2), INDEX([1]!카테고리매핑,,1), "미등록 카테고리")</f>
        <v>간식류</v>
      </c>
      <c r="C1972" t="s">
        <v>38</v>
      </c>
      <c r="D1972" t="str">
        <f>VLOOKUP(C1972, '[1]VLOOKUP 함수용 카테고리'!$A$1:$B$59, 2, 0)</f>
        <v>SNACK</v>
      </c>
      <c r="E1972" t="s">
        <v>2017</v>
      </c>
      <c r="F1972" t="s">
        <v>734</v>
      </c>
    </row>
    <row r="1973" spans="1:6" x14ac:dyDescent="0.3">
      <c r="A1973" t="s">
        <v>3516</v>
      </c>
      <c r="B1973" t="str" cm="1">
        <f t="array" ref="B1973">_xlfn.XLOOKUP(C1973, INDEX([1]!카테고리매핑,,2), INDEX([1]!카테고리매핑,,1), "미등록 카테고리")</f>
        <v>술</v>
      </c>
      <c r="C1973" t="s">
        <v>42</v>
      </c>
      <c r="D1973" t="str">
        <f>VLOOKUP(C1973, '[1]VLOOKUP 함수용 카테고리'!$A$1:$B$59, 2, 0)</f>
        <v>ALCOHOL</v>
      </c>
      <c r="E1973" t="s">
        <v>43</v>
      </c>
    </row>
    <row r="1974" spans="1:6" x14ac:dyDescent="0.3">
      <c r="A1974" t="s">
        <v>3517</v>
      </c>
      <c r="B1974" t="str" cm="1">
        <f t="array" ref="B1974">_xlfn.XLOOKUP(C1974, INDEX([1]!카테고리매핑,,2), INDEX([1]!카테고리매핑,,1), "미등록 카테고리")</f>
        <v>간편식</v>
      </c>
      <c r="C1974" t="s">
        <v>46</v>
      </c>
      <c r="D1974" t="str">
        <f>VLOOKUP(C1974, '[1]VLOOKUP 함수용 카테고리'!$A$1:$B$59, 2, 0)</f>
        <v>RTC_MEAL</v>
      </c>
      <c r="E1974" t="s">
        <v>46</v>
      </c>
      <c r="F1974" t="s">
        <v>7820</v>
      </c>
    </row>
    <row r="1975" spans="1:6" x14ac:dyDescent="0.3">
      <c r="A1975" t="s">
        <v>3518</v>
      </c>
      <c r="B1975" t="str" cm="1">
        <f t="array" ref="B1975">_xlfn.XLOOKUP(C1975, INDEX([1]!카테고리매핑,,2), INDEX([1]!카테고리매핑,,1), "미등록 카테고리")</f>
        <v>채소/곡물류</v>
      </c>
      <c r="C1975" t="s">
        <v>207</v>
      </c>
      <c r="D1975" t="str">
        <f>VLOOKUP(C1975, '[1]VLOOKUP 함수용 카테고리'!$A$1:$B$59, 2, 0)</f>
        <v>GRAIN</v>
      </c>
      <c r="E1975" t="s">
        <v>3049</v>
      </c>
      <c r="F1975" t="s">
        <v>136</v>
      </c>
    </row>
    <row r="1976" spans="1:6" x14ac:dyDescent="0.3">
      <c r="A1976" t="s">
        <v>3519</v>
      </c>
      <c r="B1976" t="str" cm="1">
        <f t="array" ref="B1976">_xlfn.XLOOKUP(C1976, INDEX([1]!카테고리매핑,,2), INDEX([1]!카테고리매핑,,1), "미등록 카테고리")</f>
        <v>상온식품</v>
      </c>
      <c r="C1976" t="s">
        <v>1104</v>
      </c>
      <c r="D1976" t="str">
        <f>VLOOKUP(C1976, '[1]VLOOKUP 함수용 카테고리'!$A$1:$B$59, 2, 0)</f>
        <v>CANNED</v>
      </c>
      <c r="E1976" t="s">
        <v>1105</v>
      </c>
      <c r="F1976" t="s">
        <v>246</v>
      </c>
    </row>
    <row r="1977" spans="1:6" x14ac:dyDescent="0.3">
      <c r="A1977" t="s">
        <v>3520</v>
      </c>
      <c r="B1977" t="str" cm="1">
        <f t="array" ref="B1977">_xlfn.XLOOKUP(C1977, INDEX([1]!카테고리매핑,,2), INDEX([1]!카테고리매핑,,1), "미등록 카테고리")</f>
        <v>음료</v>
      </c>
      <c r="C1977" t="s">
        <v>708</v>
      </c>
      <c r="D1977" t="str">
        <f>VLOOKUP(C1977, '[1]VLOOKUP 함수용 카테고리'!$A$1:$B$59, 2, 0)</f>
        <v>BEVERAGE</v>
      </c>
      <c r="E1977" t="s">
        <v>708</v>
      </c>
      <c r="F1977" t="s">
        <v>991</v>
      </c>
    </row>
    <row r="1978" spans="1:6" x14ac:dyDescent="0.3">
      <c r="A1978" t="s">
        <v>3521</v>
      </c>
      <c r="B1978" t="str" cm="1">
        <f t="array" ref="B1978">_xlfn.XLOOKUP(C1978, INDEX([1]!카테고리매핑,,2), INDEX([1]!카테고리매핑,,1), "미등록 카테고리")</f>
        <v>유제품</v>
      </c>
      <c r="C1978" t="s">
        <v>432</v>
      </c>
      <c r="D1978" t="str">
        <f>VLOOKUP(C1978, '[1]VLOOKUP 함수용 카테고리'!$A$1:$B$59, 2, 0)</f>
        <v>DAIRY</v>
      </c>
      <c r="E1978" t="s">
        <v>549</v>
      </c>
      <c r="F1978" t="s">
        <v>623</v>
      </c>
    </row>
    <row r="1979" spans="1:6" x14ac:dyDescent="0.3">
      <c r="A1979" t="s">
        <v>3522</v>
      </c>
      <c r="B1979" t="str" cm="1">
        <f t="array" ref="B1979">_xlfn.XLOOKUP(C1979, INDEX([1]!카테고리매핑,,2), INDEX([1]!카테고리매핑,,1), "미등록 카테고리")</f>
        <v>유제품</v>
      </c>
      <c r="C1979" t="s">
        <v>98</v>
      </c>
      <c r="D1979" t="str">
        <f>VLOOKUP(C1979, '[1]VLOOKUP 함수용 카테고리'!$A$1:$B$59, 2, 0)</f>
        <v>DAIRY</v>
      </c>
      <c r="E1979" t="s">
        <v>3523</v>
      </c>
      <c r="F1979" t="s">
        <v>3524</v>
      </c>
    </row>
    <row r="1980" spans="1:6" x14ac:dyDescent="0.3">
      <c r="A1980" t="s">
        <v>3525</v>
      </c>
      <c r="B1980" t="str" cm="1">
        <f t="array" ref="B1980">_xlfn.XLOOKUP(C1980, INDEX([1]!카테고리매핑,,2), INDEX([1]!카테고리매핑,,1), "미등록 카테고리")</f>
        <v>수산물</v>
      </c>
      <c r="C1980" t="s">
        <v>140</v>
      </c>
      <c r="D1980" t="str">
        <f>VLOOKUP(C1980, '[1]VLOOKUP 함수용 카테고리'!$A$1:$B$59, 2, 0)</f>
        <v>SIMPLE_PROCESSED</v>
      </c>
      <c r="E1980" t="s">
        <v>141</v>
      </c>
      <c r="F1980" t="s">
        <v>1244</v>
      </c>
    </row>
    <row r="1981" spans="1:6" x14ac:dyDescent="0.3">
      <c r="A1981" t="s">
        <v>3526</v>
      </c>
      <c r="B1981" t="str" cm="1">
        <f t="array" ref="B1981">_xlfn.XLOOKUP(C1981, INDEX([1]!카테고리매핑,,2), INDEX([1]!카테고리매핑,,1), "미등록 카테고리")</f>
        <v>유제품</v>
      </c>
      <c r="C1981" t="s">
        <v>98</v>
      </c>
      <c r="D1981" t="str">
        <f>VLOOKUP(C1981, '[1]VLOOKUP 함수용 카테고리'!$A$1:$B$59, 2, 0)</f>
        <v>DAIRY</v>
      </c>
      <c r="E1981" t="s">
        <v>3527</v>
      </c>
      <c r="F1981" t="s">
        <v>3528</v>
      </c>
    </row>
    <row r="1982" spans="1:6" x14ac:dyDescent="0.3">
      <c r="A1982" t="s">
        <v>3529</v>
      </c>
      <c r="B1982" t="str" cm="1">
        <f t="array" ref="B1982">_xlfn.XLOOKUP(C1982, INDEX([1]!카테고리매핑,,2), INDEX([1]!카테고리매핑,,1), "미등록 카테고리")</f>
        <v>채소/곡물류</v>
      </c>
      <c r="C1982" t="s">
        <v>7</v>
      </c>
      <c r="D1982" t="str">
        <f>VLOOKUP(C1982, '[1]VLOOKUP 함수용 카테고리'!$A$1:$B$59, 2, 0)</f>
        <v>RAW_PRODUCE</v>
      </c>
      <c r="E1982" t="s">
        <v>405</v>
      </c>
    </row>
    <row r="1983" spans="1:6" x14ac:dyDescent="0.3">
      <c r="A1983" t="s">
        <v>3530</v>
      </c>
      <c r="B1983" t="str" cm="1">
        <f t="array" ref="B1983">_xlfn.XLOOKUP(C1983, INDEX([1]!카테고리매핑,,2), INDEX([1]!카테고리매핑,,1), "미등록 카테고리")</f>
        <v>채소/곡물류</v>
      </c>
      <c r="C1983" t="s">
        <v>7</v>
      </c>
      <c r="D1983" t="str">
        <f>VLOOKUP(C1983, '[1]VLOOKUP 함수용 카테고리'!$A$1:$B$59, 2, 0)</f>
        <v>RAW_PRODUCE</v>
      </c>
      <c r="E1983" t="s">
        <v>3531</v>
      </c>
      <c r="F1983" t="s">
        <v>3532</v>
      </c>
    </row>
    <row r="1984" spans="1:6" x14ac:dyDescent="0.3">
      <c r="A1984" t="s">
        <v>3533</v>
      </c>
      <c r="B1984" t="str" cm="1">
        <f t="array" ref="B1984">_xlfn.XLOOKUP(C1984, INDEX([1]!카테고리매핑,,2), INDEX([1]!카테고리매핑,,1), "미등록 카테고리")</f>
        <v>수산물</v>
      </c>
      <c r="C1984" t="s">
        <v>140</v>
      </c>
      <c r="D1984" t="str">
        <f>VLOOKUP(C1984, '[1]VLOOKUP 함수용 카테고리'!$A$1:$B$59, 2, 0)</f>
        <v>SIMPLE_PROCESSED</v>
      </c>
      <c r="E1984" t="s">
        <v>141</v>
      </c>
      <c r="F1984" t="s">
        <v>1244</v>
      </c>
    </row>
    <row r="1985" spans="1:6" x14ac:dyDescent="0.3">
      <c r="A1985" t="s">
        <v>3534</v>
      </c>
      <c r="B1985" t="str" cm="1">
        <f t="array" ref="B1985">_xlfn.XLOOKUP(C1985, INDEX([1]!카테고리매핑,,2), INDEX([1]!카테고리매핑,,1), "미등록 카테고리")</f>
        <v>음료</v>
      </c>
      <c r="C1985" t="s">
        <v>23</v>
      </c>
      <c r="D1985" t="str">
        <f>VLOOKUP(C1985, '[1]VLOOKUP 함수용 카테고리'!$A$1:$B$59, 2, 0)</f>
        <v>BEVERAGE</v>
      </c>
      <c r="E1985" t="s">
        <v>2051</v>
      </c>
      <c r="F1985" t="s">
        <v>3535</v>
      </c>
    </row>
    <row r="1986" spans="1:6" x14ac:dyDescent="0.3">
      <c r="A1986" t="s">
        <v>3536</v>
      </c>
      <c r="B1986" t="str" cm="1">
        <f t="array" ref="B1986">_xlfn.XLOOKUP(C1986, INDEX([1]!카테고리매핑,,2), INDEX([1]!카테고리매핑,,1), "미등록 카테고리")</f>
        <v>간식류</v>
      </c>
      <c r="C1986" t="s">
        <v>15</v>
      </c>
      <c r="D1986" t="str">
        <f>VLOOKUP(C1986, '[1]VLOOKUP 함수용 카테고리'!$A$1:$B$59, 2, 0)</f>
        <v>BAKERY</v>
      </c>
      <c r="E1986" t="s">
        <v>53</v>
      </c>
      <c r="F1986" t="s">
        <v>7821</v>
      </c>
    </row>
    <row r="1987" spans="1:6" x14ac:dyDescent="0.3">
      <c r="A1987" t="s">
        <v>3537</v>
      </c>
      <c r="B1987" t="str" cm="1">
        <f t="array" ref="B1987">_xlfn.XLOOKUP(C1987, INDEX([1]!카테고리매핑,,2), INDEX([1]!카테고리매핑,,1), "미등록 카테고리")</f>
        <v>간편식</v>
      </c>
      <c r="C1987" t="s">
        <v>131</v>
      </c>
      <c r="D1987" t="str">
        <f>VLOOKUP(C1987, '[1]VLOOKUP 함수용 카테고리'!$A$1:$B$59, 2, 0)</f>
        <v>SIMPLE_PROCESSED</v>
      </c>
      <c r="E1987" t="s">
        <v>3538</v>
      </c>
      <c r="F1987" t="s">
        <v>72</v>
      </c>
    </row>
    <row r="1988" spans="1:6" x14ac:dyDescent="0.3">
      <c r="A1988" t="s">
        <v>3539</v>
      </c>
      <c r="B1988" t="str" cm="1">
        <f t="array" ref="B1988">_xlfn.XLOOKUP(C1988, INDEX([1]!카테고리매핑,,2), INDEX([1]!카테고리매핑,,1), "미등록 카테고리")</f>
        <v>채소/곡물류</v>
      </c>
      <c r="C1988" t="s">
        <v>7</v>
      </c>
      <c r="D1988" t="str">
        <f>VLOOKUP(C1988, '[1]VLOOKUP 함수용 카테고리'!$A$1:$B$59, 2, 0)</f>
        <v>RAW_PRODUCE</v>
      </c>
      <c r="E1988" t="s">
        <v>1177</v>
      </c>
      <c r="F1988" t="s">
        <v>406</v>
      </c>
    </row>
    <row r="1989" spans="1:6" x14ac:dyDescent="0.3">
      <c r="A1989" t="s">
        <v>3540</v>
      </c>
      <c r="B1989" t="str" cm="1">
        <f t="array" ref="B1989">_xlfn.XLOOKUP(C1989, INDEX([1]!카테고리매핑,,2), INDEX([1]!카테고리매핑,,1), "미등록 카테고리")</f>
        <v>간편식</v>
      </c>
      <c r="C1989" t="s">
        <v>19</v>
      </c>
      <c r="D1989" t="str">
        <f>VLOOKUP(C1989, '[1]VLOOKUP 함수용 카테고리'!$A$1:$B$59, 2, 0)</f>
        <v>FROZEN_MEAL</v>
      </c>
      <c r="E1989" t="s">
        <v>832</v>
      </c>
      <c r="F1989" t="s">
        <v>916</v>
      </c>
    </row>
    <row r="1990" spans="1:6" x14ac:dyDescent="0.3">
      <c r="A1990" t="s">
        <v>3541</v>
      </c>
      <c r="B1990" t="str" cm="1">
        <f t="array" ref="B1990">_xlfn.XLOOKUP(C1990, INDEX([1]!카테고리매핑,,2), INDEX([1]!카테고리매핑,,1), "미등록 카테고리")</f>
        <v>음료</v>
      </c>
      <c r="C1990" t="s">
        <v>708</v>
      </c>
      <c r="D1990" t="str">
        <f>VLOOKUP(C1990, '[1]VLOOKUP 함수용 카테고리'!$A$1:$B$59, 2, 0)</f>
        <v>BEVERAGE</v>
      </c>
      <c r="E1990" t="s">
        <v>708</v>
      </c>
      <c r="F1990" t="s">
        <v>991</v>
      </c>
    </row>
    <row r="1991" spans="1:6" x14ac:dyDescent="0.3">
      <c r="A1991" t="s">
        <v>3542</v>
      </c>
      <c r="B1991" t="str" cm="1">
        <f t="array" ref="B1991">_xlfn.XLOOKUP(C1991, INDEX([1]!카테고리매핑,,2), INDEX([1]!카테고리매핑,,1), "미등록 카테고리")</f>
        <v>음료</v>
      </c>
      <c r="C1991" t="s">
        <v>584</v>
      </c>
      <c r="D1991" t="str">
        <f>VLOOKUP(C1991, '[1]VLOOKUP 함수용 카테고리'!$A$1:$B$59, 2, 0)</f>
        <v>BEVERAGE</v>
      </c>
      <c r="E1991" t="s">
        <v>1868</v>
      </c>
      <c r="F1991" t="s">
        <v>7822</v>
      </c>
    </row>
    <row r="1992" spans="1:6" x14ac:dyDescent="0.3">
      <c r="A1992" t="s">
        <v>3543</v>
      </c>
      <c r="B1992" t="str" cm="1">
        <f t="array" ref="B1992">_xlfn.XLOOKUP(C1992, INDEX([1]!카테고리매핑,,2), INDEX([1]!카테고리매핑,,1), "미등록 카테고리")</f>
        <v>조미료</v>
      </c>
      <c r="C1992" t="s">
        <v>127</v>
      </c>
      <c r="D1992" t="str">
        <f>VLOOKUP(C1992, '[1]VLOOKUP 함수용 카테고리'!$A$1:$B$59, 2, 0)</f>
        <v>SAUCE_SEASONING</v>
      </c>
      <c r="E1992" t="s">
        <v>1865</v>
      </c>
      <c r="F1992" t="s">
        <v>3544</v>
      </c>
    </row>
    <row r="1993" spans="1:6" x14ac:dyDescent="0.3">
      <c r="A1993" t="s">
        <v>3545</v>
      </c>
      <c r="B1993" t="str" cm="1">
        <f t="array" ref="B1993">_xlfn.XLOOKUP(C1993, INDEX([1]!카테고리매핑,,2), INDEX([1]!카테고리매핑,,1), "미등록 카테고리")</f>
        <v>간편식</v>
      </c>
      <c r="C1993" t="s">
        <v>158</v>
      </c>
      <c r="D1993" t="str">
        <f>VLOOKUP(C1993, '[1]VLOOKUP 함수용 카테고리'!$A$1:$B$59, 2, 0)</f>
        <v>INSTANT</v>
      </c>
      <c r="E1993" t="s">
        <v>1974</v>
      </c>
      <c r="F1993" t="s">
        <v>129</v>
      </c>
    </row>
    <row r="1994" spans="1:6" x14ac:dyDescent="0.3">
      <c r="A1994" t="s">
        <v>3546</v>
      </c>
      <c r="B1994" t="str" cm="1">
        <f t="array" ref="B1994">_xlfn.XLOOKUP(C1994, INDEX([1]!카테고리매핑,,2), INDEX([1]!카테고리매핑,,1), "미등록 카테고리")</f>
        <v>육류/계란</v>
      </c>
      <c r="C1994" t="s">
        <v>428</v>
      </c>
      <c r="D1994" t="str">
        <f>VLOOKUP(C1994, '[1]VLOOKUP 함수용 카테고리'!$A$1:$B$59, 2, 0)</f>
        <v>PROCESSED_MEAT</v>
      </c>
      <c r="E1994" t="s">
        <v>776</v>
      </c>
      <c r="F1994" t="s">
        <v>1834</v>
      </c>
    </row>
    <row r="1995" spans="1:6" x14ac:dyDescent="0.3">
      <c r="A1995" t="s">
        <v>3547</v>
      </c>
      <c r="B1995" t="str" cm="1">
        <f t="array" ref="B1995">_xlfn.XLOOKUP(C1995, INDEX([1]!카테고리매핑,,2), INDEX([1]!카테고리매핑,,1), "미등록 카테고리")</f>
        <v>간편식</v>
      </c>
      <c r="C1995" t="s">
        <v>131</v>
      </c>
      <c r="D1995" t="str">
        <f>VLOOKUP(C1995, '[1]VLOOKUP 함수용 카테고리'!$A$1:$B$59, 2, 0)</f>
        <v>SIMPLE_PROCESSED</v>
      </c>
      <c r="E1995" t="s">
        <v>1266</v>
      </c>
      <c r="F1995" t="s">
        <v>541</v>
      </c>
    </row>
    <row r="1996" spans="1:6" x14ac:dyDescent="0.3">
      <c r="A1996" t="s">
        <v>3548</v>
      </c>
      <c r="B1996" t="str" cm="1">
        <f t="array" ref="B1996">_xlfn.XLOOKUP(C1996, INDEX([1]!카테고리매핑,,2), INDEX([1]!카테고리매핑,,1), "미등록 카테고리")</f>
        <v>간식류</v>
      </c>
      <c r="C1996" t="s">
        <v>11</v>
      </c>
      <c r="D1996" t="str">
        <f>VLOOKUP(C1996, '[1]VLOOKUP 함수용 카테고리'!$A$1:$B$59, 2, 0)</f>
        <v>SNACK</v>
      </c>
      <c r="E1996" t="s">
        <v>371</v>
      </c>
      <c r="F1996" t="s">
        <v>3549</v>
      </c>
    </row>
    <row r="1997" spans="1:6" x14ac:dyDescent="0.3">
      <c r="A1997" t="s">
        <v>3550</v>
      </c>
      <c r="B1997" t="str" cm="1">
        <f t="array" ref="B1997">_xlfn.XLOOKUP(C1997, INDEX([1]!카테고리매핑,,2), INDEX([1]!카테고리매핑,,1), "미등록 카테고리")</f>
        <v>수산물</v>
      </c>
      <c r="C1997" t="s">
        <v>140</v>
      </c>
      <c r="D1997" t="str">
        <f>VLOOKUP(C1997, '[1]VLOOKUP 함수용 카테고리'!$A$1:$B$59, 2, 0)</f>
        <v>SIMPLE_PROCESSED</v>
      </c>
      <c r="E1997" t="s">
        <v>141</v>
      </c>
      <c r="F1997" t="s">
        <v>1550</v>
      </c>
    </row>
    <row r="1998" spans="1:6" x14ac:dyDescent="0.3">
      <c r="A1998" t="s">
        <v>3551</v>
      </c>
      <c r="B1998" t="str" cm="1">
        <f t="array" ref="B1998">_xlfn.XLOOKUP(C1998, INDEX([1]!카테고리매핑,,2), INDEX([1]!카테고리매핑,,1), "미등록 카테고리")</f>
        <v>간식류</v>
      </c>
      <c r="C1998" t="s">
        <v>38</v>
      </c>
      <c r="D1998" t="str">
        <f>VLOOKUP(C1998, '[1]VLOOKUP 함수용 카테고리'!$A$1:$B$59, 2, 0)</f>
        <v>SNACK</v>
      </c>
      <c r="E1998" t="s">
        <v>39</v>
      </c>
      <c r="F1998" t="s">
        <v>892</v>
      </c>
    </row>
    <row r="1999" spans="1:6" x14ac:dyDescent="0.3">
      <c r="A1999" t="s">
        <v>3552</v>
      </c>
      <c r="B1999" t="str" cm="1">
        <f t="array" ref="B1999">_xlfn.XLOOKUP(C1999, INDEX([1]!카테고리매핑,,2), INDEX([1]!카테고리매핑,,1), "미등록 카테고리")</f>
        <v>간편식</v>
      </c>
      <c r="C1999" t="s">
        <v>131</v>
      </c>
      <c r="D1999" t="str">
        <f>VLOOKUP(C1999, '[1]VLOOKUP 함수용 카테고리'!$A$1:$B$59, 2, 0)</f>
        <v>SIMPLE_PROCESSED</v>
      </c>
      <c r="E1999" t="s">
        <v>3553</v>
      </c>
      <c r="F1999" t="s">
        <v>156</v>
      </c>
    </row>
    <row r="2000" spans="1:6" x14ac:dyDescent="0.3">
      <c r="A2000" t="s">
        <v>3554</v>
      </c>
      <c r="B2000" t="str" cm="1">
        <f t="array" ref="B2000">_xlfn.XLOOKUP(C2000, INDEX([1]!카테고리매핑,,2), INDEX([1]!카테고리매핑,,1), "미등록 카테고리")</f>
        <v>간식류</v>
      </c>
      <c r="C2000" t="s">
        <v>63</v>
      </c>
      <c r="D2000" t="str">
        <f>VLOOKUP(C2000, '[1]VLOOKUP 함수용 카테고리'!$A$1:$B$59, 2, 0)</f>
        <v>BAKERY</v>
      </c>
      <c r="E2000" t="s">
        <v>2040</v>
      </c>
      <c r="F2000" t="s">
        <v>3555</v>
      </c>
    </row>
    <row r="2001" spans="1:6" x14ac:dyDescent="0.3">
      <c r="A2001" t="s">
        <v>3556</v>
      </c>
      <c r="B2001" t="str" cm="1">
        <f t="array" ref="B2001">_xlfn.XLOOKUP(C2001, INDEX([1]!카테고리매핑,,2), INDEX([1]!카테고리매핑,,1), "미등록 카테고리")</f>
        <v>과일/견과류</v>
      </c>
      <c r="C2001" t="s">
        <v>654</v>
      </c>
      <c r="D2001" t="str">
        <f>VLOOKUP(C2001, '[1]VLOOKUP 함수용 카테고리'!$A$1:$B$59, 2, 0)</f>
        <v>RAW_FRUIT</v>
      </c>
      <c r="E2001" t="s">
        <v>681</v>
      </c>
      <c r="F2001" t="s">
        <v>2182</v>
      </c>
    </row>
    <row r="2002" spans="1:6" x14ac:dyDescent="0.3">
      <c r="A2002" t="s">
        <v>3557</v>
      </c>
      <c r="B2002" t="str" cm="1">
        <f t="array" ref="B2002">_xlfn.XLOOKUP(C2002, INDEX([1]!카테고리매핑,,2), INDEX([1]!카테고리매핑,,1), "미등록 카테고리")</f>
        <v>조미료</v>
      </c>
      <c r="C2002" t="s">
        <v>127</v>
      </c>
      <c r="D2002" t="str">
        <f>VLOOKUP(C2002, '[1]VLOOKUP 함수용 카테고리'!$A$1:$B$59, 2, 0)</f>
        <v>SAUCE_SEASONING</v>
      </c>
      <c r="E2002" t="s">
        <v>2106</v>
      </c>
      <c r="F2002" t="s">
        <v>129</v>
      </c>
    </row>
    <row r="2003" spans="1:6" x14ac:dyDescent="0.3">
      <c r="A2003" t="s">
        <v>3558</v>
      </c>
      <c r="B2003" t="str" cm="1">
        <f t="array" ref="B2003">_xlfn.XLOOKUP(C2003, INDEX([1]!카테고리매핑,,2), INDEX([1]!카테고리매핑,,1), "미등록 카테고리")</f>
        <v>수산물</v>
      </c>
      <c r="C2003" t="s">
        <v>1397</v>
      </c>
      <c r="D2003" t="str">
        <f>VLOOKUP(C2003, '[1]VLOOKUP 함수용 카테고리'!$A$1:$B$59, 2, 0)</f>
        <v>RAW_SEAFOOD</v>
      </c>
      <c r="E2003" t="s">
        <v>3559</v>
      </c>
      <c r="F2003" t="s">
        <v>3560</v>
      </c>
    </row>
    <row r="2004" spans="1:6" x14ac:dyDescent="0.3">
      <c r="A2004" t="s">
        <v>3561</v>
      </c>
      <c r="B2004" t="str" cm="1">
        <f t="array" ref="B2004">_xlfn.XLOOKUP(C2004, INDEX([1]!카테고리매핑,,2), INDEX([1]!카테고리매핑,,1), "미등록 카테고리")</f>
        <v>조미료</v>
      </c>
      <c r="C2004" t="s">
        <v>127</v>
      </c>
      <c r="D2004" t="str">
        <f>VLOOKUP(C2004, '[1]VLOOKUP 함수용 카테고리'!$A$1:$B$59, 2, 0)</f>
        <v>SAUCE_SEASONING</v>
      </c>
      <c r="E2004" t="s">
        <v>989</v>
      </c>
      <c r="F2004" t="s">
        <v>3562</v>
      </c>
    </row>
    <row r="2005" spans="1:6" x14ac:dyDescent="0.3">
      <c r="A2005" t="s">
        <v>3563</v>
      </c>
      <c r="B2005" t="str" cm="1">
        <f t="array" ref="B2005">_xlfn.XLOOKUP(C2005, INDEX([1]!카테고리매핑,,2), INDEX([1]!카테고리매핑,,1), "미등록 카테고리")</f>
        <v>간편식</v>
      </c>
      <c r="C2005" t="s">
        <v>256</v>
      </c>
      <c r="D2005" t="str">
        <f>VLOOKUP(C2005, '[1]VLOOKUP 함수용 카테고리'!$A$1:$B$59, 2, 0)</f>
        <v>RTC_MEAL</v>
      </c>
      <c r="E2005" t="s">
        <v>256</v>
      </c>
      <c r="F2005" t="s">
        <v>3564</v>
      </c>
    </row>
    <row r="2006" spans="1:6" x14ac:dyDescent="0.3">
      <c r="A2006" t="s">
        <v>3565</v>
      </c>
      <c r="B2006" t="str" cm="1">
        <f t="array" ref="B2006">_xlfn.XLOOKUP(C2006, INDEX([1]!카테고리매핑,,2), INDEX([1]!카테고리매핑,,1), "미등록 카테고리")</f>
        <v>상온식품</v>
      </c>
      <c r="C2006" t="s">
        <v>769</v>
      </c>
      <c r="D2006" t="str">
        <f>VLOOKUP(C2006, '[1]VLOOKUP 함수용 카테고리'!$A$1:$B$59, 2, 0)</f>
        <v>GRAIN</v>
      </c>
      <c r="E2006" t="s">
        <v>770</v>
      </c>
      <c r="F2006" t="s">
        <v>3566</v>
      </c>
    </row>
    <row r="2007" spans="1:6" x14ac:dyDescent="0.3">
      <c r="A2007" t="s">
        <v>3567</v>
      </c>
      <c r="B2007" t="str" cm="1">
        <f t="array" ref="B2007">_xlfn.XLOOKUP(C2007, INDEX([1]!카테고리매핑,,2), INDEX([1]!카테고리매핑,,1), "미등록 카테고리")</f>
        <v>채소/곡물류</v>
      </c>
      <c r="C2007" t="s">
        <v>301</v>
      </c>
      <c r="D2007" t="str">
        <f>VLOOKUP(C2007, '[1]VLOOKUP 함수용 카테고리'!$A$1:$B$59, 2, 0)</f>
        <v>GRAIN</v>
      </c>
      <c r="E2007" t="s">
        <v>1737</v>
      </c>
      <c r="F2007" t="s">
        <v>3568</v>
      </c>
    </row>
    <row r="2008" spans="1:6" x14ac:dyDescent="0.3">
      <c r="A2008" t="s">
        <v>3569</v>
      </c>
      <c r="B2008" t="str" cm="1">
        <f t="array" ref="B2008">_xlfn.XLOOKUP(C2008, INDEX([1]!카테고리매핑,,2), INDEX([1]!카테고리매핑,,1), "미등록 카테고리")</f>
        <v>조미료</v>
      </c>
      <c r="C2008" t="s">
        <v>127</v>
      </c>
      <c r="D2008" t="str">
        <f>VLOOKUP(C2008, '[1]VLOOKUP 함수용 카테고리'!$A$1:$B$59, 2, 0)</f>
        <v>SAUCE_SEASONING</v>
      </c>
      <c r="E2008" t="s">
        <v>1941</v>
      </c>
      <c r="F2008" t="s">
        <v>3570</v>
      </c>
    </row>
    <row r="2009" spans="1:6" x14ac:dyDescent="0.3">
      <c r="A2009" t="s">
        <v>3571</v>
      </c>
      <c r="B2009" t="str" cm="1">
        <f t="array" ref="B2009">_xlfn.XLOOKUP(C2009, INDEX([1]!카테고리매핑,,2), INDEX([1]!카테고리매핑,,1), "미등록 카테고리")</f>
        <v>육류/계란</v>
      </c>
      <c r="C2009" t="s">
        <v>149</v>
      </c>
      <c r="D2009" t="str">
        <f>VLOOKUP(C2009, '[1]VLOOKUP 함수용 카테고리'!$A$1:$B$59, 2, 0)</f>
        <v>RAW_MEAT</v>
      </c>
      <c r="E2009" t="s">
        <v>1647</v>
      </c>
      <c r="F2009" t="s">
        <v>7766</v>
      </c>
    </row>
    <row r="2010" spans="1:6" x14ac:dyDescent="0.3">
      <c r="A2010" t="s">
        <v>3572</v>
      </c>
      <c r="B2010" t="str" cm="1">
        <f t="array" ref="B2010">_xlfn.XLOOKUP(C2010, INDEX([1]!카테고리매핑,,2), INDEX([1]!카테고리매핑,,1), "미등록 카테고리")</f>
        <v>육류/계란</v>
      </c>
      <c r="C2010" t="s">
        <v>34</v>
      </c>
      <c r="D2010" t="str">
        <f>VLOOKUP(C2010, '[1]VLOOKUP 함수용 카테고리'!$A$1:$B$59, 2, 0)</f>
        <v>RAW_MEAT</v>
      </c>
      <c r="E2010" t="s">
        <v>3573</v>
      </c>
      <c r="F2010" t="s">
        <v>1141</v>
      </c>
    </row>
    <row r="2011" spans="1:6" x14ac:dyDescent="0.3">
      <c r="A2011" t="s">
        <v>3574</v>
      </c>
      <c r="B2011" t="str" cm="1">
        <f t="array" ref="B2011">_xlfn.XLOOKUP(C2011, INDEX([1]!카테고리매핑,,2), INDEX([1]!카테고리매핑,,1), "미등록 카테고리")</f>
        <v>육류/계란</v>
      </c>
      <c r="C2011" t="s">
        <v>298</v>
      </c>
      <c r="D2011" t="str">
        <f>VLOOKUP(C2011, '[1]VLOOKUP 함수용 카테고리'!$A$1:$B$59, 2, 0)</f>
        <v>RAW_MEAT</v>
      </c>
      <c r="E2011" t="s">
        <v>298</v>
      </c>
      <c r="F2011" t="s">
        <v>72</v>
      </c>
    </row>
    <row r="2012" spans="1:6" x14ac:dyDescent="0.3">
      <c r="A2012" t="s">
        <v>3575</v>
      </c>
      <c r="B2012" t="str" cm="1">
        <f t="array" ref="B2012">_xlfn.XLOOKUP(C2012, INDEX([1]!카테고리매핑,,2), INDEX([1]!카테고리매핑,,1), "미등록 카테고리")</f>
        <v>미등록 카테고리</v>
      </c>
      <c r="C2012" t="s">
        <v>334</v>
      </c>
      <c r="D2012" t="str">
        <f>VLOOKUP(C2012, '[1]VLOOKUP 함수용 카테고리'!$A$1:$B$59, 2, 0)</f>
        <v>UNKNOWN</v>
      </c>
      <c r="E2012" t="s">
        <v>334</v>
      </c>
      <c r="F2012" t="s">
        <v>3377</v>
      </c>
    </row>
    <row r="2013" spans="1:6" x14ac:dyDescent="0.3">
      <c r="A2013" t="s">
        <v>3576</v>
      </c>
      <c r="B2013" t="str" cm="1">
        <f t="array" ref="B2013">_xlfn.XLOOKUP(C2013, INDEX([1]!카테고리매핑,,2), INDEX([1]!카테고리매핑,,1), "미등록 카테고리")</f>
        <v>채소/곡물류</v>
      </c>
      <c r="C2013" t="s">
        <v>7</v>
      </c>
      <c r="D2013" t="str">
        <f>VLOOKUP(C2013, '[1]VLOOKUP 함수용 카테고리'!$A$1:$B$59, 2, 0)</f>
        <v>RAW_PRODUCE</v>
      </c>
      <c r="E2013" t="s">
        <v>1177</v>
      </c>
      <c r="F2013" t="s">
        <v>3577</v>
      </c>
    </row>
    <row r="2014" spans="1:6" x14ac:dyDescent="0.3">
      <c r="A2014" t="s">
        <v>3578</v>
      </c>
      <c r="B2014" t="str" cm="1">
        <f t="array" ref="B2014">_xlfn.XLOOKUP(C2014, INDEX([1]!카테고리매핑,,2), INDEX([1]!카테고리매핑,,1), "미등록 카테고리")</f>
        <v>수산물</v>
      </c>
      <c r="C2014" t="s">
        <v>101</v>
      </c>
      <c r="D2014" t="str">
        <f>VLOOKUP(C2014, '[1]VLOOKUP 함수용 카테고리'!$A$1:$B$59, 2, 0)</f>
        <v>DRIED_SEAFOOD</v>
      </c>
      <c r="E2014" t="s">
        <v>693</v>
      </c>
    </row>
    <row r="2015" spans="1:6" x14ac:dyDescent="0.3">
      <c r="A2015" t="s">
        <v>3579</v>
      </c>
      <c r="B2015" t="str" cm="1">
        <f t="array" ref="B2015">_xlfn.XLOOKUP(C2015, INDEX([1]!카테고리매핑,,2), INDEX([1]!카테고리매핑,,1), "미등록 카테고리")</f>
        <v>유제품</v>
      </c>
      <c r="C2015" t="s">
        <v>123</v>
      </c>
      <c r="D2015" t="str">
        <f>VLOOKUP(C2015, '[1]VLOOKUP 함수용 카테고리'!$A$1:$B$59, 2, 0)</f>
        <v>DAIRY</v>
      </c>
      <c r="E2015" t="s">
        <v>190</v>
      </c>
      <c r="F2015" t="s">
        <v>475</v>
      </c>
    </row>
    <row r="2016" spans="1:6" x14ac:dyDescent="0.3">
      <c r="A2016" t="s">
        <v>3580</v>
      </c>
      <c r="B2016" t="str" cm="1">
        <f t="array" ref="B2016">_xlfn.XLOOKUP(C2016, INDEX([1]!카테고리매핑,,2), INDEX([1]!카테고리매핑,,1), "미등록 카테고리")</f>
        <v>채소/곡물류</v>
      </c>
      <c r="C2016" t="s">
        <v>7</v>
      </c>
      <c r="D2016" t="str">
        <f>VLOOKUP(C2016, '[1]VLOOKUP 함수용 카테고리'!$A$1:$B$59, 2, 0)</f>
        <v>RAW_PRODUCE</v>
      </c>
      <c r="E2016" t="s">
        <v>3129</v>
      </c>
      <c r="F2016" t="s">
        <v>941</v>
      </c>
    </row>
    <row r="2017" spans="1:6" x14ac:dyDescent="0.3">
      <c r="A2017" t="s">
        <v>3581</v>
      </c>
      <c r="B2017" t="str" cm="1">
        <f t="array" ref="B2017">_xlfn.XLOOKUP(C2017, INDEX([1]!카테고리매핑,,2), INDEX([1]!카테고리매핑,,1), "미등록 카테고리")</f>
        <v>간식류</v>
      </c>
      <c r="C2017" t="s">
        <v>11</v>
      </c>
      <c r="D2017" t="str">
        <f>VLOOKUP(C2017, '[1]VLOOKUP 함수용 카테고리'!$A$1:$B$59, 2, 0)</f>
        <v>SNACK</v>
      </c>
      <c r="E2017" t="s">
        <v>3582</v>
      </c>
      <c r="F2017" t="s">
        <v>3583</v>
      </c>
    </row>
    <row r="2018" spans="1:6" x14ac:dyDescent="0.3">
      <c r="A2018" t="s">
        <v>3584</v>
      </c>
      <c r="B2018" t="str" cm="1">
        <f t="array" ref="B2018">_xlfn.XLOOKUP(C2018, INDEX([1]!카테고리매핑,,2), INDEX([1]!카테고리매핑,,1), "미등록 카테고리")</f>
        <v>유제품</v>
      </c>
      <c r="C2018" t="s">
        <v>211</v>
      </c>
      <c r="D2018" t="str">
        <f>VLOOKUP(C2018, '[1]VLOOKUP 함수용 카테고리'!$A$1:$B$59, 2, 0)</f>
        <v>DAIRY</v>
      </c>
      <c r="E2018" t="s">
        <v>211</v>
      </c>
      <c r="F2018" t="s">
        <v>372</v>
      </c>
    </row>
    <row r="2019" spans="1:6" x14ac:dyDescent="0.3">
      <c r="A2019" t="s">
        <v>3585</v>
      </c>
      <c r="B2019" t="str" cm="1">
        <f t="array" ref="B2019">_xlfn.XLOOKUP(C2019, INDEX([1]!카테고리매핑,,2), INDEX([1]!카테고리매핑,,1), "미등록 카테고리")</f>
        <v>음료</v>
      </c>
      <c r="C2019" t="s">
        <v>23</v>
      </c>
      <c r="D2019" t="str">
        <f>VLOOKUP(C2019, '[1]VLOOKUP 함수용 카테고리'!$A$1:$B$59, 2, 0)</f>
        <v>BEVERAGE</v>
      </c>
      <c r="E2019" t="s">
        <v>3586</v>
      </c>
      <c r="F2019" t="s">
        <v>3587</v>
      </c>
    </row>
    <row r="2020" spans="1:6" x14ac:dyDescent="0.3">
      <c r="A2020" t="s">
        <v>3588</v>
      </c>
      <c r="B2020" t="str" cm="1">
        <f t="array" ref="B2020">_xlfn.XLOOKUP(C2020, INDEX([1]!카테고리매핑,,2), INDEX([1]!카테고리매핑,,1), "미등록 카테고리")</f>
        <v>간편식</v>
      </c>
      <c r="C2020" t="s">
        <v>131</v>
      </c>
      <c r="D2020" t="str">
        <f>VLOOKUP(C2020, '[1]VLOOKUP 함수용 카테고리'!$A$1:$B$59, 2, 0)</f>
        <v>SIMPLE_PROCESSED</v>
      </c>
      <c r="E2020" t="s">
        <v>3589</v>
      </c>
      <c r="F2020" t="s">
        <v>7767</v>
      </c>
    </row>
    <row r="2021" spans="1:6" x14ac:dyDescent="0.3">
      <c r="A2021" t="s">
        <v>3590</v>
      </c>
      <c r="B2021" t="str" cm="1">
        <f t="array" ref="B2021">_xlfn.XLOOKUP(C2021, INDEX([1]!카테고리매핑,,2), INDEX([1]!카테고리매핑,,1), "미등록 카테고리")</f>
        <v>음료</v>
      </c>
      <c r="C2021" t="s">
        <v>708</v>
      </c>
      <c r="D2021" t="str">
        <f>VLOOKUP(C2021, '[1]VLOOKUP 함수용 카테고리'!$A$1:$B$59, 2, 0)</f>
        <v>BEVERAGE</v>
      </c>
      <c r="E2021" t="s">
        <v>708</v>
      </c>
      <c r="F2021" t="s">
        <v>7802</v>
      </c>
    </row>
    <row r="2022" spans="1:6" x14ac:dyDescent="0.3">
      <c r="A2022" t="s">
        <v>3591</v>
      </c>
      <c r="B2022" t="str" cm="1">
        <f t="array" ref="B2022">_xlfn.XLOOKUP(C2022, INDEX([1]!카테고리매핑,,2), INDEX([1]!카테고리매핑,,1), "미등록 카테고리")</f>
        <v>간편식</v>
      </c>
      <c r="C2022" t="s">
        <v>256</v>
      </c>
      <c r="D2022" t="str">
        <f>VLOOKUP(C2022, '[1]VLOOKUP 함수용 카테고리'!$A$1:$B$59, 2, 0)</f>
        <v>RTC_MEAL</v>
      </c>
      <c r="E2022" t="s">
        <v>256</v>
      </c>
      <c r="F2022" t="s">
        <v>928</v>
      </c>
    </row>
    <row r="2023" spans="1:6" x14ac:dyDescent="0.3">
      <c r="A2023" t="s">
        <v>3592</v>
      </c>
      <c r="B2023" t="str" cm="1">
        <f t="array" ref="B2023">_xlfn.XLOOKUP(C2023, INDEX([1]!카테고리매핑,,2), INDEX([1]!카테고리매핑,,1), "미등록 카테고리")</f>
        <v>상온식품</v>
      </c>
      <c r="C2023" t="s">
        <v>769</v>
      </c>
      <c r="D2023" t="str">
        <f>VLOOKUP(C2023, '[1]VLOOKUP 함수용 카테고리'!$A$1:$B$59, 2, 0)</f>
        <v>GRAIN</v>
      </c>
      <c r="E2023" t="s">
        <v>770</v>
      </c>
      <c r="F2023" t="s">
        <v>32</v>
      </c>
    </row>
    <row r="2024" spans="1:6" x14ac:dyDescent="0.3">
      <c r="A2024" t="s">
        <v>3593</v>
      </c>
      <c r="B2024" t="str" cm="1">
        <f t="array" ref="B2024">_xlfn.XLOOKUP(C2024, INDEX([1]!카테고리매핑,,2), INDEX([1]!카테고리매핑,,1), "미등록 카테고리")</f>
        <v>유제품</v>
      </c>
      <c r="C2024" t="s">
        <v>123</v>
      </c>
      <c r="D2024" t="str">
        <f>VLOOKUP(C2024, '[1]VLOOKUP 함수용 카테고리'!$A$1:$B$59, 2, 0)</f>
        <v>DAIRY</v>
      </c>
      <c r="E2024" t="s">
        <v>622</v>
      </c>
      <c r="F2024" t="s">
        <v>623</v>
      </c>
    </row>
    <row r="2025" spans="1:6" x14ac:dyDescent="0.3">
      <c r="A2025" t="s">
        <v>3594</v>
      </c>
      <c r="B2025" t="str" cm="1">
        <f t="array" ref="B2025">_xlfn.XLOOKUP(C2025, INDEX([1]!카테고리매핑,,2), INDEX([1]!카테고리매핑,,1), "미등록 카테고리")</f>
        <v>간식류</v>
      </c>
      <c r="C2025" t="s">
        <v>11</v>
      </c>
      <c r="D2025" t="str">
        <f>VLOOKUP(C2025, '[1]VLOOKUP 함수용 카테고리'!$A$1:$B$59, 2, 0)</f>
        <v>SNACK</v>
      </c>
      <c r="E2025" t="s">
        <v>1775</v>
      </c>
      <c r="F2025" t="s">
        <v>215</v>
      </c>
    </row>
    <row r="2026" spans="1:6" x14ac:dyDescent="0.3">
      <c r="A2026" t="s">
        <v>3595</v>
      </c>
      <c r="B2026" t="str" cm="1">
        <f t="array" ref="B2026">_xlfn.XLOOKUP(C2026, INDEX([1]!카테고리매핑,,2), INDEX([1]!카테고리매핑,,1), "미등록 카테고리")</f>
        <v>술</v>
      </c>
      <c r="C2026" t="s">
        <v>42</v>
      </c>
      <c r="D2026" t="str">
        <f>VLOOKUP(C2026, '[1]VLOOKUP 함수용 카테고리'!$A$1:$B$59, 2, 0)</f>
        <v>ALCOHOL</v>
      </c>
      <c r="E2026" t="s">
        <v>144</v>
      </c>
      <c r="F2026" t="s">
        <v>280</v>
      </c>
    </row>
    <row r="2027" spans="1:6" x14ac:dyDescent="0.3">
      <c r="A2027" t="s">
        <v>3596</v>
      </c>
      <c r="B2027" t="str" cm="1">
        <f t="array" ref="B2027">_xlfn.XLOOKUP(C2027, INDEX([1]!카테고리매핑,,2), INDEX([1]!카테고리매핑,,1), "미등록 카테고리")</f>
        <v>육류/계란</v>
      </c>
      <c r="C2027" t="s">
        <v>428</v>
      </c>
      <c r="D2027" t="str">
        <f>VLOOKUP(C2027, '[1]VLOOKUP 함수용 카테고리'!$A$1:$B$59, 2, 0)</f>
        <v>PROCESSED_MEAT</v>
      </c>
      <c r="E2027" t="s">
        <v>790</v>
      </c>
      <c r="F2027" t="s">
        <v>3597</v>
      </c>
    </row>
    <row r="2028" spans="1:6" x14ac:dyDescent="0.3">
      <c r="A2028" t="s">
        <v>3598</v>
      </c>
      <c r="B2028" t="str" cm="1">
        <f t="array" ref="B2028">_xlfn.XLOOKUP(C2028, INDEX([1]!카테고리매핑,,2), INDEX([1]!카테고리매핑,,1), "미등록 카테고리")</f>
        <v>조미료</v>
      </c>
      <c r="C2028" t="s">
        <v>127</v>
      </c>
      <c r="D2028" t="str">
        <f>VLOOKUP(C2028, '[1]VLOOKUP 함수용 카테고리'!$A$1:$B$59, 2, 0)</f>
        <v>SAUCE_SEASONING</v>
      </c>
      <c r="E2028" t="s">
        <v>3599</v>
      </c>
      <c r="F2028" t="s">
        <v>2158</v>
      </c>
    </row>
    <row r="2029" spans="1:6" x14ac:dyDescent="0.3">
      <c r="A2029" t="s">
        <v>3600</v>
      </c>
      <c r="B2029" t="str" cm="1">
        <f t="array" ref="B2029">_xlfn.XLOOKUP(C2029, INDEX([1]!카테고리매핑,,2), INDEX([1]!카테고리매핑,,1), "미등록 카테고리")</f>
        <v>조미료</v>
      </c>
      <c r="C2029" t="s">
        <v>117</v>
      </c>
      <c r="D2029" t="str">
        <f>VLOOKUP(C2029, '[1]VLOOKUP 함수용 카테고리'!$A$1:$B$59, 2, 0)</f>
        <v>SAUCE_SEASONING</v>
      </c>
      <c r="E2029" t="s">
        <v>118</v>
      </c>
      <c r="F2029" t="s">
        <v>646</v>
      </c>
    </row>
    <row r="2030" spans="1:6" x14ac:dyDescent="0.3">
      <c r="A2030" t="s">
        <v>3601</v>
      </c>
      <c r="B2030" t="str" cm="1">
        <f t="array" ref="B2030">_xlfn.XLOOKUP(C2030, INDEX([1]!카테고리매핑,,2), INDEX([1]!카테고리매핑,,1), "미등록 카테고리")</f>
        <v>조미료</v>
      </c>
      <c r="C2030" t="s">
        <v>83</v>
      </c>
      <c r="D2030" t="str">
        <f>VLOOKUP(C2030, '[1]VLOOKUP 함수용 카테고리'!$A$1:$B$59, 2, 0)</f>
        <v>SAUCE_SEASONING</v>
      </c>
      <c r="E2030" t="s">
        <v>886</v>
      </c>
      <c r="F2030" t="s">
        <v>350</v>
      </c>
    </row>
    <row r="2031" spans="1:6" x14ac:dyDescent="0.3">
      <c r="A2031" t="s">
        <v>3602</v>
      </c>
      <c r="B2031" t="str" cm="1">
        <f t="array" ref="B2031">_xlfn.XLOOKUP(C2031, INDEX([1]!카테고리매핑,,2), INDEX([1]!카테고리매핑,,1), "미등록 카테고리")</f>
        <v>채소/곡물류</v>
      </c>
      <c r="C2031" t="s">
        <v>7</v>
      </c>
      <c r="D2031" t="str">
        <f>VLOOKUP(C2031, '[1]VLOOKUP 함수용 카테고리'!$A$1:$B$59, 2, 0)</f>
        <v>RAW_PRODUCE</v>
      </c>
      <c r="E2031" t="s">
        <v>261</v>
      </c>
    </row>
    <row r="2032" spans="1:6" x14ac:dyDescent="0.3">
      <c r="A2032" t="s">
        <v>3603</v>
      </c>
      <c r="B2032" t="str" cm="1">
        <f t="array" ref="B2032">_xlfn.XLOOKUP(C2032, INDEX([1]!카테고리매핑,,2), INDEX([1]!카테고리매핑,,1), "미등록 카테고리")</f>
        <v>간식류</v>
      </c>
      <c r="C2032" t="s">
        <v>63</v>
      </c>
      <c r="D2032" t="str">
        <f>VLOOKUP(C2032, '[1]VLOOKUP 함수용 카테고리'!$A$1:$B$59, 2, 0)</f>
        <v>BAKERY</v>
      </c>
      <c r="E2032" t="s">
        <v>513</v>
      </c>
      <c r="F2032" t="s">
        <v>3604</v>
      </c>
    </row>
    <row r="2033" spans="1:6" x14ac:dyDescent="0.3">
      <c r="A2033" t="s">
        <v>3605</v>
      </c>
      <c r="B2033" t="str" cm="1">
        <f t="array" ref="B2033">_xlfn.XLOOKUP(C2033, INDEX([1]!카테고리매핑,,2), INDEX([1]!카테고리매핑,,1), "미등록 카테고리")</f>
        <v>간식류</v>
      </c>
      <c r="C2033" t="s">
        <v>11</v>
      </c>
      <c r="D2033" t="str">
        <f>VLOOKUP(C2033, '[1]VLOOKUP 함수용 카테고리'!$A$1:$B$59, 2, 0)</f>
        <v>SNACK</v>
      </c>
      <c r="E2033" t="s">
        <v>371</v>
      </c>
      <c r="F2033" t="s">
        <v>7768</v>
      </c>
    </row>
    <row r="2034" spans="1:6" x14ac:dyDescent="0.3">
      <c r="A2034" t="s">
        <v>3606</v>
      </c>
      <c r="B2034" t="str" cm="1">
        <f t="array" ref="B2034">_xlfn.XLOOKUP(C2034, INDEX([1]!카테고리매핑,,2), INDEX([1]!카테고리매핑,,1), "미등록 카테고리")</f>
        <v>채소/곡물류</v>
      </c>
      <c r="C2034" t="s">
        <v>301</v>
      </c>
      <c r="D2034" t="str">
        <f>VLOOKUP(C2034, '[1]VLOOKUP 함수용 카테고리'!$A$1:$B$59, 2, 0)</f>
        <v>GRAIN</v>
      </c>
      <c r="E2034" t="s">
        <v>611</v>
      </c>
      <c r="F2034" t="s">
        <v>3607</v>
      </c>
    </row>
    <row r="2035" spans="1:6" x14ac:dyDescent="0.3">
      <c r="A2035" t="s">
        <v>3608</v>
      </c>
      <c r="B2035" t="str" cm="1">
        <f t="array" ref="B2035">_xlfn.XLOOKUP(C2035, INDEX([1]!카테고리매핑,,2), INDEX([1]!카테고리매핑,,1), "미등록 카테고리")</f>
        <v>간식류</v>
      </c>
      <c r="C2035" t="s">
        <v>11</v>
      </c>
      <c r="D2035" t="str">
        <f>VLOOKUP(C2035, '[1]VLOOKUP 함수용 카테고리'!$A$1:$B$59, 2, 0)</f>
        <v>SNACK</v>
      </c>
      <c r="E2035" t="s">
        <v>153</v>
      </c>
      <c r="F2035" t="s">
        <v>3609</v>
      </c>
    </row>
    <row r="2036" spans="1:6" x14ac:dyDescent="0.3">
      <c r="A2036" t="s">
        <v>3610</v>
      </c>
      <c r="B2036" t="str" cm="1">
        <f t="array" ref="B2036">_xlfn.XLOOKUP(C2036, INDEX([1]!카테고리매핑,,2), INDEX([1]!카테고리매핑,,1), "미등록 카테고리")</f>
        <v>채소/곡물류</v>
      </c>
      <c r="C2036" t="s">
        <v>7</v>
      </c>
      <c r="D2036" t="str">
        <f>VLOOKUP(C2036, '[1]VLOOKUP 함수용 카테고리'!$A$1:$B$59, 2, 0)</f>
        <v>RAW_PRODUCE</v>
      </c>
      <c r="E2036" t="s">
        <v>723</v>
      </c>
    </row>
    <row r="2037" spans="1:6" x14ac:dyDescent="0.3">
      <c r="A2037" t="s">
        <v>3611</v>
      </c>
      <c r="B2037" t="str" cm="1">
        <f t="array" ref="B2037">_xlfn.XLOOKUP(C2037, INDEX([1]!카테고리매핑,,2), INDEX([1]!카테고리매핑,,1), "미등록 카테고리")</f>
        <v>미등록 카테고리</v>
      </c>
      <c r="C2037" t="s">
        <v>334</v>
      </c>
      <c r="D2037" t="str">
        <f>VLOOKUP(C2037, '[1]VLOOKUP 함수용 카테고리'!$A$1:$B$59, 2, 0)</f>
        <v>UNKNOWN</v>
      </c>
      <c r="E2037" t="s">
        <v>334</v>
      </c>
      <c r="F2037" t="s">
        <v>3612</v>
      </c>
    </row>
    <row r="2038" spans="1:6" x14ac:dyDescent="0.3">
      <c r="A2038" t="s">
        <v>3613</v>
      </c>
      <c r="B2038" t="str" cm="1">
        <f t="array" ref="B2038">_xlfn.XLOOKUP(C2038, INDEX([1]!카테고리매핑,,2), INDEX([1]!카테고리매핑,,1), "미등록 카테고리")</f>
        <v>유제품</v>
      </c>
      <c r="C2038" t="s">
        <v>123</v>
      </c>
      <c r="D2038" t="str">
        <f>VLOOKUP(C2038, '[1]VLOOKUP 함수용 카테고리'!$A$1:$B$59, 2, 0)</f>
        <v>DAIRY</v>
      </c>
      <c r="E2038" t="s">
        <v>190</v>
      </c>
      <c r="F2038" t="s">
        <v>923</v>
      </c>
    </row>
    <row r="2039" spans="1:6" x14ac:dyDescent="0.3">
      <c r="A2039" t="s">
        <v>3614</v>
      </c>
      <c r="B2039" t="str" cm="1">
        <f t="array" ref="B2039">_xlfn.XLOOKUP(C2039, INDEX([1]!카테고리매핑,,2), INDEX([1]!카테고리매핑,,1), "미등록 카테고리")</f>
        <v>육류/계란</v>
      </c>
      <c r="C2039" t="s">
        <v>298</v>
      </c>
      <c r="D2039" t="str">
        <f>VLOOKUP(C2039, '[1]VLOOKUP 함수용 카테고리'!$A$1:$B$59, 2, 0)</f>
        <v>RAW_MEAT</v>
      </c>
      <c r="E2039" t="s">
        <v>298</v>
      </c>
      <c r="F2039" t="s">
        <v>151</v>
      </c>
    </row>
    <row r="2040" spans="1:6" x14ac:dyDescent="0.3">
      <c r="A2040" t="s">
        <v>3615</v>
      </c>
      <c r="B2040" t="str" cm="1">
        <f t="array" ref="B2040">_xlfn.XLOOKUP(C2040, INDEX([1]!카테고리매핑,,2), INDEX([1]!카테고리매핑,,1), "미등록 카테고리")</f>
        <v>수산물</v>
      </c>
      <c r="C2040" t="s">
        <v>183</v>
      </c>
      <c r="D2040" t="str">
        <f>VLOOKUP(C2040, '[1]VLOOKUP 함수용 카테고리'!$A$1:$B$59, 2, 0)</f>
        <v>DRIED_SEAFOOD</v>
      </c>
      <c r="E2040" t="s">
        <v>1210</v>
      </c>
      <c r="F2040" t="s">
        <v>3616</v>
      </c>
    </row>
    <row r="2041" spans="1:6" x14ac:dyDescent="0.3">
      <c r="A2041" t="s">
        <v>3617</v>
      </c>
      <c r="B2041" t="str" cm="1">
        <f t="array" ref="B2041">_xlfn.XLOOKUP(C2041, INDEX([1]!카테고리매핑,,2), INDEX([1]!카테고리매핑,,1), "미등록 카테고리")</f>
        <v>간편식</v>
      </c>
      <c r="C2041" t="s">
        <v>46</v>
      </c>
      <c r="D2041" t="str">
        <f>VLOOKUP(C2041, '[1]VLOOKUP 함수용 카테고리'!$A$1:$B$59, 2, 0)</f>
        <v>RTC_MEAL</v>
      </c>
      <c r="E2041" t="s">
        <v>46</v>
      </c>
      <c r="F2041" t="s">
        <v>36</v>
      </c>
    </row>
    <row r="2042" spans="1:6" x14ac:dyDescent="0.3">
      <c r="A2042" t="s">
        <v>3618</v>
      </c>
      <c r="B2042" t="str" cm="1">
        <f t="array" ref="B2042">_xlfn.XLOOKUP(C2042, INDEX([1]!카테고리매핑,,2), INDEX([1]!카테고리매핑,,1), "미등록 카테고리")</f>
        <v>간식류</v>
      </c>
      <c r="C2042" t="s">
        <v>11</v>
      </c>
      <c r="D2042" t="str">
        <f>VLOOKUP(C2042, '[1]VLOOKUP 함수용 카테고리'!$A$1:$B$59, 2, 0)</f>
        <v>SNACK</v>
      </c>
      <c r="E2042" t="s">
        <v>1668</v>
      </c>
      <c r="F2042" t="s">
        <v>3619</v>
      </c>
    </row>
    <row r="2043" spans="1:6" x14ac:dyDescent="0.3">
      <c r="A2043" t="s">
        <v>3620</v>
      </c>
      <c r="B2043" t="str" cm="1">
        <f t="array" ref="B2043">_xlfn.XLOOKUP(C2043, INDEX([1]!카테고리매핑,,2), INDEX([1]!카테고리매핑,,1), "미등록 카테고리")</f>
        <v>간식류</v>
      </c>
      <c r="C2043" t="s">
        <v>63</v>
      </c>
      <c r="D2043" t="str">
        <f>VLOOKUP(C2043, '[1]VLOOKUP 함수용 카테고리'!$A$1:$B$59, 2, 0)</f>
        <v>BAKERY</v>
      </c>
      <c r="E2043" t="s">
        <v>2040</v>
      </c>
      <c r="F2043" t="s">
        <v>3621</v>
      </c>
    </row>
    <row r="2044" spans="1:6" x14ac:dyDescent="0.3">
      <c r="A2044" t="s">
        <v>3622</v>
      </c>
      <c r="B2044" t="str" cm="1">
        <f t="array" ref="B2044">_xlfn.XLOOKUP(C2044, INDEX([1]!카테고리매핑,,2), INDEX([1]!카테고리매핑,,1), "미등록 카테고리")</f>
        <v>음료</v>
      </c>
      <c r="C2044" t="s">
        <v>23</v>
      </c>
      <c r="D2044" t="str">
        <f>VLOOKUP(C2044, '[1]VLOOKUP 함수용 카테고리'!$A$1:$B$59, 2, 0)</f>
        <v>BEVERAGE</v>
      </c>
      <c r="E2044" t="s">
        <v>355</v>
      </c>
      <c r="F2044" t="s">
        <v>356</v>
      </c>
    </row>
    <row r="2045" spans="1:6" x14ac:dyDescent="0.3">
      <c r="A2045" t="s">
        <v>3623</v>
      </c>
      <c r="B2045" t="str" cm="1">
        <f t="array" ref="B2045">_xlfn.XLOOKUP(C2045, INDEX([1]!카테고리매핑,,2), INDEX([1]!카테고리매핑,,1), "미등록 카테고리")</f>
        <v>간편식</v>
      </c>
      <c r="C2045" t="s">
        <v>256</v>
      </c>
      <c r="D2045" t="str">
        <f>VLOOKUP(C2045, '[1]VLOOKUP 함수용 카테고리'!$A$1:$B$59, 2, 0)</f>
        <v>RTC_MEAL</v>
      </c>
      <c r="E2045" t="s">
        <v>256</v>
      </c>
      <c r="F2045" t="s">
        <v>1003</v>
      </c>
    </row>
    <row r="2046" spans="1:6" x14ac:dyDescent="0.3">
      <c r="A2046" t="s">
        <v>3624</v>
      </c>
      <c r="B2046" t="str" cm="1">
        <f t="array" ref="B2046">_xlfn.XLOOKUP(C2046, INDEX([1]!카테고리매핑,,2), INDEX([1]!카테고리매핑,,1), "미등록 카테고리")</f>
        <v>간편식</v>
      </c>
      <c r="C2046" t="s">
        <v>256</v>
      </c>
      <c r="D2046" t="str">
        <f>VLOOKUP(C2046, '[1]VLOOKUP 함수용 카테고리'!$A$1:$B$59, 2, 0)</f>
        <v>RTC_MEAL</v>
      </c>
      <c r="E2046" t="s">
        <v>256</v>
      </c>
      <c r="F2046" t="s">
        <v>3625</v>
      </c>
    </row>
    <row r="2047" spans="1:6" x14ac:dyDescent="0.3">
      <c r="A2047" t="s">
        <v>3626</v>
      </c>
      <c r="B2047" t="str" cm="1">
        <f t="array" ref="B2047">_xlfn.XLOOKUP(C2047, INDEX([1]!카테고리매핑,,2), INDEX([1]!카테고리매핑,,1), "미등록 카테고리")</f>
        <v>음료</v>
      </c>
      <c r="C2047" t="s">
        <v>23</v>
      </c>
      <c r="D2047" t="str">
        <f>VLOOKUP(C2047, '[1]VLOOKUP 함수용 카테고리'!$A$1:$B$59, 2, 0)</f>
        <v>BEVERAGE</v>
      </c>
      <c r="E2047" t="s">
        <v>355</v>
      </c>
      <c r="F2047" t="s">
        <v>1600</v>
      </c>
    </row>
    <row r="2048" spans="1:6" x14ac:dyDescent="0.3">
      <c r="A2048" t="s">
        <v>3627</v>
      </c>
      <c r="B2048" t="str" cm="1">
        <f t="array" ref="B2048">_xlfn.XLOOKUP(C2048, INDEX([1]!카테고리매핑,,2), INDEX([1]!카테고리매핑,,1), "미등록 카테고리")</f>
        <v>간식류</v>
      </c>
      <c r="C2048" t="s">
        <v>11</v>
      </c>
      <c r="D2048" t="str">
        <f>VLOOKUP(C2048, '[1]VLOOKUP 함수용 카테고리'!$A$1:$B$59, 2, 0)</f>
        <v>SNACK</v>
      </c>
      <c r="E2048" t="s">
        <v>3628</v>
      </c>
      <c r="F2048" t="s">
        <v>3629</v>
      </c>
    </row>
    <row r="2049" spans="1:6" x14ac:dyDescent="0.3">
      <c r="A2049" t="s">
        <v>3630</v>
      </c>
      <c r="B2049" t="str" cm="1">
        <f t="array" ref="B2049">_xlfn.XLOOKUP(C2049, INDEX([1]!카테고리매핑,,2), INDEX([1]!카테고리매핑,,1), "미등록 카테고리")</f>
        <v>조미료</v>
      </c>
      <c r="C2049" t="s">
        <v>84</v>
      </c>
      <c r="D2049" t="str">
        <f>VLOOKUP(C2049, '[1]VLOOKUP 함수용 카테고리'!$A$1:$B$59, 2, 0)</f>
        <v>SAUCE_SEASONING</v>
      </c>
      <c r="E2049" t="s">
        <v>85</v>
      </c>
      <c r="F2049" t="s">
        <v>3331</v>
      </c>
    </row>
    <row r="2050" spans="1:6" x14ac:dyDescent="0.3">
      <c r="A2050" t="s">
        <v>3631</v>
      </c>
      <c r="B2050" t="str" cm="1">
        <f t="array" ref="B2050">_xlfn.XLOOKUP(C2050, INDEX([1]!카테고리매핑,,2), INDEX([1]!카테고리매핑,,1), "미등록 카테고리")</f>
        <v>육류/계란</v>
      </c>
      <c r="C2050" t="s">
        <v>298</v>
      </c>
      <c r="D2050" t="str">
        <f>VLOOKUP(C2050, '[1]VLOOKUP 함수용 카테고리'!$A$1:$B$59, 2, 0)</f>
        <v>RAW_MEAT</v>
      </c>
      <c r="E2050" t="s">
        <v>751</v>
      </c>
      <c r="F2050" t="s">
        <v>350</v>
      </c>
    </row>
    <row r="2051" spans="1:6" x14ac:dyDescent="0.3">
      <c r="A2051" t="s">
        <v>3632</v>
      </c>
      <c r="B2051" t="str" cm="1">
        <f t="array" ref="B2051">_xlfn.XLOOKUP(C2051, INDEX([1]!카테고리매핑,,2), INDEX([1]!카테고리매핑,,1), "미등록 카테고리")</f>
        <v>채소/곡물류</v>
      </c>
      <c r="C2051" t="s">
        <v>7</v>
      </c>
      <c r="D2051" t="str">
        <f>VLOOKUP(C2051, '[1]VLOOKUP 함수용 카테고리'!$A$1:$B$59, 2, 0)</f>
        <v>RAW_PRODUCE</v>
      </c>
      <c r="E2051" t="s">
        <v>331</v>
      </c>
      <c r="F2051" t="s">
        <v>406</v>
      </c>
    </row>
    <row r="2052" spans="1:6" x14ac:dyDescent="0.3">
      <c r="A2052" t="s">
        <v>3633</v>
      </c>
      <c r="B2052" t="str" cm="1">
        <f t="array" ref="B2052">_xlfn.XLOOKUP(C2052, INDEX([1]!카테고리매핑,,2), INDEX([1]!카테고리매핑,,1), "미등록 카테고리")</f>
        <v>상온식품</v>
      </c>
      <c r="C2052" t="s">
        <v>835</v>
      </c>
      <c r="D2052" t="str">
        <f>VLOOKUP(C2052, '[1]VLOOKUP 함수용 카테고리'!$A$1:$B$59, 2, 0)</f>
        <v>SAUCE_SEASONING</v>
      </c>
      <c r="E2052" t="s">
        <v>3634</v>
      </c>
      <c r="F2052" t="s">
        <v>3635</v>
      </c>
    </row>
    <row r="2053" spans="1:6" x14ac:dyDescent="0.3">
      <c r="A2053" t="s">
        <v>3636</v>
      </c>
      <c r="B2053" t="str" cm="1">
        <f t="array" ref="B2053">_xlfn.XLOOKUP(C2053, INDEX([1]!카테고리매핑,,2), INDEX([1]!카테고리매핑,,1), "미등록 카테고리")</f>
        <v>채소/곡물류</v>
      </c>
      <c r="C2053" t="s">
        <v>7</v>
      </c>
      <c r="D2053" t="str">
        <f>VLOOKUP(C2053, '[1]VLOOKUP 함수용 카테고리'!$A$1:$B$59, 2, 0)</f>
        <v>RAW_PRODUCE</v>
      </c>
      <c r="E2053" t="s">
        <v>188</v>
      </c>
    </row>
    <row r="2054" spans="1:6" x14ac:dyDescent="0.3">
      <c r="A2054" t="s">
        <v>3637</v>
      </c>
      <c r="B2054" t="str" cm="1">
        <f t="array" ref="B2054">_xlfn.XLOOKUP(C2054, INDEX([1]!카테고리매핑,,2), INDEX([1]!카테고리매핑,,1), "미등록 카테고리")</f>
        <v>간식류</v>
      </c>
      <c r="C2054" t="s">
        <v>15</v>
      </c>
      <c r="D2054" t="str">
        <f>VLOOKUP(C2054, '[1]VLOOKUP 함수용 카테고리'!$A$1:$B$59, 2, 0)</f>
        <v>BAKERY</v>
      </c>
      <c r="E2054" t="s">
        <v>3638</v>
      </c>
      <c r="F2054" t="s">
        <v>201</v>
      </c>
    </row>
    <row r="2055" spans="1:6" x14ac:dyDescent="0.3">
      <c r="A2055" t="s">
        <v>3639</v>
      </c>
      <c r="B2055" t="str" cm="1">
        <f t="array" ref="B2055">_xlfn.XLOOKUP(C2055, INDEX([1]!카테고리매핑,,2), INDEX([1]!카테고리매핑,,1), "미등록 카테고리")</f>
        <v>수산물</v>
      </c>
      <c r="C2055" t="s">
        <v>101</v>
      </c>
      <c r="D2055" t="str">
        <f>VLOOKUP(C2055, '[1]VLOOKUP 함수용 카테고리'!$A$1:$B$59, 2, 0)</f>
        <v>DRIED_SEAFOOD</v>
      </c>
      <c r="E2055" t="s">
        <v>1706</v>
      </c>
      <c r="F2055" t="s">
        <v>1336</v>
      </c>
    </row>
    <row r="2056" spans="1:6" x14ac:dyDescent="0.3">
      <c r="A2056" t="s">
        <v>3640</v>
      </c>
      <c r="B2056" t="str" cm="1">
        <f t="array" ref="B2056">_xlfn.XLOOKUP(C2056, INDEX([1]!카테고리매핑,,2), INDEX([1]!카테고리매핑,,1), "미등록 카테고리")</f>
        <v>육류/계란</v>
      </c>
      <c r="C2056" t="s">
        <v>298</v>
      </c>
      <c r="D2056" t="str">
        <f>VLOOKUP(C2056, '[1]VLOOKUP 함수용 카테고리'!$A$1:$B$59, 2, 0)</f>
        <v>RAW_MEAT</v>
      </c>
      <c r="E2056" t="s">
        <v>298</v>
      </c>
      <c r="F2056" t="s">
        <v>571</v>
      </c>
    </row>
    <row r="2057" spans="1:6" x14ac:dyDescent="0.3">
      <c r="A2057" t="s">
        <v>3641</v>
      </c>
      <c r="B2057" t="str" cm="1">
        <f t="array" ref="B2057">_xlfn.XLOOKUP(C2057, INDEX([1]!카테고리매핑,,2), INDEX([1]!카테고리매핑,,1), "미등록 카테고리")</f>
        <v>간편식</v>
      </c>
      <c r="C2057" t="s">
        <v>131</v>
      </c>
      <c r="D2057" t="str">
        <f>VLOOKUP(C2057, '[1]VLOOKUP 함수용 카테고리'!$A$1:$B$59, 2, 0)</f>
        <v>SIMPLE_PROCESSED</v>
      </c>
      <c r="E2057" t="s">
        <v>2792</v>
      </c>
      <c r="F2057" t="s">
        <v>3642</v>
      </c>
    </row>
    <row r="2058" spans="1:6" x14ac:dyDescent="0.3">
      <c r="A2058" t="s">
        <v>3643</v>
      </c>
      <c r="B2058" t="str" cm="1">
        <f t="array" ref="B2058">_xlfn.XLOOKUP(C2058, INDEX([1]!카테고리매핑,,2), INDEX([1]!카테고리매핑,,1), "미등록 카테고리")</f>
        <v>간편식</v>
      </c>
      <c r="C2058" t="s">
        <v>131</v>
      </c>
      <c r="D2058" t="str">
        <f>VLOOKUP(C2058, '[1]VLOOKUP 함수용 카테고리'!$A$1:$B$59, 2, 0)</f>
        <v>SIMPLE_PROCESSED</v>
      </c>
      <c r="E2058" t="s">
        <v>3644</v>
      </c>
      <c r="F2058" t="s">
        <v>3645</v>
      </c>
    </row>
    <row r="2059" spans="1:6" x14ac:dyDescent="0.3">
      <c r="A2059" t="s">
        <v>3646</v>
      </c>
      <c r="B2059" t="str" cm="1">
        <f t="array" ref="B2059">_xlfn.XLOOKUP(C2059, INDEX([1]!카테고리매핑,,2), INDEX([1]!카테고리매핑,,1), "미등록 카테고리")</f>
        <v>간편식</v>
      </c>
      <c r="C2059" t="s">
        <v>131</v>
      </c>
      <c r="D2059" t="str">
        <f>VLOOKUP(C2059, '[1]VLOOKUP 함수용 카테고리'!$A$1:$B$59, 2, 0)</f>
        <v>SIMPLE_PROCESSED</v>
      </c>
      <c r="E2059" t="s">
        <v>3647</v>
      </c>
      <c r="F2059" t="s">
        <v>541</v>
      </c>
    </row>
    <row r="2060" spans="1:6" x14ac:dyDescent="0.3">
      <c r="A2060" t="s">
        <v>3648</v>
      </c>
      <c r="B2060" t="str" cm="1">
        <f t="array" ref="B2060">_xlfn.XLOOKUP(C2060, INDEX([1]!카테고리매핑,,2), INDEX([1]!카테고리매핑,,1), "미등록 카테고리")</f>
        <v>조미료</v>
      </c>
      <c r="C2060" t="s">
        <v>117</v>
      </c>
      <c r="D2060" t="str">
        <f>VLOOKUP(C2060, '[1]VLOOKUP 함수용 카테고리'!$A$1:$B$59, 2, 0)</f>
        <v>SAUCE_SEASONING</v>
      </c>
      <c r="E2060" t="s">
        <v>1055</v>
      </c>
      <c r="F2060" t="s">
        <v>3649</v>
      </c>
    </row>
    <row r="2061" spans="1:6" x14ac:dyDescent="0.3">
      <c r="A2061" t="s">
        <v>3650</v>
      </c>
      <c r="B2061" t="str" cm="1">
        <f t="array" ref="B2061">_xlfn.XLOOKUP(C2061, INDEX([1]!카테고리매핑,,2), INDEX([1]!카테고리매핑,,1), "미등록 카테고리")</f>
        <v>간편식</v>
      </c>
      <c r="C2061" t="s">
        <v>131</v>
      </c>
      <c r="D2061" t="str">
        <f>VLOOKUP(C2061, '[1]VLOOKUP 함수용 카테고리'!$A$1:$B$59, 2, 0)</f>
        <v>SIMPLE_PROCESSED</v>
      </c>
      <c r="E2061" t="s">
        <v>2471</v>
      </c>
      <c r="F2061" t="s">
        <v>3651</v>
      </c>
    </row>
    <row r="2062" spans="1:6" x14ac:dyDescent="0.3">
      <c r="A2062" t="s">
        <v>3652</v>
      </c>
      <c r="B2062" t="str" cm="1">
        <f t="array" ref="B2062">_xlfn.XLOOKUP(C2062, INDEX([1]!카테고리매핑,,2), INDEX([1]!카테고리매핑,,1), "미등록 카테고리")</f>
        <v>조미료</v>
      </c>
      <c r="C2062" t="s">
        <v>127</v>
      </c>
      <c r="D2062" t="str">
        <f>VLOOKUP(C2062, '[1]VLOOKUP 함수용 카테고리'!$A$1:$B$59, 2, 0)</f>
        <v>SAUCE_SEASONING</v>
      </c>
      <c r="E2062" t="s">
        <v>2433</v>
      </c>
      <c r="F2062" t="s">
        <v>182</v>
      </c>
    </row>
    <row r="2063" spans="1:6" x14ac:dyDescent="0.3">
      <c r="A2063" t="s">
        <v>3653</v>
      </c>
      <c r="B2063" t="str" cm="1">
        <f t="array" ref="B2063">_xlfn.XLOOKUP(C2063, INDEX([1]!카테고리매핑,,2), INDEX([1]!카테고리매핑,,1), "미등록 카테고리")</f>
        <v>수산물</v>
      </c>
      <c r="C2063" t="s">
        <v>1397</v>
      </c>
      <c r="D2063" t="str">
        <f>VLOOKUP(C2063, '[1]VLOOKUP 함수용 카테고리'!$A$1:$B$59, 2, 0)</f>
        <v>RAW_SEAFOOD</v>
      </c>
      <c r="E2063" t="s">
        <v>1398</v>
      </c>
    </row>
    <row r="2064" spans="1:6" x14ac:dyDescent="0.3">
      <c r="A2064" t="s">
        <v>3654</v>
      </c>
      <c r="B2064" t="str" cm="1">
        <f t="array" ref="B2064">_xlfn.XLOOKUP(C2064, INDEX([1]!카테고리매핑,,2), INDEX([1]!카테고리매핑,,1), "미등록 카테고리")</f>
        <v>조미료</v>
      </c>
      <c r="C2064" t="s">
        <v>84</v>
      </c>
      <c r="D2064" t="str">
        <f>VLOOKUP(C2064, '[1]VLOOKUP 함수용 카테고리'!$A$1:$B$59, 2, 0)</f>
        <v>SAUCE_SEASONING</v>
      </c>
      <c r="E2064" t="s">
        <v>85</v>
      </c>
      <c r="F2064" t="s">
        <v>7756</v>
      </c>
    </row>
    <row r="2065" spans="1:6" x14ac:dyDescent="0.3">
      <c r="A2065" t="s">
        <v>3655</v>
      </c>
      <c r="B2065" t="str" cm="1">
        <f t="array" ref="B2065">_xlfn.XLOOKUP(C2065, INDEX([1]!카테고리매핑,,2), INDEX([1]!카테고리매핑,,1), "미등록 카테고리")</f>
        <v>조미료</v>
      </c>
      <c r="C2065" t="s">
        <v>84</v>
      </c>
      <c r="D2065" t="str">
        <f>VLOOKUP(C2065, '[1]VLOOKUP 함수용 카테고리'!$A$1:$B$59, 2, 0)</f>
        <v>SAUCE_SEASONING</v>
      </c>
      <c r="E2065" t="s">
        <v>90</v>
      </c>
      <c r="F2065" t="s">
        <v>129</v>
      </c>
    </row>
    <row r="2066" spans="1:6" x14ac:dyDescent="0.3">
      <c r="A2066" t="s">
        <v>3656</v>
      </c>
      <c r="B2066" t="str" cm="1">
        <f t="array" ref="B2066">_xlfn.XLOOKUP(C2066, INDEX([1]!카테고리매핑,,2), INDEX([1]!카테고리매핑,,1), "미등록 카테고리")</f>
        <v>채소/곡물류</v>
      </c>
      <c r="C2066" t="s">
        <v>7</v>
      </c>
      <c r="D2066" t="str">
        <f>VLOOKUP(C2066, '[1]VLOOKUP 함수용 카테고리'!$A$1:$B$59, 2, 0)</f>
        <v>RAW_PRODUCE</v>
      </c>
      <c r="E2066" t="s">
        <v>405</v>
      </c>
      <c r="F2066" t="s">
        <v>3657</v>
      </c>
    </row>
    <row r="2067" spans="1:6" x14ac:dyDescent="0.3">
      <c r="A2067" t="s">
        <v>3658</v>
      </c>
      <c r="B2067" t="str" cm="1">
        <f t="array" ref="B2067">_xlfn.XLOOKUP(C2067, INDEX([1]!카테고리매핑,,2), INDEX([1]!카테고리매핑,,1), "미등록 카테고리")</f>
        <v>채소/곡물류</v>
      </c>
      <c r="C2067" t="s">
        <v>7</v>
      </c>
      <c r="D2067" t="str">
        <f>VLOOKUP(C2067, '[1]VLOOKUP 함수용 카테고리'!$A$1:$B$59, 2, 0)</f>
        <v>RAW_PRODUCE</v>
      </c>
      <c r="E2067" t="s">
        <v>723</v>
      </c>
      <c r="F2067" t="s">
        <v>332</v>
      </c>
    </row>
    <row r="2068" spans="1:6" x14ac:dyDescent="0.3">
      <c r="A2068" t="s">
        <v>3659</v>
      </c>
      <c r="B2068" t="str" cm="1">
        <f t="array" ref="B2068">_xlfn.XLOOKUP(C2068, INDEX([1]!카테고리매핑,,2), INDEX([1]!카테고리매핑,,1), "미등록 카테고리")</f>
        <v>수산물</v>
      </c>
      <c r="C2068" t="s">
        <v>101</v>
      </c>
      <c r="D2068" t="str">
        <f>VLOOKUP(C2068, '[1]VLOOKUP 함수용 카테고리'!$A$1:$B$59, 2, 0)</f>
        <v>DRIED_SEAFOOD</v>
      </c>
      <c r="E2068" t="s">
        <v>601</v>
      </c>
      <c r="F2068" t="s">
        <v>856</v>
      </c>
    </row>
    <row r="2069" spans="1:6" x14ac:dyDescent="0.3">
      <c r="A2069" t="s">
        <v>3660</v>
      </c>
      <c r="B2069" t="str" cm="1">
        <f t="array" ref="B2069">_xlfn.XLOOKUP(C2069, INDEX([1]!카테고리매핑,,2), INDEX([1]!카테고리매핑,,1), "미등록 카테고리")</f>
        <v>간편식</v>
      </c>
      <c r="C2069" t="s">
        <v>256</v>
      </c>
      <c r="D2069" t="str">
        <f>VLOOKUP(C2069, '[1]VLOOKUP 함수용 카테고리'!$A$1:$B$59, 2, 0)</f>
        <v>RTC_MEAL</v>
      </c>
      <c r="E2069" t="s">
        <v>256</v>
      </c>
      <c r="F2069" t="s">
        <v>3661</v>
      </c>
    </row>
    <row r="2070" spans="1:6" x14ac:dyDescent="0.3">
      <c r="A2070" t="s">
        <v>3662</v>
      </c>
      <c r="B2070" t="str" cm="1">
        <f t="array" ref="B2070">_xlfn.XLOOKUP(C2070, INDEX([1]!카테고리매핑,,2), INDEX([1]!카테고리매핑,,1), "미등록 카테고리")</f>
        <v>미등록 카테고리</v>
      </c>
      <c r="C2070" t="s">
        <v>334</v>
      </c>
      <c r="D2070" t="str">
        <f>VLOOKUP(C2070, '[1]VLOOKUP 함수용 카테고리'!$A$1:$B$59, 2, 0)</f>
        <v>UNKNOWN</v>
      </c>
      <c r="E2070" t="s">
        <v>334</v>
      </c>
      <c r="F2070" t="s">
        <v>3164</v>
      </c>
    </row>
    <row r="2071" spans="1:6" x14ac:dyDescent="0.3">
      <c r="A2071" t="s">
        <v>3663</v>
      </c>
      <c r="B2071" t="str" cm="1">
        <f t="array" ref="B2071">_xlfn.XLOOKUP(C2071, INDEX([1]!카테고리매핑,,2), INDEX([1]!카테고리매핑,,1), "미등록 카테고리")</f>
        <v>간편식</v>
      </c>
      <c r="C2071" t="s">
        <v>256</v>
      </c>
      <c r="D2071" t="str">
        <f>VLOOKUP(C2071, '[1]VLOOKUP 함수용 카테고리'!$A$1:$B$59, 2, 0)</f>
        <v>RTC_MEAL</v>
      </c>
      <c r="E2071" t="s">
        <v>256</v>
      </c>
      <c r="F2071" t="s">
        <v>111</v>
      </c>
    </row>
    <row r="2072" spans="1:6" x14ac:dyDescent="0.3">
      <c r="A2072" t="s">
        <v>3664</v>
      </c>
      <c r="B2072" t="str" cm="1">
        <f t="array" ref="B2072">_xlfn.XLOOKUP(C2072, INDEX([1]!카테고리매핑,,2), INDEX([1]!카테고리매핑,,1), "미등록 카테고리")</f>
        <v>간편식</v>
      </c>
      <c r="C2072" t="s">
        <v>256</v>
      </c>
      <c r="D2072" t="str">
        <f>VLOOKUP(C2072, '[1]VLOOKUP 함수용 카테고리'!$A$1:$B$59, 2, 0)</f>
        <v>RTC_MEAL</v>
      </c>
      <c r="E2072" t="s">
        <v>256</v>
      </c>
      <c r="F2072" t="s">
        <v>419</v>
      </c>
    </row>
    <row r="2073" spans="1:6" x14ac:dyDescent="0.3">
      <c r="A2073" t="s">
        <v>3665</v>
      </c>
      <c r="B2073" t="str" cm="1">
        <f t="array" ref="B2073">_xlfn.XLOOKUP(C2073, INDEX([1]!카테고리매핑,,2), INDEX([1]!카테고리매핑,,1), "미등록 카테고리")</f>
        <v>간편식</v>
      </c>
      <c r="C2073" t="s">
        <v>19</v>
      </c>
      <c r="D2073" t="str">
        <f>VLOOKUP(C2073, '[1]VLOOKUP 함수용 카테고리'!$A$1:$B$59, 2, 0)</f>
        <v>FROZEN_MEAL</v>
      </c>
      <c r="E2073" t="s">
        <v>763</v>
      </c>
      <c r="F2073" t="s">
        <v>3666</v>
      </c>
    </row>
    <row r="2074" spans="1:6" x14ac:dyDescent="0.3">
      <c r="A2074" t="s">
        <v>3667</v>
      </c>
      <c r="B2074" t="str" cm="1">
        <f t="array" ref="B2074">_xlfn.XLOOKUP(C2074, INDEX([1]!카테고리매핑,,2), INDEX([1]!카테고리매핑,,1), "미등록 카테고리")</f>
        <v>조미료</v>
      </c>
      <c r="C2074" t="s">
        <v>127</v>
      </c>
      <c r="D2074" t="str">
        <f>VLOOKUP(C2074, '[1]VLOOKUP 함수용 카테고리'!$A$1:$B$59, 2, 0)</f>
        <v>SAUCE_SEASONING</v>
      </c>
      <c r="E2074" t="s">
        <v>519</v>
      </c>
      <c r="F2074" t="s">
        <v>3668</v>
      </c>
    </row>
    <row r="2075" spans="1:6" x14ac:dyDescent="0.3">
      <c r="A2075" t="s">
        <v>3669</v>
      </c>
      <c r="B2075" t="str" cm="1">
        <f t="array" ref="B2075">_xlfn.XLOOKUP(C2075, INDEX([1]!카테고리매핑,,2), INDEX([1]!카테고리매핑,,1), "미등록 카테고리")</f>
        <v>간편식</v>
      </c>
      <c r="C2075" t="s">
        <v>46</v>
      </c>
      <c r="D2075" t="str">
        <f>VLOOKUP(C2075, '[1]VLOOKUP 함수용 카테고리'!$A$1:$B$59, 2, 0)</f>
        <v>RTC_MEAL</v>
      </c>
      <c r="E2075" t="s">
        <v>46</v>
      </c>
      <c r="F2075" t="s">
        <v>1457</v>
      </c>
    </row>
    <row r="2076" spans="1:6" x14ac:dyDescent="0.3">
      <c r="A2076" t="s">
        <v>3670</v>
      </c>
      <c r="B2076" t="str" cm="1">
        <f t="array" ref="B2076">_xlfn.XLOOKUP(C2076, INDEX([1]!카테고리매핑,,2), INDEX([1]!카테고리매핑,,1), "미등록 카테고리")</f>
        <v>육류/계란</v>
      </c>
      <c r="C2076" t="s">
        <v>428</v>
      </c>
      <c r="D2076" t="str">
        <f>VLOOKUP(C2076, '[1]VLOOKUP 함수용 카테고리'!$A$1:$B$59, 2, 0)</f>
        <v>PROCESSED_MEAT</v>
      </c>
      <c r="E2076" t="s">
        <v>943</v>
      </c>
      <c r="F2076" t="s">
        <v>1273</v>
      </c>
    </row>
    <row r="2077" spans="1:6" x14ac:dyDescent="0.3">
      <c r="A2077" t="s">
        <v>3671</v>
      </c>
      <c r="B2077" t="str" cm="1">
        <f t="array" ref="B2077">_xlfn.XLOOKUP(C2077, INDEX([1]!카테고리매핑,,2), INDEX([1]!카테고리매핑,,1), "미등록 카테고리")</f>
        <v>미등록 카테고리</v>
      </c>
      <c r="C2077" t="s">
        <v>334</v>
      </c>
      <c r="D2077" t="str">
        <f>VLOOKUP(C2077, '[1]VLOOKUP 함수용 카테고리'!$A$1:$B$59, 2, 0)</f>
        <v>UNKNOWN</v>
      </c>
      <c r="E2077" t="s">
        <v>334</v>
      </c>
      <c r="F2077" t="s">
        <v>3672</v>
      </c>
    </row>
    <row r="2078" spans="1:6" x14ac:dyDescent="0.3">
      <c r="A2078" t="s">
        <v>3673</v>
      </c>
      <c r="B2078" t="str" cm="1">
        <f t="array" ref="B2078">_xlfn.XLOOKUP(C2078, INDEX([1]!카테고리매핑,,2), INDEX([1]!카테고리매핑,,1), "미등록 카테고리")</f>
        <v>육류/계란</v>
      </c>
      <c r="C2078" t="s">
        <v>149</v>
      </c>
      <c r="D2078" t="str">
        <f>VLOOKUP(C2078, '[1]VLOOKUP 함수용 카테고리'!$A$1:$B$59, 2, 0)</f>
        <v>RAW_MEAT</v>
      </c>
      <c r="E2078" t="s">
        <v>573</v>
      </c>
      <c r="F2078" t="s">
        <v>1183</v>
      </c>
    </row>
    <row r="2079" spans="1:6" x14ac:dyDescent="0.3">
      <c r="A2079" t="s">
        <v>3674</v>
      </c>
      <c r="B2079" t="str" cm="1">
        <f t="array" ref="B2079">_xlfn.XLOOKUP(C2079, INDEX([1]!카테고리매핑,,2), INDEX([1]!카테고리매핑,,1), "미등록 카테고리")</f>
        <v>미등록 카테고리</v>
      </c>
      <c r="C2079" t="s">
        <v>334</v>
      </c>
      <c r="D2079" t="str">
        <f>VLOOKUP(C2079, '[1]VLOOKUP 함수용 카테고리'!$A$1:$B$59, 2, 0)</f>
        <v>UNKNOWN</v>
      </c>
      <c r="E2079" t="s">
        <v>334</v>
      </c>
      <c r="F2079" t="s">
        <v>7769</v>
      </c>
    </row>
    <row r="2080" spans="1:6" x14ac:dyDescent="0.3">
      <c r="A2080" t="s">
        <v>3675</v>
      </c>
      <c r="B2080" t="str" cm="1">
        <f t="array" ref="B2080">_xlfn.XLOOKUP(C2080, INDEX([1]!카테고리매핑,,2), INDEX([1]!카테고리매핑,,1), "미등록 카테고리")</f>
        <v>음료</v>
      </c>
      <c r="C2080" t="s">
        <v>23</v>
      </c>
      <c r="D2080" t="str">
        <f>VLOOKUP(C2080, '[1]VLOOKUP 함수용 카테고리'!$A$1:$B$59, 2, 0)</f>
        <v>BEVERAGE</v>
      </c>
      <c r="E2080" t="s">
        <v>323</v>
      </c>
      <c r="F2080" t="s">
        <v>2015</v>
      </c>
    </row>
    <row r="2081" spans="1:6" x14ac:dyDescent="0.3">
      <c r="A2081" t="s">
        <v>3676</v>
      </c>
      <c r="B2081" t="str" cm="1">
        <f t="array" ref="B2081">_xlfn.XLOOKUP(C2081, INDEX([1]!카테고리매핑,,2), INDEX([1]!카테고리매핑,,1), "미등록 카테고리")</f>
        <v>간편식</v>
      </c>
      <c r="C2081" t="s">
        <v>46</v>
      </c>
      <c r="D2081" t="str">
        <f>VLOOKUP(C2081, '[1]VLOOKUP 함수용 카테고리'!$A$1:$B$59, 2, 0)</f>
        <v>RTC_MEAL</v>
      </c>
      <c r="E2081" t="s">
        <v>46</v>
      </c>
      <c r="F2081" t="s">
        <v>2759</v>
      </c>
    </row>
    <row r="2082" spans="1:6" x14ac:dyDescent="0.3">
      <c r="A2082" t="s">
        <v>3677</v>
      </c>
      <c r="B2082" t="str" cm="1">
        <f t="array" ref="B2082">_xlfn.XLOOKUP(C2082, INDEX([1]!카테고리매핑,,2), INDEX([1]!카테고리매핑,,1), "미등록 카테고리")</f>
        <v>조미료</v>
      </c>
      <c r="C2082" t="s">
        <v>83</v>
      </c>
      <c r="D2082" t="str">
        <f>VLOOKUP(C2082, '[1]VLOOKUP 함수용 카테고리'!$A$1:$B$59, 2, 0)</f>
        <v>SAUCE_SEASONING</v>
      </c>
      <c r="E2082" t="s">
        <v>1918</v>
      </c>
      <c r="F2082" t="s">
        <v>1919</v>
      </c>
    </row>
    <row r="2083" spans="1:6" x14ac:dyDescent="0.3">
      <c r="A2083" t="s">
        <v>3678</v>
      </c>
      <c r="B2083" t="str" cm="1">
        <f t="array" ref="B2083">_xlfn.XLOOKUP(C2083, INDEX([1]!카테고리매핑,,2), INDEX([1]!카테고리매핑,,1), "미등록 카테고리")</f>
        <v>간편식</v>
      </c>
      <c r="C2083" t="s">
        <v>131</v>
      </c>
      <c r="D2083" t="str">
        <f>VLOOKUP(C2083, '[1]VLOOKUP 함수용 카테고리'!$A$1:$B$59, 2, 0)</f>
        <v>SIMPLE_PROCESSED</v>
      </c>
      <c r="E2083" t="s">
        <v>1067</v>
      </c>
      <c r="F2083" t="s">
        <v>541</v>
      </c>
    </row>
    <row r="2084" spans="1:6" x14ac:dyDescent="0.3">
      <c r="A2084" t="s">
        <v>3679</v>
      </c>
      <c r="B2084" t="str" cm="1">
        <f t="array" ref="B2084">_xlfn.XLOOKUP(C2084, INDEX([1]!카테고리매핑,,2), INDEX([1]!카테고리매핑,,1), "미등록 카테고리")</f>
        <v>간식류</v>
      </c>
      <c r="C2084" t="s">
        <v>11</v>
      </c>
      <c r="D2084" t="str">
        <f>VLOOKUP(C2084, '[1]VLOOKUP 함수용 카테고리'!$A$1:$B$59, 2, 0)</f>
        <v>SNACK</v>
      </c>
      <c r="E2084" t="s">
        <v>701</v>
      </c>
      <c r="F2084" t="s">
        <v>372</v>
      </c>
    </row>
    <row r="2085" spans="1:6" x14ac:dyDescent="0.3">
      <c r="A2085" t="s">
        <v>3680</v>
      </c>
      <c r="B2085" t="str" cm="1">
        <f t="array" ref="B2085">_xlfn.XLOOKUP(C2085, INDEX([1]!카테고리매핑,,2), INDEX([1]!카테고리매핑,,1), "미등록 카테고리")</f>
        <v>술</v>
      </c>
      <c r="C2085" t="s">
        <v>411</v>
      </c>
      <c r="D2085" t="str">
        <f>VLOOKUP(C2085, '[1]VLOOKUP 함수용 카테고리'!$A$1:$B$59, 2, 0)</f>
        <v>ALCOHOL</v>
      </c>
      <c r="E2085" t="s">
        <v>1159</v>
      </c>
      <c r="F2085" t="s">
        <v>7762</v>
      </c>
    </row>
    <row r="2086" spans="1:6" x14ac:dyDescent="0.3">
      <c r="A2086" t="s">
        <v>3681</v>
      </c>
      <c r="B2086" t="str" cm="1">
        <f t="array" ref="B2086">_xlfn.XLOOKUP(C2086, INDEX([1]!카테고리매핑,,2), INDEX([1]!카테고리매핑,,1), "미등록 카테고리")</f>
        <v>채소/곡물류</v>
      </c>
      <c r="C2086" t="s">
        <v>27</v>
      </c>
      <c r="D2086" t="str">
        <f>VLOOKUP(C2086, '[1]VLOOKUP 함수용 카테고리'!$A$1:$B$59, 2, 0)</f>
        <v>SIMPLE_PROCESSED</v>
      </c>
      <c r="E2086" t="s">
        <v>28</v>
      </c>
      <c r="F2086" t="s">
        <v>51</v>
      </c>
    </row>
    <row r="2087" spans="1:6" x14ac:dyDescent="0.3">
      <c r="A2087" t="s">
        <v>3682</v>
      </c>
      <c r="B2087" t="str" cm="1">
        <f t="array" ref="B2087">_xlfn.XLOOKUP(C2087, INDEX([1]!카테고리매핑,,2), INDEX([1]!카테고리매핑,,1), "미등록 카테고리")</f>
        <v>간편식</v>
      </c>
      <c r="C2087" t="s">
        <v>46</v>
      </c>
      <c r="D2087" t="str">
        <f>VLOOKUP(C2087, '[1]VLOOKUP 함수용 카테고리'!$A$1:$B$59, 2, 0)</f>
        <v>RTC_MEAL</v>
      </c>
      <c r="E2087" t="s">
        <v>46</v>
      </c>
      <c r="F2087" t="s">
        <v>3683</v>
      </c>
    </row>
    <row r="2088" spans="1:6" x14ac:dyDescent="0.3">
      <c r="A2088" t="s">
        <v>3684</v>
      </c>
      <c r="B2088" t="str" cm="1">
        <f t="array" ref="B2088">_xlfn.XLOOKUP(C2088, INDEX([1]!카테고리매핑,,2), INDEX([1]!카테고리매핑,,1), "미등록 카테고리")</f>
        <v>간편식</v>
      </c>
      <c r="C2088" t="s">
        <v>256</v>
      </c>
      <c r="D2088" t="str">
        <f>VLOOKUP(C2088, '[1]VLOOKUP 함수용 카테고리'!$A$1:$B$59, 2, 0)</f>
        <v>RTC_MEAL</v>
      </c>
      <c r="E2088" t="s">
        <v>256</v>
      </c>
      <c r="F2088" t="s">
        <v>3685</v>
      </c>
    </row>
    <row r="2089" spans="1:6" x14ac:dyDescent="0.3">
      <c r="A2089" t="s">
        <v>3686</v>
      </c>
      <c r="B2089" t="str" cm="1">
        <f t="array" ref="B2089">_xlfn.XLOOKUP(C2089, INDEX([1]!카테고리매핑,,2), INDEX([1]!카테고리매핑,,1), "미등록 카테고리")</f>
        <v>채소/곡물류</v>
      </c>
      <c r="C2089" t="s">
        <v>27</v>
      </c>
      <c r="D2089" t="str">
        <f>VLOOKUP(C2089, '[1]VLOOKUP 함수용 카테고리'!$A$1:$B$59, 2, 0)</f>
        <v>SIMPLE_PROCESSED</v>
      </c>
      <c r="E2089" t="s">
        <v>28</v>
      </c>
      <c r="F2089" t="s">
        <v>51</v>
      </c>
    </row>
    <row r="2090" spans="1:6" x14ac:dyDescent="0.3">
      <c r="A2090" t="s">
        <v>3687</v>
      </c>
      <c r="B2090" t="str" cm="1">
        <f t="array" ref="B2090">_xlfn.XLOOKUP(C2090, INDEX([1]!카테고리매핑,,2), INDEX([1]!카테고리매핑,,1), "미등록 카테고리")</f>
        <v>육류/계란</v>
      </c>
      <c r="C2090" t="s">
        <v>298</v>
      </c>
      <c r="D2090" t="str">
        <f>VLOOKUP(C2090, '[1]VLOOKUP 함수용 카테고리'!$A$1:$B$59, 2, 0)</f>
        <v>RAW_MEAT</v>
      </c>
      <c r="E2090" t="s">
        <v>298</v>
      </c>
      <c r="F2090" t="s">
        <v>151</v>
      </c>
    </row>
    <row r="2091" spans="1:6" x14ac:dyDescent="0.3">
      <c r="A2091" t="s">
        <v>3688</v>
      </c>
      <c r="B2091" t="str" cm="1">
        <f t="array" ref="B2091">_xlfn.XLOOKUP(C2091, INDEX([1]!카테고리매핑,,2), INDEX([1]!카테고리매핑,,1), "미등록 카테고리")</f>
        <v>조미료</v>
      </c>
      <c r="C2091" t="s">
        <v>558</v>
      </c>
      <c r="D2091" t="str">
        <f>VLOOKUP(C2091, '[1]VLOOKUP 함수용 카테고리'!$A$1:$B$59, 2, 0)</f>
        <v>SAUCE_SEASONING</v>
      </c>
      <c r="E2091" t="s">
        <v>3689</v>
      </c>
    </row>
    <row r="2092" spans="1:6" x14ac:dyDescent="0.3">
      <c r="A2092" t="s">
        <v>3690</v>
      </c>
      <c r="B2092" t="str" cm="1">
        <f t="array" ref="B2092">_xlfn.XLOOKUP(C2092, INDEX([1]!카테고리매핑,,2), INDEX([1]!카테고리매핑,,1), "미등록 카테고리")</f>
        <v>간편식</v>
      </c>
      <c r="C2092" t="s">
        <v>131</v>
      </c>
      <c r="D2092" t="str">
        <f>VLOOKUP(C2092, '[1]VLOOKUP 함수용 카테고리'!$A$1:$B$59, 2, 0)</f>
        <v>SIMPLE_PROCESSED</v>
      </c>
      <c r="E2092" t="s">
        <v>3691</v>
      </c>
      <c r="F2092" t="s">
        <v>3692</v>
      </c>
    </row>
    <row r="2093" spans="1:6" x14ac:dyDescent="0.3">
      <c r="A2093" t="s">
        <v>3693</v>
      </c>
      <c r="B2093" t="str" cm="1">
        <f t="array" ref="B2093">_xlfn.XLOOKUP(C2093, INDEX([1]!카테고리매핑,,2), INDEX([1]!카테고리매핑,,1), "미등록 카테고리")</f>
        <v>육류/계란</v>
      </c>
      <c r="C2093" t="s">
        <v>105</v>
      </c>
      <c r="D2093" t="str">
        <f>VLOOKUP(C2093, '[1]VLOOKUP 함수용 카테고리'!$A$1:$B$59, 2, 0)</f>
        <v>RAW_MEAT</v>
      </c>
      <c r="E2093" t="s">
        <v>1031</v>
      </c>
      <c r="F2093" t="s">
        <v>3694</v>
      </c>
    </row>
    <row r="2094" spans="1:6" x14ac:dyDescent="0.3">
      <c r="A2094" t="s">
        <v>3695</v>
      </c>
      <c r="B2094" t="str" cm="1">
        <f t="array" ref="B2094">_xlfn.XLOOKUP(C2094, INDEX([1]!카테고리매핑,,2), INDEX([1]!카테고리매핑,,1), "미등록 카테고리")</f>
        <v>조미료</v>
      </c>
      <c r="C2094" t="s">
        <v>84</v>
      </c>
      <c r="D2094" t="str">
        <f>VLOOKUP(C2094, '[1]VLOOKUP 함수용 카테고리'!$A$1:$B$59, 2, 0)</f>
        <v>SAUCE_SEASONING</v>
      </c>
      <c r="E2094" t="s">
        <v>85</v>
      </c>
      <c r="F2094" t="s">
        <v>3696</v>
      </c>
    </row>
    <row r="2095" spans="1:6" x14ac:dyDescent="0.3">
      <c r="A2095" t="s">
        <v>3697</v>
      </c>
      <c r="B2095" t="str" cm="1">
        <f t="array" ref="B2095">_xlfn.XLOOKUP(C2095, INDEX([1]!카테고리매핑,,2), INDEX([1]!카테고리매핑,,1), "미등록 카테고리")</f>
        <v>술</v>
      </c>
      <c r="C2095" t="s">
        <v>411</v>
      </c>
      <c r="D2095" t="str">
        <f>VLOOKUP(C2095, '[1]VLOOKUP 함수용 카테고리'!$A$1:$B$59, 2, 0)</f>
        <v>ALCOHOL</v>
      </c>
      <c r="E2095" t="s">
        <v>1159</v>
      </c>
      <c r="F2095" t="s">
        <v>7762</v>
      </c>
    </row>
    <row r="2096" spans="1:6" x14ac:dyDescent="0.3">
      <c r="A2096" t="s">
        <v>3698</v>
      </c>
      <c r="B2096" t="str" cm="1">
        <f t="array" ref="B2096">_xlfn.XLOOKUP(C2096, INDEX([1]!카테고리매핑,,2), INDEX([1]!카테고리매핑,,1), "미등록 카테고리")</f>
        <v>간식류</v>
      </c>
      <c r="C2096" t="s">
        <v>15</v>
      </c>
      <c r="D2096" t="str">
        <f>VLOOKUP(C2096, '[1]VLOOKUP 함수용 카테고리'!$A$1:$B$59, 2, 0)</f>
        <v>BAKERY</v>
      </c>
      <c r="E2096" t="s">
        <v>3699</v>
      </c>
      <c r="F2096" t="s">
        <v>3700</v>
      </c>
    </row>
    <row r="2097" spans="1:6" x14ac:dyDescent="0.3">
      <c r="A2097" t="s">
        <v>3701</v>
      </c>
      <c r="B2097" t="str" cm="1">
        <f t="array" ref="B2097">_xlfn.XLOOKUP(C2097, INDEX([1]!카테고리매핑,,2), INDEX([1]!카테고리매핑,,1), "미등록 카테고리")</f>
        <v>육류/계란</v>
      </c>
      <c r="C2097" t="s">
        <v>428</v>
      </c>
      <c r="D2097" t="str">
        <f>VLOOKUP(C2097, '[1]VLOOKUP 함수용 카테고리'!$A$1:$B$59, 2, 0)</f>
        <v>PROCESSED_MEAT</v>
      </c>
      <c r="E2097" t="s">
        <v>3702</v>
      </c>
      <c r="F2097" t="s">
        <v>944</v>
      </c>
    </row>
    <row r="2098" spans="1:6" x14ac:dyDescent="0.3">
      <c r="A2098" t="s">
        <v>3703</v>
      </c>
      <c r="B2098" t="str" cm="1">
        <f t="array" ref="B2098">_xlfn.XLOOKUP(C2098, INDEX([1]!카테고리매핑,,2), INDEX([1]!카테고리매핑,,1), "미등록 카테고리")</f>
        <v>상온식품</v>
      </c>
      <c r="C2098" t="s">
        <v>276</v>
      </c>
      <c r="D2098" t="str">
        <f>VLOOKUP(C2098, '[1]VLOOKUP 함수용 카테고리'!$A$1:$B$59, 2, 0)</f>
        <v>DRIED_SEAFOOD</v>
      </c>
      <c r="E2098" t="s">
        <v>277</v>
      </c>
      <c r="F2098" t="s">
        <v>704</v>
      </c>
    </row>
    <row r="2099" spans="1:6" x14ac:dyDescent="0.3">
      <c r="A2099" t="s">
        <v>3704</v>
      </c>
      <c r="B2099" t="str" cm="1">
        <f t="array" ref="B2099">_xlfn.XLOOKUP(C2099, INDEX([1]!카테고리매핑,,2), INDEX([1]!카테고리매핑,,1), "미등록 카테고리")</f>
        <v>음료</v>
      </c>
      <c r="C2099" t="s">
        <v>23</v>
      </c>
      <c r="D2099" t="str">
        <f>VLOOKUP(C2099, '[1]VLOOKUP 함수용 카테고리'!$A$1:$B$59, 2, 0)</f>
        <v>BEVERAGE</v>
      </c>
      <c r="E2099" t="s">
        <v>3705</v>
      </c>
    </row>
    <row r="2100" spans="1:6" x14ac:dyDescent="0.3">
      <c r="A2100" t="s">
        <v>3706</v>
      </c>
      <c r="B2100" t="str" cm="1">
        <f t="array" ref="B2100">_xlfn.XLOOKUP(C2100, INDEX([1]!카테고리매핑,,2), INDEX([1]!카테고리매핑,,1), "미등록 카테고리")</f>
        <v>조미료</v>
      </c>
      <c r="C2100" t="s">
        <v>127</v>
      </c>
      <c r="D2100" t="str">
        <f>VLOOKUP(C2100, '[1]VLOOKUP 함수용 카테고리'!$A$1:$B$59, 2, 0)</f>
        <v>SAUCE_SEASONING</v>
      </c>
      <c r="E2100" t="s">
        <v>3707</v>
      </c>
      <c r="F2100" t="s">
        <v>1457</v>
      </c>
    </row>
    <row r="2101" spans="1:6" x14ac:dyDescent="0.3">
      <c r="A2101" t="s">
        <v>3708</v>
      </c>
      <c r="B2101" t="str" cm="1">
        <f t="array" ref="B2101">_xlfn.XLOOKUP(C2101, INDEX([1]!카테고리매핑,,2), INDEX([1]!카테고리매핑,,1), "미등록 카테고리")</f>
        <v>조미료</v>
      </c>
      <c r="C2101" t="s">
        <v>117</v>
      </c>
      <c r="D2101" t="str">
        <f>VLOOKUP(C2101, '[1]VLOOKUP 함수용 카테고리'!$A$1:$B$59, 2, 0)</f>
        <v>SAUCE_SEASONING</v>
      </c>
      <c r="E2101" t="s">
        <v>421</v>
      </c>
      <c r="F2101" t="s">
        <v>3709</v>
      </c>
    </row>
    <row r="2102" spans="1:6" x14ac:dyDescent="0.3">
      <c r="A2102" t="s">
        <v>3710</v>
      </c>
      <c r="B2102" t="str" cm="1">
        <f t="array" ref="B2102">_xlfn.XLOOKUP(C2102, INDEX([1]!카테고리매핑,,2), INDEX([1]!카테고리매핑,,1), "미등록 카테고리")</f>
        <v>육류/계란</v>
      </c>
      <c r="C2102" t="s">
        <v>428</v>
      </c>
      <c r="D2102" t="str">
        <f>VLOOKUP(C2102, '[1]VLOOKUP 함수용 카테고리'!$A$1:$B$59, 2, 0)</f>
        <v>PROCESSED_MEAT</v>
      </c>
      <c r="E2102" t="s">
        <v>3702</v>
      </c>
      <c r="F2102" t="s">
        <v>7823</v>
      </c>
    </row>
    <row r="2103" spans="1:6" x14ac:dyDescent="0.3">
      <c r="A2103" t="s">
        <v>3711</v>
      </c>
      <c r="B2103" t="str" cm="1">
        <f t="array" ref="B2103">_xlfn.XLOOKUP(C2103, INDEX([1]!카테고리매핑,,2), INDEX([1]!카테고리매핑,,1), "미등록 카테고리")</f>
        <v>간식류</v>
      </c>
      <c r="C2103" t="s">
        <v>63</v>
      </c>
      <c r="D2103" t="str">
        <f>VLOOKUP(C2103, '[1]VLOOKUP 함수용 카테고리'!$A$1:$B$59, 2, 0)</f>
        <v>BAKERY</v>
      </c>
      <c r="E2103" t="s">
        <v>3712</v>
      </c>
      <c r="F2103" t="s">
        <v>3713</v>
      </c>
    </row>
    <row r="2104" spans="1:6" x14ac:dyDescent="0.3">
      <c r="A2104" t="s">
        <v>3714</v>
      </c>
      <c r="B2104" t="str" cm="1">
        <f t="array" ref="B2104">_xlfn.XLOOKUP(C2104, INDEX([1]!카테고리매핑,,2), INDEX([1]!카테고리매핑,,1), "미등록 카테고리")</f>
        <v>육류/계란</v>
      </c>
      <c r="C2104" t="s">
        <v>149</v>
      </c>
      <c r="D2104" t="str">
        <f>VLOOKUP(C2104, '[1]VLOOKUP 함수용 카테고리'!$A$1:$B$59, 2, 0)</f>
        <v>RAW_MEAT</v>
      </c>
      <c r="E2104" t="s">
        <v>3715</v>
      </c>
      <c r="F2104" t="s">
        <v>7691</v>
      </c>
    </row>
    <row r="2105" spans="1:6" x14ac:dyDescent="0.3">
      <c r="A2105" t="s">
        <v>3717</v>
      </c>
      <c r="B2105" t="str" cm="1">
        <f t="array" ref="B2105">_xlfn.XLOOKUP(C2105, INDEX([1]!카테고리매핑,,2), INDEX([1]!카테고리매핑,,1), "미등록 카테고리")</f>
        <v>간편식</v>
      </c>
      <c r="C2105" t="s">
        <v>161</v>
      </c>
      <c r="D2105" t="str">
        <f>VLOOKUP(C2105, '[1]VLOOKUP 함수용 카테고리'!$A$1:$B$59, 2, 0)</f>
        <v>RTC_MEAL</v>
      </c>
      <c r="E2105" t="s">
        <v>162</v>
      </c>
      <c r="F2105" t="s">
        <v>406</v>
      </c>
    </row>
    <row r="2106" spans="1:6" x14ac:dyDescent="0.3">
      <c r="A2106" t="s">
        <v>3718</v>
      </c>
      <c r="B2106" t="str" cm="1">
        <f t="array" ref="B2106">_xlfn.XLOOKUP(C2106, INDEX([1]!카테고리매핑,,2), INDEX([1]!카테고리매핑,,1), "미등록 카테고리")</f>
        <v>간편식</v>
      </c>
      <c r="C2106" t="s">
        <v>167</v>
      </c>
      <c r="D2106" t="str">
        <f>VLOOKUP(C2106, '[1]VLOOKUP 함수용 카테고리'!$A$1:$B$59, 2, 0)</f>
        <v>INSTANT</v>
      </c>
      <c r="E2106" t="s">
        <v>1386</v>
      </c>
      <c r="F2106" t="s">
        <v>1387</v>
      </c>
    </row>
    <row r="2107" spans="1:6" x14ac:dyDescent="0.3">
      <c r="A2107" t="s">
        <v>3719</v>
      </c>
      <c r="B2107" t="str" cm="1">
        <f t="array" ref="B2107">_xlfn.XLOOKUP(C2107, INDEX([1]!카테고리매핑,,2), INDEX([1]!카테고리매핑,,1), "미등록 카테고리")</f>
        <v>간식류</v>
      </c>
      <c r="C2107" t="s">
        <v>15</v>
      </c>
      <c r="D2107" t="str">
        <f>VLOOKUP(C2107, '[1]VLOOKUP 함수용 카테고리'!$A$1:$B$59, 2, 0)</f>
        <v>BAKERY</v>
      </c>
      <c r="E2107" t="s">
        <v>3720</v>
      </c>
      <c r="F2107" t="s">
        <v>2975</v>
      </c>
    </row>
    <row r="2108" spans="1:6" x14ac:dyDescent="0.3">
      <c r="A2108" t="s">
        <v>3721</v>
      </c>
      <c r="B2108" t="str" cm="1">
        <f t="array" ref="B2108">_xlfn.XLOOKUP(C2108, INDEX([1]!카테고리매핑,,2), INDEX([1]!카테고리매핑,,1), "미등록 카테고리")</f>
        <v>조미료</v>
      </c>
      <c r="C2108" t="s">
        <v>127</v>
      </c>
      <c r="D2108" t="str">
        <f>VLOOKUP(C2108, '[1]VLOOKUP 함수용 카테고리'!$A$1:$B$59, 2, 0)</f>
        <v>SAUCE_SEASONING</v>
      </c>
      <c r="E2108" t="s">
        <v>3722</v>
      </c>
      <c r="F2108" t="s">
        <v>1442</v>
      </c>
    </row>
    <row r="2109" spans="1:6" x14ac:dyDescent="0.3">
      <c r="A2109" t="s">
        <v>3723</v>
      </c>
      <c r="B2109" t="str" cm="1">
        <f t="array" ref="B2109">_xlfn.XLOOKUP(C2109, INDEX([1]!카테고리매핑,,2), INDEX([1]!카테고리매핑,,1), "미등록 카테고리")</f>
        <v>간편식</v>
      </c>
      <c r="C2109" t="s">
        <v>131</v>
      </c>
      <c r="D2109" t="str">
        <f>VLOOKUP(C2109, '[1]VLOOKUP 함수용 카테고리'!$A$1:$B$59, 2, 0)</f>
        <v>SIMPLE_PROCESSED</v>
      </c>
      <c r="E2109" t="s">
        <v>2380</v>
      </c>
      <c r="F2109" t="s">
        <v>350</v>
      </c>
    </row>
    <row r="2110" spans="1:6" x14ac:dyDescent="0.3">
      <c r="A2110" t="s">
        <v>3724</v>
      </c>
      <c r="B2110" t="str" cm="1">
        <f t="array" ref="B2110">_xlfn.XLOOKUP(C2110, INDEX([1]!카테고리매핑,,2), INDEX([1]!카테고리매핑,,1), "미등록 카테고리")</f>
        <v>음료</v>
      </c>
      <c r="C2110" t="s">
        <v>23</v>
      </c>
      <c r="D2110" t="str">
        <f>VLOOKUP(C2110, '[1]VLOOKUP 함수용 카테고리'!$A$1:$B$59, 2, 0)</f>
        <v>BEVERAGE</v>
      </c>
      <c r="E2110" t="s">
        <v>1156</v>
      </c>
      <c r="F2110" t="s">
        <v>306</v>
      </c>
    </row>
    <row r="2111" spans="1:6" x14ac:dyDescent="0.3">
      <c r="A2111" t="s">
        <v>3725</v>
      </c>
      <c r="B2111" t="str" cm="1">
        <f t="array" ref="B2111">_xlfn.XLOOKUP(C2111, INDEX([1]!카테고리매핑,,2), INDEX([1]!카테고리매핑,,1), "미등록 카테고리")</f>
        <v>간편식</v>
      </c>
      <c r="C2111" t="s">
        <v>19</v>
      </c>
      <c r="D2111" t="str">
        <f>VLOOKUP(C2111, '[1]VLOOKUP 함수용 카테고리'!$A$1:$B$59, 2, 0)</f>
        <v>FROZEN_MEAL</v>
      </c>
      <c r="E2111" t="s">
        <v>1685</v>
      </c>
      <c r="F2111" t="s">
        <v>833</v>
      </c>
    </row>
    <row r="2112" spans="1:6" x14ac:dyDescent="0.3">
      <c r="A2112" t="s">
        <v>3726</v>
      </c>
      <c r="B2112" t="str" cm="1">
        <f t="array" ref="B2112">_xlfn.XLOOKUP(C2112, INDEX([1]!카테고리매핑,,2), INDEX([1]!카테고리매핑,,1), "미등록 카테고리")</f>
        <v>조미료</v>
      </c>
      <c r="C2112" t="s">
        <v>127</v>
      </c>
      <c r="D2112" t="str">
        <f>VLOOKUP(C2112, '[1]VLOOKUP 함수용 카테고리'!$A$1:$B$59, 2, 0)</f>
        <v>SAUCE_SEASONING</v>
      </c>
      <c r="E2112" t="s">
        <v>349</v>
      </c>
      <c r="F2112" t="s">
        <v>646</v>
      </c>
    </row>
    <row r="2113" spans="1:6" x14ac:dyDescent="0.3">
      <c r="A2113" t="s">
        <v>3727</v>
      </c>
      <c r="B2113" t="str" cm="1">
        <f t="array" ref="B2113">_xlfn.XLOOKUP(C2113, INDEX([1]!카테고리매핑,,2), INDEX([1]!카테고리매핑,,1), "미등록 카테고리")</f>
        <v>조미료</v>
      </c>
      <c r="C2113" t="s">
        <v>558</v>
      </c>
      <c r="D2113" t="str">
        <f>VLOOKUP(C2113, '[1]VLOOKUP 함수용 카테고리'!$A$1:$B$59, 2, 0)</f>
        <v>SAUCE_SEASONING</v>
      </c>
      <c r="E2113" t="s">
        <v>3728</v>
      </c>
      <c r="F2113" t="s">
        <v>156</v>
      </c>
    </row>
    <row r="2114" spans="1:6" x14ac:dyDescent="0.3">
      <c r="A2114" t="s">
        <v>3729</v>
      </c>
      <c r="B2114" t="str" cm="1">
        <f t="array" ref="B2114">_xlfn.XLOOKUP(C2114, INDEX([1]!카테고리매핑,,2), INDEX([1]!카테고리매핑,,1), "미등록 카테고리")</f>
        <v>간편식</v>
      </c>
      <c r="C2114" t="s">
        <v>256</v>
      </c>
      <c r="D2114" t="str">
        <f>VLOOKUP(C2114, '[1]VLOOKUP 함수용 카테고리'!$A$1:$B$59, 2, 0)</f>
        <v>RTC_MEAL</v>
      </c>
      <c r="E2114" t="s">
        <v>256</v>
      </c>
      <c r="F2114" t="s">
        <v>3730</v>
      </c>
    </row>
    <row r="2115" spans="1:6" x14ac:dyDescent="0.3">
      <c r="A2115" t="s">
        <v>3731</v>
      </c>
      <c r="B2115" t="str" cm="1">
        <f t="array" ref="B2115">_xlfn.XLOOKUP(C2115, INDEX([1]!카테고리매핑,,2), INDEX([1]!카테고리매핑,,1), "미등록 카테고리")</f>
        <v>조미료</v>
      </c>
      <c r="C2115" t="s">
        <v>83</v>
      </c>
      <c r="D2115" t="str">
        <f>VLOOKUP(C2115, '[1]VLOOKUP 함수용 카테고리'!$A$1:$B$59, 2, 0)</f>
        <v>SAUCE_SEASONING</v>
      </c>
      <c r="E2115" t="s">
        <v>2794</v>
      </c>
      <c r="F2115" t="s">
        <v>646</v>
      </c>
    </row>
    <row r="2116" spans="1:6" x14ac:dyDescent="0.3">
      <c r="A2116" t="s">
        <v>3732</v>
      </c>
      <c r="B2116" t="str" cm="1">
        <f t="array" ref="B2116">_xlfn.XLOOKUP(C2116, INDEX([1]!카테고리매핑,,2), INDEX([1]!카테고리매핑,,1), "미등록 카테고리")</f>
        <v>술</v>
      </c>
      <c r="C2116" t="s">
        <v>42</v>
      </c>
      <c r="D2116" t="str">
        <f>VLOOKUP(C2116, '[1]VLOOKUP 함수용 카테고리'!$A$1:$B$59, 2, 0)</f>
        <v>ALCOHOL</v>
      </c>
      <c r="E2116" t="s">
        <v>43</v>
      </c>
    </row>
    <row r="2117" spans="1:6" x14ac:dyDescent="0.3">
      <c r="A2117" t="s">
        <v>3733</v>
      </c>
      <c r="B2117" t="str" cm="1">
        <f t="array" ref="B2117">_xlfn.XLOOKUP(C2117, INDEX([1]!카테고리매핑,,2), INDEX([1]!카테고리매핑,,1), "미등록 카테고리")</f>
        <v>유제품</v>
      </c>
      <c r="C2117" t="s">
        <v>432</v>
      </c>
      <c r="D2117" t="str">
        <f>VLOOKUP(C2117, '[1]VLOOKUP 함수용 카테고리'!$A$1:$B$59, 2, 0)</f>
        <v>DAIRY</v>
      </c>
      <c r="E2117" t="s">
        <v>549</v>
      </c>
      <c r="F2117" t="s">
        <v>1021</v>
      </c>
    </row>
    <row r="2118" spans="1:6" x14ac:dyDescent="0.3">
      <c r="A2118" t="s">
        <v>3734</v>
      </c>
      <c r="B2118" t="str" cm="1">
        <f t="array" ref="B2118">_xlfn.XLOOKUP(C2118, INDEX([1]!카테고리매핑,,2), INDEX([1]!카테고리매핑,,1), "미등록 카테고리")</f>
        <v>수산물</v>
      </c>
      <c r="C2118" t="s">
        <v>183</v>
      </c>
      <c r="D2118" t="str">
        <f>VLOOKUP(C2118, '[1]VLOOKUP 함수용 카테고리'!$A$1:$B$59, 2, 0)</f>
        <v>DRIED_SEAFOOD</v>
      </c>
      <c r="E2118" t="s">
        <v>466</v>
      </c>
      <c r="F2118" t="s">
        <v>3735</v>
      </c>
    </row>
    <row r="2119" spans="1:6" x14ac:dyDescent="0.3">
      <c r="A2119" t="s">
        <v>3736</v>
      </c>
      <c r="B2119" t="str" cm="1">
        <f t="array" ref="B2119">_xlfn.XLOOKUP(C2119, INDEX([1]!카테고리매핑,,2), INDEX([1]!카테고리매핑,,1), "미등록 카테고리")</f>
        <v>간편식</v>
      </c>
      <c r="C2119" t="s">
        <v>46</v>
      </c>
      <c r="D2119" t="str">
        <f>VLOOKUP(C2119, '[1]VLOOKUP 함수용 카테고리'!$A$1:$B$59, 2, 0)</f>
        <v>RTC_MEAL</v>
      </c>
      <c r="E2119" t="s">
        <v>46</v>
      </c>
      <c r="F2119" t="s">
        <v>3737</v>
      </c>
    </row>
    <row r="2120" spans="1:6" x14ac:dyDescent="0.3">
      <c r="A2120" t="s">
        <v>3738</v>
      </c>
      <c r="B2120" t="str" cm="1">
        <f t="array" ref="B2120">_xlfn.XLOOKUP(C2120, INDEX([1]!카테고리매핑,,2), INDEX([1]!카테고리매핑,,1), "미등록 카테고리")</f>
        <v>채소/곡물류</v>
      </c>
      <c r="C2120" t="s">
        <v>301</v>
      </c>
      <c r="D2120" t="str">
        <f>VLOOKUP(C2120, '[1]VLOOKUP 함수용 카테고리'!$A$1:$B$59, 2, 0)</f>
        <v>GRAIN</v>
      </c>
      <c r="E2120" t="s">
        <v>1737</v>
      </c>
      <c r="F2120" t="s">
        <v>941</v>
      </c>
    </row>
    <row r="2121" spans="1:6" x14ac:dyDescent="0.3">
      <c r="A2121" t="s">
        <v>3739</v>
      </c>
      <c r="B2121" t="str" cm="1">
        <f t="array" ref="B2121">_xlfn.XLOOKUP(C2121, INDEX([1]!카테고리매핑,,2), INDEX([1]!카테고리매핑,,1), "미등록 카테고리")</f>
        <v>간편식</v>
      </c>
      <c r="C2121" t="s">
        <v>131</v>
      </c>
      <c r="D2121" t="str">
        <f>VLOOKUP(C2121, '[1]VLOOKUP 함수용 카테고리'!$A$1:$B$59, 2, 0)</f>
        <v>SIMPLE_PROCESSED</v>
      </c>
      <c r="E2121" t="s">
        <v>1149</v>
      </c>
      <c r="F2121" t="s">
        <v>111</v>
      </c>
    </row>
    <row r="2122" spans="1:6" x14ac:dyDescent="0.3">
      <c r="A2122" t="s">
        <v>3740</v>
      </c>
      <c r="B2122" t="str" cm="1">
        <f t="array" ref="B2122">_xlfn.XLOOKUP(C2122, INDEX([1]!카테고리매핑,,2), INDEX([1]!카테고리매핑,,1), "미등록 카테고리")</f>
        <v>간편식</v>
      </c>
      <c r="C2122" t="s">
        <v>256</v>
      </c>
      <c r="D2122" t="str">
        <f>VLOOKUP(C2122, '[1]VLOOKUP 함수용 카테고리'!$A$1:$B$59, 2, 0)</f>
        <v>RTC_MEAL</v>
      </c>
      <c r="E2122" t="s">
        <v>256</v>
      </c>
      <c r="F2122" t="s">
        <v>3741</v>
      </c>
    </row>
    <row r="2123" spans="1:6" x14ac:dyDescent="0.3">
      <c r="A2123" t="s">
        <v>3742</v>
      </c>
      <c r="B2123" t="str" cm="1">
        <f t="array" ref="B2123">_xlfn.XLOOKUP(C2123, INDEX([1]!카테고리매핑,,2), INDEX([1]!카테고리매핑,,1), "미등록 카테고리")</f>
        <v>수산물</v>
      </c>
      <c r="C2123" t="s">
        <v>203</v>
      </c>
      <c r="D2123" t="str">
        <f>VLOOKUP(C2123, '[1]VLOOKUP 함수용 카테고리'!$A$1:$B$59, 2, 0)</f>
        <v>RAW_SEAFOOD</v>
      </c>
      <c r="E2123" t="s">
        <v>1801</v>
      </c>
      <c r="F2123" t="s">
        <v>3743</v>
      </c>
    </row>
    <row r="2124" spans="1:6" x14ac:dyDescent="0.3">
      <c r="A2124" t="s">
        <v>3744</v>
      </c>
      <c r="B2124" t="str" cm="1">
        <f t="array" ref="B2124">_xlfn.XLOOKUP(C2124, INDEX([1]!카테고리매핑,,2), INDEX([1]!카테고리매핑,,1), "미등록 카테고리")</f>
        <v>상온식품</v>
      </c>
      <c r="C2124" t="s">
        <v>835</v>
      </c>
      <c r="D2124" t="str">
        <f>VLOOKUP(C2124, '[1]VLOOKUP 함수용 카테고리'!$A$1:$B$59, 2, 0)</f>
        <v>SAUCE_SEASONING</v>
      </c>
      <c r="E2124" t="s">
        <v>3745</v>
      </c>
      <c r="F2124" t="s">
        <v>3746</v>
      </c>
    </row>
    <row r="2125" spans="1:6" x14ac:dyDescent="0.3">
      <c r="A2125" t="s">
        <v>3747</v>
      </c>
      <c r="B2125" t="str" cm="1">
        <f t="array" ref="B2125">_xlfn.XLOOKUP(C2125, INDEX([1]!카테고리매핑,,2), INDEX([1]!카테고리매핑,,1), "미등록 카테고리")</f>
        <v>수산물</v>
      </c>
      <c r="C2125" t="s">
        <v>203</v>
      </c>
      <c r="D2125" t="str">
        <f>VLOOKUP(C2125, '[1]VLOOKUP 함수용 카테고리'!$A$1:$B$59, 2, 0)</f>
        <v>RAW_SEAFOOD</v>
      </c>
      <c r="E2125" t="s">
        <v>1393</v>
      </c>
    </row>
    <row r="2126" spans="1:6" x14ac:dyDescent="0.3">
      <c r="A2126" t="s">
        <v>3748</v>
      </c>
      <c r="B2126" t="str" cm="1">
        <f t="array" ref="B2126">_xlfn.XLOOKUP(C2126, INDEX([1]!카테고리매핑,,2), INDEX([1]!카테고리매핑,,1), "미등록 카테고리")</f>
        <v>간편식</v>
      </c>
      <c r="C2126" t="s">
        <v>46</v>
      </c>
      <c r="D2126" t="str">
        <f>VLOOKUP(C2126, '[1]VLOOKUP 함수용 카테고리'!$A$1:$B$59, 2, 0)</f>
        <v>RTC_MEAL</v>
      </c>
      <c r="E2126" t="s">
        <v>46</v>
      </c>
    </row>
    <row r="2127" spans="1:6" x14ac:dyDescent="0.3">
      <c r="A2127" t="s">
        <v>3749</v>
      </c>
      <c r="B2127" t="str" cm="1">
        <f t="array" ref="B2127">_xlfn.XLOOKUP(C2127, INDEX([1]!카테고리매핑,,2), INDEX([1]!카테고리매핑,,1), "미등록 카테고리")</f>
        <v>유제품</v>
      </c>
      <c r="C2127" t="s">
        <v>211</v>
      </c>
      <c r="D2127" t="str">
        <f>VLOOKUP(C2127, '[1]VLOOKUP 함수용 카테고리'!$A$1:$B$59, 2, 0)</f>
        <v>DAIRY</v>
      </c>
      <c r="E2127" t="s">
        <v>212</v>
      </c>
      <c r="F2127" t="s">
        <v>475</v>
      </c>
    </row>
    <row r="2128" spans="1:6" x14ac:dyDescent="0.3">
      <c r="A2128" t="s">
        <v>3750</v>
      </c>
      <c r="B2128" t="str" cm="1">
        <f t="array" ref="B2128">_xlfn.XLOOKUP(C2128, INDEX([1]!카테고리매핑,,2), INDEX([1]!카테고리매핑,,1), "미등록 카테고리")</f>
        <v>간편식</v>
      </c>
      <c r="C2128" t="s">
        <v>158</v>
      </c>
      <c r="D2128" t="str">
        <f>VLOOKUP(C2128, '[1]VLOOKUP 함수용 카테고리'!$A$1:$B$59, 2, 0)</f>
        <v>INSTANT</v>
      </c>
      <c r="E2128" t="s">
        <v>3277</v>
      </c>
      <c r="F2128" t="s">
        <v>7799</v>
      </c>
    </row>
    <row r="2129" spans="1:6" x14ac:dyDescent="0.3">
      <c r="A2129" t="s">
        <v>3751</v>
      </c>
      <c r="B2129" t="str" cm="1">
        <f t="array" ref="B2129">_xlfn.XLOOKUP(C2129, INDEX([1]!카테고리매핑,,2), INDEX([1]!카테고리매핑,,1), "미등록 카테고리")</f>
        <v>간편식</v>
      </c>
      <c r="C2129" t="s">
        <v>131</v>
      </c>
      <c r="D2129" t="str">
        <f>VLOOKUP(C2129, '[1]VLOOKUP 함수용 카테고리'!$A$1:$B$59, 2, 0)</f>
        <v>SIMPLE_PROCESSED</v>
      </c>
      <c r="E2129" t="s">
        <v>3752</v>
      </c>
      <c r="F2129" t="s">
        <v>756</v>
      </c>
    </row>
    <row r="2130" spans="1:6" x14ac:dyDescent="0.3">
      <c r="A2130" t="s">
        <v>3753</v>
      </c>
      <c r="B2130" t="str" cm="1">
        <f t="array" ref="B2130">_xlfn.XLOOKUP(C2130, INDEX([1]!카테고리매핑,,2), INDEX([1]!카테고리매핑,,1), "미등록 카테고리")</f>
        <v>채소/곡물류</v>
      </c>
      <c r="C2130" t="s">
        <v>7</v>
      </c>
      <c r="D2130" t="str">
        <f>VLOOKUP(C2130, '[1]VLOOKUP 함수용 카테고리'!$A$1:$B$59, 2, 0)</f>
        <v>RAW_PRODUCE</v>
      </c>
      <c r="E2130" t="s">
        <v>1488</v>
      </c>
      <c r="F2130" t="s">
        <v>406</v>
      </c>
    </row>
    <row r="2131" spans="1:6" x14ac:dyDescent="0.3">
      <c r="A2131" t="s">
        <v>3754</v>
      </c>
      <c r="B2131" t="str" cm="1">
        <f t="array" ref="B2131">_xlfn.XLOOKUP(C2131, INDEX([1]!카테고리매핑,,2), INDEX([1]!카테고리매핑,,1), "미등록 카테고리")</f>
        <v>유제품</v>
      </c>
      <c r="C2131" t="s">
        <v>123</v>
      </c>
      <c r="D2131" t="str">
        <f>VLOOKUP(C2131, '[1]VLOOKUP 함수용 카테고리'!$A$1:$B$59, 2, 0)</f>
        <v>DAIRY</v>
      </c>
      <c r="E2131" t="s">
        <v>190</v>
      </c>
      <c r="F2131" t="s">
        <v>7824</v>
      </c>
    </row>
    <row r="2132" spans="1:6" x14ac:dyDescent="0.3">
      <c r="A2132" t="s">
        <v>3756</v>
      </c>
      <c r="B2132" t="str" cm="1">
        <f t="array" ref="B2132">_xlfn.XLOOKUP(C2132, INDEX([1]!카테고리매핑,,2), INDEX([1]!카테고리매핑,,1), "미등록 카테고리")</f>
        <v>간편식</v>
      </c>
      <c r="C2132" t="s">
        <v>131</v>
      </c>
      <c r="D2132" t="str">
        <f>VLOOKUP(C2132, '[1]VLOOKUP 함수용 카테고리'!$A$1:$B$59, 2, 0)</f>
        <v>SIMPLE_PROCESSED</v>
      </c>
      <c r="E2132" t="s">
        <v>3216</v>
      </c>
      <c r="F2132" t="s">
        <v>1418</v>
      </c>
    </row>
    <row r="2133" spans="1:6" x14ac:dyDescent="0.3">
      <c r="A2133" t="s">
        <v>3757</v>
      </c>
      <c r="B2133" t="str" cm="1">
        <f t="array" ref="B2133">_xlfn.XLOOKUP(C2133, INDEX([1]!카테고리매핑,,2), INDEX([1]!카테고리매핑,,1), "미등록 카테고리")</f>
        <v>과일/견과류</v>
      </c>
      <c r="C2133" t="s">
        <v>654</v>
      </c>
      <c r="D2133" t="str">
        <f>VLOOKUP(C2133, '[1]VLOOKUP 함수용 카테고리'!$A$1:$B$59, 2, 0)</f>
        <v>RAW_FRUIT</v>
      </c>
      <c r="E2133" t="s">
        <v>1008</v>
      </c>
      <c r="F2133" t="s">
        <v>7770</v>
      </c>
    </row>
    <row r="2134" spans="1:6" x14ac:dyDescent="0.3">
      <c r="A2134" t="s">
        <v>3758</v>
      </c>
      <c r="B2134" t="str" cm="1">
        <f t="array" ref="B2134">_xlfn.XLOOKUP(C2134, INDEX([1]!카테고리매핑,,2), INDEX([1]!카테고리매핑,,1), "미등록 카테고리")</f>
        <v>조미료</v>
      </c>
      <c r="C2134" t="s">
        <v>117</v>
      </c>
      <c r="D2134" t="str">
        <f>VLOOKUP(C2134, '[1]VLOOKUP 함수용 카테고리'!$A$1:$B$59, 2, 0)</f>
        <v>SAUCE_SEASONING</v>
      </c>
      <c r="E2134" t="s">
        <v>118</v>
      </c>
      <c r="F2134" t="s">
        <v>3759</v>
      </c>
    </row>
    <row r="2135" spans="1:6" x14ac:dyDescent="0.3">
      <c r="A2135" t="s">
        <v>3760</v>
      </c>
      <c r="B2135" t="str" cm="1">
        <f t="array" ref="B2135">_xlfn.XLOOKUP(C2135, INDEX([1]!카테고리매핑,,2), INDEX([1]!카테고리매핑,,1), "미등록 카테고리")</f>
        <v>조미료</v>
      </c>
      <c r="C2135" t="s">
        <v>117</v>
      </c>
      <c r="D2135" t="str">
        <f>VLOOKUP(C2135, '[1]VLOOKUP 함수용 카테고리'!$A$1:$B$59, 2, 0)</f>
        <v>SAUCE_SEASONING</v>
      </c>
      <c r="E2135" t="s">
        <v>2314</v>
      </c>
      <c r="F2135" t="s">
        <v>7690</v>
      </c>
    </row>
    <row r="2136" spans="1:6" x14ac:dyDescent="0.3">
      <c r="A2136" t="s">
        <v>3761</v>
      </c>
      <c r="B2136" t="str" cm="1">
        <f t="array" ref="B2136">_xlfn.XLOOKUP(C2136, INDEX([1]!카테고리매핑,,2), INDEX([1]!카테고리매핑,,1), "미등록 카테고리")</f>
        <v>육류/계란</v>
      </c>
      <c r="C2136" t="s">
        <v>105</v>
      </c>
      <c r="D2136" t="str">
        <f>VLOOKUP(C2136, '[1]VLOOKUP 함수용 카테고리'!$A$1:$B$59, 2, 0)</f>
        <v>RAW_MEAT</v>
      </c>
      <c r="E2136" t="s">
        <v>3762</v>
      </c>
    </row>
    <row r="2137" spans="1:6" x14ac:dyDescent="0.3">
      <c r="A2137" t="s">
        <v>3763</v>
      </c>
      <c r="B2137" t="str" cm="1">
        <f t="array" ref="B2137">_xlfn.XLOOKUP(C2137, INDEX([1]!카테고리매핑,,2), INDEX([1]!카테고리매핑,,1), "미등록 카테고리")</f>
        <v>채소/곡물류</v>
      </c>
      <c r="C2137" t="s">
        <v>301</v>
      </c>
      <c r="D2137" t="str">
        <f>VLOOKUP(C2137, '[1]VLOOKUP 함수용 카테고리'!$A$1:$B$59, 2, 0)</f>
        <v>GRAIN</v>
      </c>
      <c r="E2137" t="s">
        <v>611</v>
      </c>
      <c r="F2137" t="s">
        <v>7825</v>
      </c>
    </row>
    <row r="2138" spans="1:6" x14ac:dyDescent="0.3">
      <c r="A2138" t="s">
        <v>3764</v>
      </c>
      <c r="B2138" t="str" cm="1">
        <f t="array" ref="B2138">_xlfn.XLOOKUP(C2138, INDEX([1]!카테고리매핑,,2), INDEX([1]!카테고리매핑,,1), "미등록 카테고리")</f>
        <v>간식류</v>
      </c>
      <c r="C2138" t="s">
        <v>15</v>
      </c>
      <c r="D2138" t="str">
        <f>VLOOKUP(C2138, '[1]VLOOKUP 함수용 카테고리'!$A$1:$B$59, 2, 0)</f>
        <v>BAKERY</v>
      </c>
      <c r="E2138" t="s">
        <v>53</v>
      </c>
      <c r="F2138" t="s">
        <v>54</v>
      </c>
    </row>
    <row r="2139" spans="1:6" x14ac:dyDescent="0.3">
      <c r="A2139" t="s">
        <v>3765</v>
      </c>
      <c r="B2139" t="str" cm="1">
        <f t="array" ref="B2139">_xlfn.XLOOKUP(C2139, INDEX([1]!카테고리매핑,,2), INDEX([1]!카테고리매핑,,1), "미등록 카테고리")</f>
        <v>간식류</v>
      </c>
      <c r="C2139" t="s">
        <v>11</v>
      </c>
      <c r="D2139" t="str">
        <f>VLOOKUP(C2139, '[1]VLOOKUP 함수용 카테고리'!$A$1:$B$59, 2, 0)</f>
        <v>SNACK</v>
      </c>
      <c r="E2139" t="s">
        <v>361</v>
      </c>
      <c r="F2139" t="s">
        <v>3766</v>
      </c>
    </row>
    <row r="2140" spans="1:6" x14ac:dyDescent="0.3">
      <c r="A2140" t="s">
        <v>3767</v>
      </c>
      <c r="B2140" t="str" cm="1">
        <f t="array" ref="B2140">_xlfn.XLOOKUP(C2140, INDEX([1]!카테고리매핑,,2), INDEX([1]!카테고리매핑,,1), "미등록 카테고리")</f>
        <v>간식류</v>
      </c>
      <c r="C2140" t="s">
        <v>38</v>
      </c>
      <c r="D2140" t="str">
        <f>VLOOKUP(C2140, '[1]VLOOKUP 함수용 카테고리'!$A$1:$B$59, 2, 0)</f>
        <v>SNACK</v>
      </c>
      <c r="E2140" t="s">
        <v>179</v>
      </c>
      <c r="F2140" t="s">
        <v>442</v>
      </c>
    </row>
    <row r="2141" spans="1:6" x14ac:dyDescent="0.3">
      <c r="A2141" t="s">
        <v>3768</v>
      </c>
      <c r="B2141" t="str" cm="1">
        <f t="array" ref="B2141">_xlfn.XLOOKUP(C2141, INDEX([1]!카테고리매핑,,2), INDEX([1]!카테고리매핑,,1), "미등록 카테고리")</f>
        <v>간편식</v>
      </c>
      <c r="C2141" t="s">
        <v>256</v>
      </c>
      <c r="D2141" t="str">
        <f>VLOOKUP(C2141, '[1]VLOOKUP 함수용 카테고리'!$A$1:$B$59, 2, 0)</f>
        <v>RTC_MEAL</v>
      </c>
      <c r="E2141" t="s">
        <v>256</v>
      </c>
      <c r="F2141" t="s">
        <v>111</v>
      </c>
    </row>
    <row r="2142" spans="1:6" x14ac:dyDescent="0.3">
      <c r="A2142" t="s">
        <v>3769</v>
      </c>
      <c r="B2142" t="str" cm="1">
        <f t="array" ref="B2142">_xlfn.XLOOKUP(C2142, INDEX([1]!카테고리매핑,,2), INDEX([1]!카테고리매핑,,1), "미등록 카테고리")</f>
        <v>상온식품</v>
      </c>
      <c r="C2142" t="s">
        <v>276</v>
      </c>
      <c r="D2142" t="str">
        <f>VLOOKUP(C2142, '[1]VLOOKUP 함수용 카테고리'!$A$1:$B$59, 2, 0)</f>
        <v>DRIED_SEAFOOD</v>
      </c>
      <c r="E2142" t="s">
        <v>277</v>
      </c>
      <c r="F2142" t="s">
        <v>736</v>
      </c>
    </row>
    <row r="2143" spans="1:6" x14ac:dyDescent="0.3">
      <c r="A2143" t="s">
        <v>3770</v>
      </c>
      <c r="B2143" t="str" cm="1">
        <f t="array" ref="B2143">_xlfn.XLOOKUP(C2143, INDEX([1]!카테고리매핑,,2), INDEX([1]!카테고리매핑,,1), "미등록 카테고리")</f>
        <v>채소/곡물류</v>
      </c>
      <c r="C2143" t="s">
        <v>301</v>
      </c>
      <c r="D2143" t="str">
        <f>VLOOKUP(C2143, '[1]VLOOKUP 함수용 카테고리'!$A$1:$B$59, 2, 0)</f>
        <v>GRAIN</v>
      </c>
      <c r="E2143" t="s">
        <v>490</v>
      </c>
      <c r="F2143" t="s">
        <v>3771</v>
      </c>
    </row>
    <row r="2144" spans="1:6" x14ac:dyDescent="0.3">
      <c r="A2144" t="s">
        <v>3772</v>
      </c>
      <c r="B2144" t="str" cm="1">
        <f t="array" ref="B2144">_xlfn.XLOOKUP(C2144, INDEX([1]!카테고리매핑,,2), INDEX([1]!카테고리매핑,,1), "미등록 카테고리")</f>
        <v>조미료</v>
      </c>
      <c r="C2144" t="s">
        <v>83</v>
      </c>
      <c r="D2144" t="str">
        <f>VLOOKUP(C2144, '[1]VLOOKUP 함수용 카테고리'!$A$1:$B$59, 2, 0)</f>
        <v>SAUCE_SEASONING</v>
      </c>
      <c r="E2144" t="s">
        <v>1391</v>
      </c>
      <c r="F2144" t="s">
        <v>646</v>
      </c>
    </row>
    <row r="2145" spans="1:6" x14ac:dyDescent="0.3">
      <c r="A2145" t="s">
        <v>3773</v>
      </c>
      <c r="B2145" t="str" cm="1">
        <f t="array" ref="B2145">_xlfn.XLOOKUP(C2145, INDEX([1]!카테고리매핑,,2), INDEX([1]!카테고리매핑,,1), "미등록 카테고리")</f>
        <v>간편식</v>
      </c>
      <c r="C2145" t="s">
        <v>19</v>
      </c>
      <c r="D2145" t="str">
        <f>VLOOKUP(C2145, '[1]VLOOKUP 함수용 카테고리'!$A$1:$B$59, 2, 0)</f>
        <v>FROZEN_MEAL</v>
      </c>
      <c r="E2145" t="s">
        <v>1854</v>
      </c>
      <c r="F2145" t="s">
        <v>3774</v>
      </c>
    </row>
    <row r="2146" spans="1:6" x14ac:dyDescent="0.3">
      <c r="A2146" t="s">
        <v>3775</v>
      </c>
      <c r="B2146" t="str" cm="1">
        <f t="array" ref="B2146">_xlfn.XLOOKUP(C2146, INDEX([1]!카테고리매핑,,2), INDEX([1]!카테고리매핑,,1), "미등록 카테고리")</f>
        <v>술</v>
      </c>
      <c r="C2146" t="s">
        <v>42</v>
      </c>
      <c r="D2146" t="str">
        <f>VLOOKUP(C2146, '[1]VLOOKUP 함수용 카테고리'!$A$1:$B$59, 2, 0)</f>
        <v>ALCOHOL</v>
      </c>
      <c r="E2146" t="s">
        <v>347</v>
      </c>
      <c r="F2146" t="s">
        <v>1829</v>
      </c>
    </row>
    <row r="2147" spans="1:6" x14ac:dyDescent="0.3">
      <c r="A2147" t="s">
        <v>3776</v>
      </c>
      <c r="B2147" t="str" cm="1">
        <f t="array" ref="B2147">_xlfn.XLOOKUP(C2147, INDEX([1]!카테고리매핑,,2), INDEX([1]!카테고리매핑,,1), "미등록 카테고리")</f>
        <v>간식류</v>
      </c>
      <c r="C2147" t="s">
        <v>38</v>
      </c>
      <c r="D2147" t="str">
        <f>VLOOKUP(C2147, '[1]VLOOKUP 함수용 카테고리'!$A$1:$B$59, 2, 0)</f>
        <v>SNACK</v>
      </c>
      <c r="E2147" t="s">
        <v>3777</v>
      </c>
      <c r="F2147" t="s">
        <v>3778</v>
      </c>
    </row>
    <row r="2148" spans="1:6" x14ac:dyDescent="0.3">
      <c r="A2148" t="s">
        <v>3779</v>
      </c>
      <c r="B2148" t="str" cm="1">
        <f t="array" ref="B2148">_xlfn.XLOOKUP(C2148, INDEX([1]!카테고리매핑,,2), INDEX([1]!카테고리매핑,,1), "미등록 카테고리")</f>
        <v>과일/견과류</v>
      </c>
      <c r="C2148" t="s">
        <v>654</v>
      </c>
      <c r="D2148" t="str">
        <f>VLOOKUP(C2148, '[1]VLOOKUP 함수용 카테고리'!$A$1:$B$59, 2, 0)</f>
        <v>RAW_FRUIT</v>
      </c>
      <c r="E2148" t="s">
        <v>1744</v>
      </c>
      <c r="F2148" t="s">
        <v>7771</v>
      </c>
    </row>
    <row r="2149" spans="1:6" x14ac:dyDescent="0.3">
      <c r="A2149" t="s">
        <v>3780</v>
      </c>
      <c r="B2149" t="str" cm="1">
        <f t="array" ref="B2149">_xlfn.XLOOKUP(C2149, INDEX([1]!카테고리매핑,,2), INDEX([1]!카테고리매핑,,1), "미등록 카테고리")</f>
        <v>간식류</v>
      </c>
      <c r="C2149" t="s">
        <v>38</v>
      </c>
      <c r="D2149" t="str">
        <f>VLOOKUP(C2149, '[1]VLOOKUP 함수용 카테고리'!$A$1:$B$59, 2, 0)</f>
        <v>SNACK</v>
      </c>
      <c r="E2149" t="s">
        <v>925</v>
      </c>
      <c r="F2149" t="s">
        <v>734</v>
      </c>
    </row>
    <row r="2150" spans="1:6" x14ac:dyDescent="0.3">
      <c r="A2150" t="s">
        <v>3781</v>
      </c>
      <c r="B2150" t="str" cm="1">
        <f t="array" ref="B2150">_xlfn.XLOOKUP(C2150, INDEX([1]!카테고리매핑,,2), INDEX([1]!카테고리매핑,,1), "미등록 카테고리")</f>
        <v>간편식</v>
      </c>
      <c r="C2150" t="s">
        <v>46</v>
      </c>
      <c r="D2150" t="str">
        <f>VLOOKUP(C2150, '[1]VLOOKUP 함수용 카테고리'!$A$1:$B$59, 2, 0)</f>
        <v>RTC_MEAL</v>
      </c>
      <c r="E2150" t="s">
        <v>46</v>
      </c>
      <c r="F2150" t="s">
        <v>36</v>
      </c>
    </row>
    <row r="2151" spans="1:6" x14ac:dyDescent="0.3">
      <c r="A2151" t="s">
        <v>3782</v>
      </c>
      <c r="B2151" t="str" cm="1">
        <f t="array" ref="B2151">_xlfn.XLOOKUP(C2151, INDEX([1]!카테고리매핑,,2), INDEX([1]!카테고리매핑,,1), "미등록 카테고리")</f>
        <v>육류/계란</v>
      </c>
      <c r="C2151" t="s">
        <v>105</v>
      </c>
      <c r="D2151" t="str">
        <f>VLOOKUP(C2151, '[1]VLOOKUP 함수용 카테고리'!$A$1:$B$59, 2, 0)</f>
        <v>RAW_MEAT</v>
      </c>
      <c r="E2151" t="s">
        <v>3783</v>
      </c>
      <c r="F2151" t="s">
        <v>177</v>
      </c>
    </row>
    <row r="2152" spans="1:6" x14ac:dyDescent="0.3">
      <c r="A2152" t="s">
        <v>3784</v>
      </c>
      <c r="B2152" t="str" cm="1">
        <f t="array" ref="B2152">_xlfn.XLOOKUP(C2152, INDEX([1]!카테고리매핑,,2), INDEX([1]!카테고리매핑,,1), "미등록 카테고리")</f>
        <v>유제품</v>
      </c>
      <c r="C2152" t="s">
        <v>123</v>
      </c>
      <c r="D2152" t="str">
        <f>VLOOKUP(C2152, '[1]VLOOKUP 함수용 카테고리'!$A$1:$B$59, 2, 0)</f>
        <v>DAIRY</v>
      </c>
      <c r="E2152" t="s">
        <v>190</v>
      </c>
      <c r="F2152" t="s">
        <v>1043</v>
      </c>
    </row>
    <row r="2153" spans="1:6" x14ac:dyDescent="0.3">
      <c r="A2153" t="s">
        <v>3785</v>
      </c>
      <c r="B2153" t="str" cm="1">
        <f t="array" ref="B2153">_xlfn.XLOOKUP(C2153, INDEX([1]!카테고리매핑,,2), INDEX([1]!카테고리매핑,,1), "미등록 카테고리")</f>
        <v>간편식</v>
      </c>
      <c r="C2153" t="s">
        <v>46</v>
      </c>
      <c r="D2153" t="str">
        <f>VLOOKUP(C2153, '[1]VLOOKUP 함수용 카테고리'!$A$1:$B$59, 2, 0)</f>
        <v>RTC_MEAL</v>
      </c>
      <c r="E2153" t="s">
        <v>46</v>
      </c>
      <c r="F2153" t="s">
        <v>7826</v>
      </c>
    </row>
    <row r="2154" spans="1:6" x14ac:dyDescent="0.3">
      <c r="A2154" t="s">
        <v>3786</v>
      </c>
      <c r="B2154" t="str" cm="1">
        <f t="array" ref="B2154">_xlfn.XLOOKUP(C2154, INDEX([1]!카테고리매핑,,2), INDEX([1]!카테고리매핑,,1), "미등록 카테고리")</f>
        <v>음료</v>
      </c>
      <c r="C2154" t="s">
        <v>242</v>
      </c>
      <c r="D2154" t="str">
        <f>VLOOKUP(C2154, '[1]VLOOKUP 함수용 카테고리'!$A$1:$B$59, 2, 0)</f>
        <v>BEVERAGE</v>
      </c>
      <c r="E2154" t="s">
        <v>3787</v>
      </c>
      <c r="F2154" t="s">
        <v>3787</v>
      </c>
    </row>
    <row r="2155" spans="1:6" x14ac:dyDescent="0.3">
      <c r="A2155" t="s">
        <v>3788</v>
      </c>
      <c r="B2155" t="str" cm="1">
        <f t="array" ref="B2155">_xlfn.XLOOKUP(C2155, INDEX([1]!카테고리매핑,,2), INDEX([1]!카테고리매핑,,1), "미등록 카테고리")</f>
        <v>채소/곡물류</v>
      </c>
      <c r="C2155" t="s">
        <v>301</v>
      </c>
      <c r="D2155" t="str">
        <f>VLOOKUP(C2155, '[1]VLOOKUP 함수용 카테고리'!$A$1:$B$59, 2, 0)</f>
        <v>GRAIN</v>
      </c>
      <c r="E2155" t="s">
        <v>611</v>
      </c>
      <c r="F2155" t="s">
        <v>598</v>
      </c>
    </row>
    <row r="2156" spans="1:6" x14ac:dyDescent="0.3">
      <c r="A2156" t="s">
        <v>3789</v>
      </c>
      <c r="B2156" t="str" cm="1">
        <f t="array" ref="B2156">_xlfn.XLOOKUP(C2156, INDEX([1]!카테고리매핑,,2), INDEX([1]!카테고리매핑,,1), "미등록 카테고리")</f>
        <v>상온식품</v>
      </c>
      <c r="C2156" t="s">
        <v>835</v>
      </c>
      <c r="D2156" t="str">
        <f>VLOOKUP(C2156, '[1]VLOOKUP 함수용 카테고리'!$A$1:$B$59, 2, 0)</f>
        <v>SAUCE_SEASONING</v>
      </c>
      <c r="E2156" t="s">
        <v>3790</v>
      </c>
      <c r="F2156" t="s">
        <v>129</v>
      </c>
    </row>
    <row r="2157" spans="1:6" x14ac:dyDescent="0.3">
      <c r="A2157" t="s">
        <v>3791</v>
      </c>
      <c r="B2157" t="str" cm="1">
        <f t="array" ref="B2157">_xlfn.XLOOKUP(C2157, INDEX([1]!카테고리매핑,,2), INDEX([1]!카테고리매핑,,1), "미등록 카테고리")</f>
        <v>수산물</v>
      </c>
      <c r="C2157" t="s">
        <v>101</v>
      </c>
      <c r="D2157" t="str">
        <f>VLOOKUP(C2157, '[1]VLOOKUP 함수용 카테고리'!$A$1:$B$59, 2, 0)</f>
        <v>DRIED_SEAFOOD</v>
      </c>
      <c r="E2157" t="s">
        <v>665</v>
      </c>
      <c r="F2157" t="s">
        <v>1723</v>
      </c>
    </row>
    <row r="2158" spans="1:6" x14ac:dyDescent="0.3">
      <c r="A2158" t="s">
        <v>3792</v>
      </c>
      <c r="B2158" t="str" cm="1">
        <f t="array" ref="B2158">_xlfn.XLOOKUP(C2158, INDEX([1]!카테고리매핑,,2), INDEX([1]!카테고리매핑,,1), "미등록 카테고리")</f>
        <v>술</v>
      </c>
      <c r="C2158" t="s">
        <v>56</v>
      </c>
      <c r="D2158" t="str">
        <f>VLOOKUP(C2158, '[1]VLOOKUP 함수용 카테고리'!$A$1:$B$59, 2, 0)</f>
        <v>ALCOHOL</v>
      </c>
      <c r="E2158" t="s">
        <v>505</v>
      </c>
    </row>
    <row r="2159" spans="1:6" x14ac:dyDescent="0.3">
      <c r="A2159" t="s">
        <v>3793</v>
      </c>
      <c r="B2159" t="str" cm="1">
        <f t="array" ref="B2159">_xlfn.XLOOKUP(C2159, INDEX([1]!카테고리매핑,,2), INDEX([1]!카테고리매핑,,1), "미등록 카테고리")</f>
        <v>간식류</v>
      </c>
      <c r="C2159" t="s">
        <v>11</v>
      </c>
      <c r="D2159" t="str">
        <f>VLOOKUP(C2159, '[1]VLOOKUP 함수용 카테고리'!$A$1:$B$59, 2, 0)</f>
        <v>SNACK</v>
      </c>
      <c r="E2159" t="s">
        <v>81</v>
      </c>
      <c r="F2159" t="s">
        <v>3794</v>
      </c>
    </row>
    <row r="2160" spans="1:6" x14ac:dyDescent="0.3">
      <c r="A2160" t="s">
        <v>3795</v>
      </c>
      <c r="B2160" t="str" cm="1">
        <f t="array" ref="B2160">_xlfn.XLOOKUP(C2160, INDEX([1]!카테고리매핑,,2), INDEX([1]!카테고리매핑,,1), "미등록 카테고리")</f>
        <v>육류/계란</v>
      </c>
      <c r="C2160" t="s">
        <v>105</v>
      </c>
      <c r="D2160" t="str">
        <f>VLOOKUP(C2160, '[1]VLOOKUP 함수용 카테고리'!$A$1:$B$59, 2, 0)</f>
        <v>RAW_MEAT</v>
      </c>
      <c r="E2160" t="s">
        <v>2085</v>
      </c>
      <c r="F2160" t="s">
        <v>3796</v>
      </c>
    </row>
    <row r="2161" spans="1:6" x14ac:dyDescent="0.3">
      <c r="A2161" t="s">
        <v>3797</v>
      </c>
      <c r="B2161" t="str" cm="1">
        <f t="array" ref="B2161">_xlfn.XLOOKUP(C2161, INDEX([1]!카테고리매핑,,2), INDEX([1]!카테고리매핑,,1), "미등록 카테고리")</f>
        <v>육류/계란</v>
      </c>
      <c r="C2161" t="s">
        <v>298</v>
      </c>
      <c r="D2161" t="str">
        <f>VLOOKUP(C2161, '[1]VLOOKUP 함수용 카테고리'!$A$1:$B$59, 2, 0)</f>
        <v>RAW_MEAT</v>
      </c>
      <c r="E2161" t="s">
        <v>298</v>
      </c>
      <c r="F2161" t="s">
        <v>7689</v>
      </c>
    </row>
    <row r="2162" spans="1:6" x14ac:dyDescent="0.3">
      <c r="A2162" t="s">
        <v>3798</v>
      </c>
      <c r="B2162" t="str" cm="1">
        <f t="array" ref="B2162">_xlfn.XLOOKUP(C2162, INDEX([1]!카테고리매핑,,2), INDEX([1]!카테고리매핑,,1), "미등록 카테고리")</f>
        <v>간식류</v>
      </c>
      <c r="C2162" t="s">
        <v>11</v>
      </c>
      <c r="D2162" t="str">
        <f>VLOOKUP(C2162, '[1]VLOOKUP 함수용 카테고리'!$A$1:$B$59, 2, 0)</f>
        <v>SNACK</v>
      </c>
      <c r="E2162" t="s">
        <v>3799</v>
      </c>
      <c r="F2162" t="s">
        <v>3800</v>
      </c>
    </row>
    <row r="2163" spans="1:6" x14ac:dyDescent="0.3">
      <c r="A2163" t="s">
        <v>3801</v>
      </c>
      <c r="B2163" t="str" cm="1">
        <f t="array" ref="B2163">_xlfn.XLOOKUP(C2163, INDEX([1]!카테고리매핑,,2), INDEX([1]!카테고리매핑,,1), "미등록 카테고리")</f>
        <v>간식류</v>
      </c>
      <c r="C2163" t="s">
        <v>63</v>
      </c>
      <c r="D2163" t="str">
        <f>VLOOKUP(C2163, '[1]VLOOKUP 함수용 카테고리'!$A$1:$B$59, 2, 0)</f>
        <v>BAKERY</v>
      </c>
      <c r="E2163" t="s">
        <v>496</v>
      </c>
      <c r="F2163" t="s">
        <v>3802</v>
      </c>
    </row>
    <row r="2164" spans="1:6" x14ac:dyDescent="0.3">
      <c r="A2164" t="s">
        <v>3803</v>
      </c>
      <c r="B2164" t="str" cm="1">
        <f t="array" ref="B2164">_xlfn.XLOOKUP(C2164, INDEX([1]!카테고리매핑,,2), INDEX([1]!카테고리매핑,,1), "미등록 카테고리")</f>
        <v>육류/계란</v>
      </c>
      <c r="C2164" t="s">
        <v>428</v>
      </c>
      <c r="D2164" t="str">
        <f>VLOOKUP(C2164, '[1]VLOOKUP 함수용 카테고리'!$A$1:$B$59, 2, 0)</f>
        <v>PROCESSED_MEAT</v>
      </c>
      <c r="E2164" t="s">
        <v>943</v>
      </c>
      <c r="F2164" t="s">
        <v>1834</v>
      </c>
    </row>
    <row r="2165" spans="1:6" x14ac:dyDescent="0.3">
      <c r="A2165" t="s">
        <v>3804</v>
      </c>
      <c r="B2165" t="str" cm="1">
        <f t="array" ref="B2165">_xlfn.XLOOKUP(C2165, INDEX([1]!카테고리매핑,,2), INDEX([1]!카테고리매핑,,1), "미등록 카테고리")</f>
        <v>채소/곡물류</v>
      </c>
      <c r="C2165" t="s">
        <v>301</v>
      </c>
      <c r="D2165" t="str">
        <f>VLOOKUP(C2165, '[1]VLOOKUP 함수용 카테고리'!$A$1:$B$59, 2, 0)</f>
        <v>GRAIN</v>
      </c>
      <c r="E2165" t="s">
        <v>2353</v>
      </c>
      <c r="F2165" t="s">
        <v>7772</v>
      </c>
    </row>
    <row r="2166" spans="1:6" x14ac:dyDescent="0.3">
      <c r="A2166" t="s">
        <v>3805</v>
      </c>
      <c r="B2166" t="str" cm="1">
        <f t="array" ref="B2166">_xlfn.XLOOKUP(C2166, INDEX([1]!카테고리매핑,,2), INDEX([1]!카테고리매핑,,1), "미등록 카테고리")</f>
        <v>채소/곡물류</v>
      </c>
      <c r="C2166" t="s">
        <v>207</v>
      </c>
      <c r="D2166" t="str">
        <f>VLOOKUP(C2166, '[1]VLOOKUP 함수용 카테고리'!$A$1:$B$59, 2, 0)</f>
        <v>GRAIN</v>
      </c>
      <c r="E2166" t="s">
        <v>3049</v>
      </c>
      <c r="F2166" t="s">
        <v>136</v>
      </c>
    </row>
    <row r="2167" spans="1:6" x14ac:dyDescent="0.3">
      <c r="A2167" t="s">
        <v>3806</v>
      </c>
      <c r="B2167" t="str" cm="1">
        <f t="array" ref="B2167">_xlfn.XLOOKUP(C2167, INDEX([1]!카테고리매핑,,2), INDEX([1]!카테고리매핑,,1), "미등록 카테고리")</f>
        <v>상온식품</v>
      </c>
      <c r="C2167" t="s">
        <v>769</v>
      </c>
      <c r="D2167" t="str">
        <f>VLOOKUP(C2167, '[1]VLOOKUP 함수용 카테고리'!$A$1:$B$59, 2, 0)</f>
        <v>GRAIN</v>
      </c>
      <c r="E2167" t="s">
        <v>770</v>
      </c>
      <c r="F2167" t="s">
        <v>7773</v>
      </c>
    </row>
    <row r="2168" spans="1:6" x14ac:dyDescent="0.3">
      <c r="A2168" t="s">
        <v>3807</v>
      </c>
      <c r="B2168" t="str" cm="1">
        <f t="array" ref="B2168">_xlfn.XLOOKUP(C2168, INDEX([1]!카테고리매핑,,2), INDEX([1]!카테고리매핑,,1), "미등록 카테고리")</f>
        <v>채소/곡물류</v>
      </c>
      <c r="C2168" t="s">
        <v>27</v>
      </c>
      <c r="D2168" t="str">
        <f>VLOOKUP(C2168, '[1]VLOOKUP 함수용 카테고리'!$A$1:$B$59, 2, 0)</f>
        <v>SIMPLE_PROCESSED</v>
      </c>
      <c r="E2168" t="s">
        <v>220</v>
      </c>
      <c r="F2168" t="s">
        <v>3808</v>
      </c>
    </row>
    <row r="2169" spans="1:6" x14ac:dyDescent="0.3">
      <c r="A2169" t="s">
        <v>3809</v>
      </c>
      <c r="B2169" t="str" cm="1">
        <f t="array" ref="B2169">_xlfn.XLOOKUP(C2169, INDEX([1]!카테고리매핑,,2), INDEX([1]!카테고리매핑,,1), "미등록 카테고리")</f>
        <v>간편식</v>
      </c>
      <c r="C2169" t="s">
        <v>161</v>
      </c>
      <c r="D2169" t="str">
        <f>VLOOKUP(C2169, '[1]VLOOKUP 함수용 카테고리'!$A$1:$B$59, 2, 0)</f>
        <v>RTC_MEAL</v>
      </c>
      <c r="E2169" t="s">
        <v>3810</v>
      </c>
      <c r="F2169" t="s">
        <v>3811</v>
      </c>
    </row>
    <row r="2170" spans="1:6" x14ac:dyDescent="0.3">
      <c r="A2170" t="s">
        <v>3812</v>
      </c>
      <c r="B2170" t="str" cm="1">
        <f t="array" ref="B2170">_xlfn.XLOOKUP(C2170, INDEX([1]!카테고리매핑,,2), INDEX([1]!카테고리매핑,,1), "미등록 카테고리")</f>
        <v>음료</v>
      </c>
      <c r="C2170" t="s">
        <v>242</v>
      </c>
      <c r="D2170" t="str">
        <f>VLOOKUP(C2170, '[1]VLOOKUP 함수용 카테고리'!$A$1:$B$59, 2, 0)</f>
        <v>BEVERAGE</v>
      </c>
      <c r="E2170" t="s">
        <v>243</v>
      </c>
      <c r="F2170" t="s">
        <v>7753</v>
      </c>
    </row>
    <row r="2171" spans="1:6" x14ac:dyDescent="0.3">
      <c r="A2171" t="s">
        <v>3813</v>
      </c>
      <c r="B2171" t="str" cm="1">
        <f t="array" ref="B2171">_xlfn.XLOOKUP(C2171, INDEX([1]!카테고리매핑,,2), INDEX([1]!카테고리매핑,,1), "미등록 카테고리")</f>
        <v>간편식</v>
      </c>
      <c r="C2171" t="s">
        <v>131</v>
      </c>
      <c r="D2171" t="str">
        <f>VLOOKUP(C2171, '[1]VLOOKUP 함수용 카테고리'!$A$1:$B$59, 2, 0)</f>
        <v>SIMPLE_PROCESSED</v>
      </c>
      <c r="E2171" t="s">
        <v>2471</v>
      </c>
      <c r="F2171" t="s">
        <v>1457</v>
      </c>
    </row>
    <row r="2172" spans="1:6" x14ac:dyDescent="0.3">
      <c r="A2172" t="s">
        <v>3814</v>
      </c>
      <c r="B2172" t="str" cm="1">
        <f t="array" ref="B2172">_xlfn.XLOOKUP(C2172, INDEX([1]!카테고리매핑,,2), INDEX([1]!카테고리매핑,,1), "미등록 카테고리")</f>
        <v>조미료</v>
      </c>
      <c r="C2172" t="s">
        <v>84</v>
      </c>
      <c r="D2172" t="str">
        <f>VLOOKUP(C2172, '[1]VLOOKUP 함수용 카테고리'!$A$1:$B$59, 2, 0)</f>
        <v>SAUCE_SEASONING</v>
      </c>
      <c r="E2172" t="s">
        <v>85</v>
      </c>
      <c r="F2172" t="s">
        <v>3815</v>
      </c>
    </row>
    <row r="2173" spans="1:6" x14ac:dyDescent="0.3">
      <c r="A2173" t="s">
        <v>3816</v>
      </c>
      <c r="B2173" t="str" cm="1">
        <f t="array" ref="B2173">_xlfn.XLOOKUP(C2173, INDEX([1]!카테고리매핑,,2), INDEX([1]!카테고리매핑,,1), "미등록 카테고리")</f>
        <v>간편식</v>
      </c>
      <c r="C2173" t="s">
        <v>19</v>
      </c>
      <c r="D2173" t="str">
        <f>VLOOKUP(C2173, '[1]VLOOKUP 함수용 카테고리'!$A$1:$B$59, 2, 0)</f>
        <v>FROZEN_MEAL</v>
      </c>
      <c r="E2173" t="s">
        <v>1163</v>
      </c>
      <c r="F2173" t="s">
        <v>36</v>
      </c>
    </row>
    <row r="2174" spans="1:6" x14ac:dyDescent="0.3">
      <c r="A2174" t="s">
        <v>3817</v>
      </c>
      <c r="B2174" t="str" cm="1">
        <f t="array" ref="B2174">_xlfn.XLOOKUP(C2174, INDEX([1]!카테고리매핑,,2), INDEX([1]!카테고리매핑,,1), "미등록 카테고리")</f>
        <v>유제품</v>
      </c>
      <c r="C2174" t="s">
        <v>98</v>
      </c>
      <c r="D2174" t="str">
        <f>VLOOKUP(C2174, '[1]VLOOKUP 함수용 카테고리'!$A$1:$B$59, 2, 0)</f>
        <v>DAIRY</v>
      </c>
      <c r="E2174" t="s">
        <v>3118</v>
      </c>
      <c r="F2174" t="s">
        <v>2803</v>
      </c>
    </row>
    <row r="2175" spans="1:6" x14ac:dyDescent="0.3">
      <c r="A2175" t="s">
        <v>3818</v>
      </c>
      <c r="B2175" t="str" cm="1">
        <f t="array" ref="B2175">_xlfn.XLOOKUP(C2175, INDEX([1]!카테고리매핑,,2), INDEX([1]!카테고리매핑,,1), "미등록 카테고리")</f>
        <v>간식류</v>
      </c>
      <c r="C2175" t="s">
        <v>15</v>
      </c>
      <c r="D2175" t="str">
        <f>VLOOKUP(C2175, '[1]VLOOKUP 함수용 카테고리'!$A$1:$B$59, 2, 0)</f>
        <v>BAKERY</v>
      </c>
      <c r="E2175" t="s">
        <v>3819</v>
      </c>
      <c r="F2175" t="s">
        <v>3820</v>
      </c>
    </row>
    <row r="2176" spans="1:6" x14ac:dyDescent="0.3">
      <c r="A2176" t="s">
        <v>3821</v>
      </c>
      <c r="B2176" t="str" cm="1">
        <f t="array" ref="B2176">_xlfn.XLOOKUP(C2176, INDEX([1]!카테고리매핑,,2), INDEX([1]!카테고리매핑,,1), "미등록 카테고리")</f>
        <v>유제품</v>
      </c>
      <c r="C2176" t="s">
        <v>98</v>
      </c>
      <c r="D2176" t="str">
        <f>VLOOKUP(C2176, '[1]VLOOKUP 함수용 카테고리'!$A$1:$B$59, 2, 0)</f>
        <v>DAIRY</v>
      </c>
      <c r="E2176" t="s">
        <v>3822</v>
      </c>
      <c r="F2176" t="s">
        <v>3524</v>
      </c>
    </row>
    <row r="2177" spans="1:6" x14ac:dyDescent="0.3">
      <c r="A2177" t="s">
        <v>3823</v>
      </c>
      <c r="B2177" t="str" cm="1">
        <f t="array" ref="B2177">_xlfn.XLOOKUP(C2177, INDEX([1]!카테고리매핑,,2), INDEX([1]!카테고리매핑,,1), "미등록 카테고리")</f>
        <v>육류/계란</v>
      </c>
      <c r="C2177" t="s">
        <v>428</v>
      </c>
      <c r="D2177" t="str">
        <f>VLOOKUP(C2177, '[1]VLOOKUP 함수용 카테고리'!$A$1:$B$59, 2, 0)</f>
        <v>PROCESSED_MEAT</v>
      </c>
      <c r="E2177" t="s">
        <v>3824</v>
      </c>
      <c r="F2177" t="s">
        <v>1834</v>
      </c>
    </row>
    <row r="2178" spans="1:6" x14ac:dyDescent="0.3">
      <c r="A2178" t="s">
        <v>3825</v>
      </c>
      <c r="B2178" t="str" cm="1">
        <f t="array" ref="B2178">_xlfn.XLOOKUP(C2178, INDEX([1]!카테고리매핑,,2), INDEX([1]!카테고리매핑,,1), "미등록 카테고리")</f>
        <v>간편식</v>
      </c>
      <c r="C2178" t="s">
        <v>131</v>
      </c>
      <c r="D2178" t="str">
        <f>VLOOKUP(C2178, '[1]VLOOKUP 함수용 카테고리'!$A$1:$B$59, 2, 0)</f>
        <v>SIMPLE_PROCESSED</v>
      </c>
      <c r="E2178" t="s">
        <v>1067</v>
      </c>
      <c r="F2178" t="s">
        <v>7827</v>
      </c>
    </row>
    <row r="2179" spans="1:6" x14ac:dyDescent="0.3">
      <c r="A2179" t="s">
        <v>3826</v>
      </c>
      <c r="B2179" t="str" cm="1">
        <f t="array" ref="B2179">_xlfn.XLOOKUP(C2179, INDEX([1]!카테고리매핑,,2), INDEX([1]!카테고리매핑,,1), "미등록 카테고리")</f>
        <v>상온식품</v>
      </c>
      <c r="C2179" t="s">
        <v>835</v>
      </c>
      <c r="D2179" t="str">
        <f>VLOOKUP(C2179, '[1]VLOOKUP 함수용 카테고리'!$A$1:$B$59, 2, 0)</f>
        <v>SAUCE_SEASONING</v>
      </c>
      <c r="E2179" t="s">
        <v>2157</v>
      </c>
      <c r="F2179" t="s">
        <v>3827</v>
      </c>
    </row>
    <row r="2180" spans="1:6" x14ac:dyDescent="0.3">
      <c r="A2180" t="s">
        <v>3828</v>
      </c>
      <c r="B2180" t="str" cm="1">
        <f t="array" ref="B2180">_xlfn.XLOOKUP(C2180, INDEX([1]!카테고리매핑,,2), INDEX([1]!카테고리매핑,,1), "미등록 카테고리")</f>
        <v>간식류</v>
      </c>
      <c r="C2180" t="s">
        <v>63</v>
      </c>
      <c r="D2180" t="str">
        <f>VLOOKUP(C2180, '[1]VLOOKUP 함수용 카테고리'!$A$1:$B$59, 2, 0)</f>
        <v>BAKERY</v>
      </c>
      <c r="E2180" t="s">
        <v>3829</v>
      </c>
      <c r="F2180" t="s">
        <v>3830</v>
      </c>
    </row>
    <row r="2181" spans="1:6" x14ac:dyDescent="0.3">
      <c r="A2181" t="s">
        <v>3831</v>
      </c>
      <c r="B2181" t="str" cm="1">
        <f t="array" ref="B2181">_xlfn.XLOOKUP(C2181, INDEX([1]!카테고리매핑,,2), INDEX([1]!카테고리매핑,,1), "미등록 카테고리")</f>
        <v>유제품</v>
      </c>
      <c r="C2181" t="s">
        <v>432</v>
      </c>
      <c r="D2181" t="str">
        <f>VLOOKUP(C2181, '[1]VLOOKUP 함수용 카테고리'!$A$1:$B$59, 2, 0)</f>
        <v>DAIRY</v>
      </c>
      <c r="E2181" t="s">
        <v>549</v>
      </c>
      <c r="F2181" t="s">
        <v>3832</v>
      </c>
    </row>
    <row r="2182" spans="1:6" x14ac:dyDescent="0.3">
      <c r="A2182" t="s">
        <v>3833</v>
      </c>
      <c r="B2182" t="str" cm="1">
        <f t="array" ref="B2182">_xlfn.XLOOKUP(C2182, INDEX([1]!카테고리매핑,,2), INDEX([1]!카테고리매핑,,1), "미등록 카테고리")</f>
        <v>미등록 카테고리</v>
      </c>
      <c r="C2182" t="s">
        <v>334</v>
      </c>
      <c r="D2182" t="str">
        <f>VLOOKUP(C2182, '[1]VLOOKUP 함수용 카테고리'!$A$1:$B$59, 2, 0)</f>
        <v>UNKNOWN</v>
      </c>
      <c r="E2182" t="s">
        <v>334</v>
      </c>
      <c r="F2182" t="s">
        <v>2182</v>
      </c>
    </row>
    <row r="2183" spans="1:6" x14ac:dyDescent="0.3">
      <c r="A2183" t="s">
        <v>3834</v>
      </c>
      <c r="B2183" t="str" cm="1">
        <f t="array" ref="B2183">_xlfn.XLOOKUP(C2183, INDEX([1]!카테고리매핑,,2), INDEX([1]!카테고리매핑,,1), "미등록 카테고리")</f>
        <v>육류/계란</v>
      </c>
      <c r="C2183" t="s">
        <v>34</v>
      </c>
      <c r="D2183" t="str">
        <f>VLOOKUP(C2183, '[1]VLOOKUP 함수용 카테고리'!$A$1:$B$59, 2, 0)</f>
        <v>RAW_MEAT</v>
      </c>
      <c r="E2183" t="s">
        <v>35</v>
      </c>
      <c r="F2183" t="s">
        <v>1003</v>
      </c>
    </row>
    <row r="2184" spans="1:6" x14ac:dyDescent="0.3">
      <c r="A2184" t="s">
        <v>3835</v>
      </c>
      <c r="B2184" t="str" cm="1">
        <f t="array" ref="B2184">_xlfn.XLOOKUP(C2184, INDEX([1]!카테고리매핑,,2), INDEX([1]!카테고리매핑,,1), "미등록 카테고리")</f>
        <v>과일/견과류</v>
      </c>
      <c r="C2184" t="s">
        <v>654</v>
      </c>
      <c r="D2184" t="str">
        <f>VLOOKUP(C2184, '[1]VLOOKUP 함수용 카테고리'!$A$1:$B$59, 2, 0)</f>
        <v>RAW_FRUIT</v>
      </c>
      <c r="E2184" t="s">
        <v>1741</v>
      </c>
    </row>
    <row r="2185" spans="1:6" x14ac:dyDescent="0.3">
      <c r="A2185" t="s">
        <v>3836</v>
      </c>
      <c r="B2185" t="str" cm="1">
        <f t="array" ref="B2185">_xlfn.XLOOKUP(C2185, INDEX([1]!카테고리매핑,,2), INDEX([1]!카테고리매핑,,1), "미등록 카테고리")</f>
        <v>채소/곡물류</v>
      </c>
      <c r="C2185" t="s">
        <v>301</v>
      </c>
      <c r="D2185" t="str">
        <f>VLOOKUP(C2185, '[1]VLOOKUP 함수용 카테고리'!$A$1:$B$59, 2, 0)</f>
        <v>GRAIN</v>
      </c>
      <c r="E2185" t="s">
        <v>611</v>
      </c>
      <c r="F2185" t="s">
        <v>7828</v>
      </c>
    </row>
    <row r="2186" spans="1:6" x14ac:dyDescent="0.3">
      <c r="A2186" t="s">
        <v>3837</v>
      </c>
      <c r="B2186" t="str" cm="1">
        <f t="array" ref="B2186">_xlfn.XLOOKUP(C2186, INDEX([1]!카테고리매핑,,2), INDEX([1]!카테고리매핑,,1), "미등록 카테고리")</f>
        <v>육류/계란</v>
      </c>
      <c r="C2186" t="s">
        <v>298</v>
      </c>
      <c r="D2186" t="str">
        <f>VLOOKUP(C2186, '[1]VLOOKUP 함수용 카테고리'!$A$1:$B$59, 2, 0)</f>
        <v>RAW_MEAT</v>
      </c>
      <c r="E2186" t="s">
        <v>298</v>
      </c>
      <c r="F2186" t="s">
        <v>3838</v>
      </c>
    </row>
    <row r="2187" spans="1:6" x14ac:dyDescent="0.3">
      <c r="A2187" t="s">
        <v>3839</v>
      </c>
      <c r="B2187" t="str" cm="1">
        <f t="array" ref="B2187">_xlfn.XLOOKUP(C2187, INDEX([1]!카테고리매핑,,2), INDEX([1]!카테고리매핑,,1), "미등록 카테고리")</f>
        <v>음료</v>
      </c>
      <c r="C2187" t="s">
        <v>23</v>
      </c>
      <c r="D2187" t="str">
        <f>VLOOKUP(C2187, '[1]VLOOKUP 함수용 카테고리'!$A$1:$B$59, 2, 0)</f>
        <v>BEVERAGE</v>
      </c>
      <c r="E2187" t="s">
        <v>355</v>
      </c>
      <c r="F2187" t="s">
        <v>356</v>
      </c>
    </row>
    <row r="2188" spans="1:6" x14ac:dyDescent="0.3">
      <c r="A2188" t="s">
        <v>3840</v>
      </c>
      <c r="B2188" t="str" cm="1">
        <f t="array" ref="B2188">_xlfn.XLOOKUP(C2188, INDEX([1]!카테고리매핑,,2), INDEX([1]!카테고리매핑,,1), "미등록 카테고리")</f>
        <v>간편식</v>
      </c>
      <c r="C2188" t="s">
        <v>256</v>
      </c>
      <c r="D2188" t="str">
        <f>VLOOKUP(C2188, '[1]VLOOKUP 함수용 카테고리'!$A$1:$B$59, 2, 0)</f>
        <v>RTC_MEAL</v>
      </c>
      <c r="E2188" t="s">
        <v>256</v>
      </c>
      <c r="F2188" t="s">
        <v>3841</v>
      </c>
    </row>
    <row r="2189" spans="1:6" x14ac:dyDescent="0.3">
      <c r="A2189" t="s">
        <v>3842</v>
      </c>
      <c r="B2189" t="str" cm="1">
        <f t="array" ref="B2189">_xlfn.XLOOKUP(C2189, INDEX([1]!카테고리매핑,,2), INDEX([1]!카테고리매핑,,1), "미등록 카테고리")</f>
        <v>간편식</v>
      </c>
      <c r="C2189" t="s">
        <v>256</v>
      </c>
      <c r="D2189" t="str">
        <f>VLOOKUP(C2189, '[1]VLOOKUP 함수용 카테고리'!$A$1:$B$59, 2, 0)</f>
        <v>RTC_MEAL</v>
      </c>
      <c r="E2189" t="s">
        <v>256</v>
      </c>
      <c r="F2189" t="s">
        <v>3843</v>
      </c>
    </row>
    <row r="2190" spans="1:6" x14ac:dyDescent="0.3">
      <c r="A2190" t="s">
        <v>3844</v>
      </c>
      <c r="B2190" t="str" cm="1">
        <f t="array" ref="B2190">_xlfn.XLOOKUP(C2190, INDEX([1]!카테고리매핑,,2), INDEX([1]!카테고리매핑,,1), "미등록 카테고리")</f>
        <v>간식류</v>
      </c>
      <c r="C2190" t="s">
        <v>38</v>
      </c>
      <c r="D2190" t="str">
        <f>VLOOKUP(C2190, '[1]VLOOKUP 함수용 카테고리'!$A$1:$B$59, 2, 0)</f>
        <v>SNACK</v>
      </c>
      <c r="E2190" t="s">
        <v>179</v>
      </c>
      <c r="F2190" t="s">
        <v>3845</v>
      </c>
    </row>
    <row r="2191" spans="1:6" x14ac:dyDescent="0.3">
      <c r="A2191" t="s">
        <v>3846</v>
      </c>
      <c r="B2191" t="str" cm="1">
        <f t="array" ref="B2191">_xlfn.XLOOKUP(C2191, INDEX([1]!카테고리매핑,,2), INDEX([1]!카테고리매핑,,1), "미등록 카테고리")</f>
        <v>음료</v>
      </c>
      <c r="C2191" t="s">
        <v>23</v>
      </c>
      <c r="D2191" t="str">
        <f>VLOOKUP(C2191, '[1]VLOOKUP 함수용 카테고리'!$A$1:$B$59, 2, 0)</f>
        <v>BEVERAGE</v>
      </c>
      <c r="E2191" t="s">
        <v>3847</v>
      </c>
      <c r="F2191" t="s">
        <v>3848</v>
      </c>
    </row>
    <row r="2192" spans="1:6" x14ac:dyDescent="0.3">
      <c r="A2192" t="s">
        <v>3849</v>
      </c>
      <c r="B2192" t="str" cm="1">
        <f t="array" ref="B2192">_xlfn.XLOOKUP(C2192, INDEX([1]!카테고리매핑,,2), INDEX([1]!카테고리매핑,,1), "미등록 카테고리")</f>
        <v>간편식</v>
      </c>
      <c r="C2192" t="s">
        <v>19</v>
      </c>
      <c r="D2192" t="str">
        <f>VLOOKUP(C2192, '[1]VLOOKUP 함수용 카테고리'!$A$1:$B$59, 2, 0)</f>
        <v>FROZEN_MEAL</v>
      </c>
      <c r="E2192" t="s">
        <v>245</v>
      </c>
      <c r="F2192" t="s">
        <v>541</v>
      </c>
    </row>
    <row r="2193" spans="1:6" x14ac:dyDescent="0.3">
      <c r="A2193" t="s">
        <v>3850</v>
      </c>
      <c r="B2193" t="str" cm="1">
        <f t="array" ref="B2193">_xlfn.XLOOKUP(C2193, INDEX([1]!카테고리매핑,,2), INDEX([1]!카테고리매핑,,1), "미등록 카테고리")</f>
        <v>조미료</v>
      </c>
      <c r="C2193" t="s">
        <v>84</v>
      </c>
      <c r="D2193" t="str">
        <f>VLOOKUP(C2193, '[1]VLOOKUP 함수용 카테고리'!$A$1:$B$59, 2, 0)</f>
        <v>SAUCE_SEASONING</v>
      </c>
      <c r="E2193" t="s">
        <v>2623</v>
      </c>
      <c r="F2193" t="s">
        <v>3851</v>
      </c>
    </row>
    <row r="2194" spans="1:6" x14ac:dyDescent="0.3">
      <c r="A2194" t="s">
        <v>3852</v>
      </c>
      <c r="B2194" t="str" cm="1">
        <f t="array" ref="B2194">_xlfn.XLOOKUP(C2194, INDEX([1]!카테고리매핑,,2), INDEX([1]!카테고리매핑,,1), "미등록 카테고리")</f>
        <v>간식류</v>
      </c>
      <c r="C2194" t="s">
        <v>15</v>
      </c>
      <c r="D2194" t="str">
        <f>VLOOKUP(C2194, '[1]VLOOKUP 함수용 카테고리'!$A$1:$B$59, 2, 0)</f>
        <v>BAKERY</v>
      </c>
      <c r="E2194" t="s">
        <v>3853</v>
      </c>
      <c r="F2194" t="s">
        <v>1332</v>
      </c>
    </row>
    <row r="2195" spans="1:6" x14ac:dyDescent="0.3">
      <c r="A2195" t="s">
        <v>3854</v>
      </c>
      <c r="B2195" t="str" cm="1">
        <f t="array" ref="B2195">_xlfn.XLOOKUP(C2195, INDEX([1]!카테고리매핑,,2), INDEX([1]!카테고리매핑,,1), "미등록 카테고리")</f>
        <v>미등록 카테고리</v>
      </c>
      <c r="C2195" t="s">
        <v>334</v>
      </c>
      <c r="D2195" t="str">
        <f>VLOOKUP(C2195, '[1]VLOOKUP 함수용 카테고리'!$A$1:$B$59, 2, 0)</f>
        <v>UNKNOWN</v>
      </c>
      <c r="E2195" t="s">
        <v>334</v>
      </c>
      <c r="F2195" t="s">
        <v>2710</v>
      </c>
    </row>
    <row r="2196" spans="1:6" x14ac:dyDescent="0.3">
      <c r="A2196" t="s">
        <v>3855</v>
      </c>
      <c r="B2196" t="str" cm="1">
        <f t="array" ref="B2196">_xlfn.XLOOKUP(C2196, INDEX([1]!카테고리매핑,,2), INDEX([1]!카테고리매핑,,1), "미등록 카테고리")</f>
        <v>음료</v>
      </c>
      <c r="C2196" t="s">
        <v>23</v>
      </c>
      <c r="D2196" t="str">
        <f>VLOOKUP(C2196, '[1]VLOOKUP 함수용 카테고리'!$A$1:$B$59, 2, 0)</f>
        <v>BEVERAGE</v>
      </c>
      <c r="E2196" t="s">
        <v>355</v>
      </c>
      <c r="F2196" t="s">
        <v>375</v>
      </c>
    </row>
    <row r="2197" spans="1:6" x14ac:dyDescent="0.3">
      <c r="A2197" t="s">
        <v>3856</v>
      </c>
      <c r="B2197" t="str" cm="1">
        <f t="array" ref="B2197">_xlfn.XLOOKUP(C2197, INDEX([1]!카테고리매핑,,2), INDEX([1]!카테고리매핑,,1), "미등록 카테고리")</f>
        <v>간편식</v>
      </c>
      <c r="C2197" t="s">
        <v>131</v>
      </c>
      <c r="D2197" t="str">
        <f>VLOOKUP(C2197, '[1]VLOOKUP 함수용 카테고리'!$A$1:$B$59, 2, 0)</f>
        <v>SIMPLE_PROCESSED</v>
      </c>
      <c r="E2197" t="s">
        <v>1067</v>
      </c>
      <c r="F2197" t="s">
        <v>133</v>
      </c>
    </row>
    <row r="2198" spans="1:6" x14ac:dyDescent="0.3">
      <c r="A2198" t="s">
        <v>3857</v>
      </c>
      <c r="B2198" t="str" cm="1">
        <f t="array" ref="B2198">_xlfn.XLOOKUP(C2198, INDEX([1]!카테고리매핑,,2), INDEX([1]!카테고리매핑,,1), "미등록 카테고리")</f>
        <v>채소/곡물류</v>
      </c>
      <c r="C2198" t="s">
        <v>7</v>
      </c>
      <c r="D2198" t="str">
        <f>VLOOKUP(C2198, '[1]VLOOKUP 함수용 카테고리'!$A$1:$B$59, 2, 0)</f>
        <v>RAW_PRODUCE</v>
      </c>
      <c r="E2198" t="s">
        <v>2189</v>
      </c>
      <c r="F2198" t="s">
        <v>2174</v>
      </c>
    </row>
    <row r="2199" spans="1:6" x14ac:dyDescent="0.3">
      <c r="A2199" t="s">
        <v>3858</v>
      </c>
      <c r="B2199" t="str" cm="1">
        <f t="array" ref="B2199">_xlfn.XLOOKUP(C2199, INDEX([1]!카테고리매핑,,2), INDEX([1]!카테고리매핑,,1), "미등록 카테고리")</f>
        <v>음료</v>
      </c>
      <c r="C2199" t="s">
        <v>23</v>
      </c>
      <c r="D2199" t="str">
        <f>VLOOKUP(C2199, '[1]VLOOKUP 함수용 카테고리'!$A$1:$B$59, 2, 0)</f>
        <v>BEVERAGE</v>
      </c>
      <c r="E2199" t="s">
        <v>24</v>
      </c>
      <c r="F2199" t="s">
        <v>324</v>
      </c>
    </row>
    <row r="2200" spans="1:6" x14ac:dyDescent="0.3">
      <c r="A2200" t="s">
        <v>3859</v>
      </c>
      <c r="B2200" t="str" cm="1">
        <f t="array" ref="B2200">_xlfn.XLOOKUP(C2200, INDEX([1]!카테고리매핑,,2), INDEX([1]!카테고리매핑,,1), "미등록 카테고리")</f>
        <v>채소/곡물류</v>
      </c>
      <c r="C2200" t="s">
        <v>7</v>
      </c>
      <c r="D2200" t="str">
        <f>VLOOKUP(C2200, '[1]VLOOKUP 함수용 카테고리'!$A$1:$B$59, 2, 0)</f>
        <v>RAW_PRODUCE</v>
      </c>
      <c r="E2200" t="s">
        <v>331</v>
      </c>
      <c r="F2200" t="s">
        <v>350</v>
      </c>
    </row>
    <row r="2201" spans="1:6" x14ac:dyDescent="0.3">
      <c r="A2201" t="s">
        <v>3860</v>
      </c>
      <c r="B2201" t="str" cm="1">
        <f t="array" ref="B2201">_xlfn.XLOOKUP(C2201, INDEX([1]!카테고리매핑,,2), INDEX([1]!카테고리매핑,,1), "미등록 카테고리")</f>
        <v>유제품</v>
      </c>
      <c r="C2201" t="s">
        <v>123</v>
      </c>
      <c r="D2201" t="str">
        <f>VLOOKUP(C2201, '[1]VLOOKUP 함수용 카테고리'!$A$1:$B$59, 2, 0)</f>
        <v>DAIRY</v>
      </c>
      <c r="E2201" t="s">
        <v>190</v>
      </c>
      <c r="F2201" t="s">
        <v>7829</v>
      </c>
    </row>
    <row r="2202" spans="1:6" x14ac:dyDescent="0.3">
      <c r="A2202" t="s">
        <v>3861</v>
      </c>
      <c r="B2202" t="str" cm="1">
        <f t="array" ref="B2202">_xlfn.XLOOKUP(C2202, INDEX([1]!카테고리매핑,,2), INDEX([1]!카테고리매핑,,1), "미등록 카테고리")</f>
        <v>채소/곡물류</v>
      </c>
      <c r="C2202" t="s">
        <v>7</v>
      </c>
      <c r="D2202" t="str">
        <f>VLOOKUP(C2202, '[1]VLOOKUP 함수용 카테고리'!$A$1:$B$59, 2, 0)</f>
        <v>RAW_PRODUCE</v>
      </c>
      <c r="E2202" t="s">
        <v>3862</v>
      </c>
      <c r="F2202" t="s">
        <v>156</v>
      </c>
    </row>
    <row r="2203" spans="1:6" x14ac:dyDescent="0.3">
      <c r="A2203" t="s">
        <v>3863</v>
      </c>
      <c r="B2203" t="str" cm="1">
        <f t="array" ref="B2203">_xlfn.XLOOKUP(C2203, INDEX([1]!카테고리매핑,,2), INDEX([1]!카테고리매핑,,1), "미등록 카테고리")</f>
        <v>채소/곡물류</v>
      </c>
      <c r="C2203" t="s">
        <v>207</v>
      </c>
      <c r="D2203" t="str">
        <f>VLOOKUP(C2203, '[1]VLOOKUP 함수용 카테고리'!$A$1:$B$59, 2, 0)</f>
        <v>GRAIN</v>
      </c>
      <c r="E2203" t="s">
        <v>2588</v>
      </c>
      <c r="F2203" t="s">
        <v>3864</v>
      </c>
    </row>
    <row r="2204" spans="1:6" x14ac:dyDescent="0.3">
      <c r="A2204" t="s">
        <v>3865</v>
      </c>
      <c r="B2204" t="str" cm="1">
        <f t="array" ref="B2204">_xlfn.XLOOKUP(C2204, INDEX([1]!카테고리매핑,,2), INDEX([1]!카테고리매핑,,1), "미등록 카테고리")</f>
        <v>유제품</v>
      </c>
      <c r="C2204" t="s">
        <v>432</v>
      </c>
      <c r="D2204" t="str">
        <f>VLOOKUP(C2204, '[1]VLOOKUP 함수용 카테고리'!$A$1:$B$59, 2, 0)</f>
        <v>DAIRY</v>
      </c>
      <c r="E2204" t="s">
        <v>549</v>
      </c>
      <c r="F2204" t="s">
        <v>3866</v>
      </c>
    </row>
    <row r="2205" spans="1:6" x14ac:dyDescent="0.3">
      <c r="A2205" t="s">
        <v>3867</v>
      </c>
      <c r="B2205" t="str" cm="1">
        <f t="array" ref="B2205">_xlfn.XLOOKUP(C2205, INDEX([1]!카테고리매핑,,2), INDEX([1]!카테고리매핑,,1), "미등록 카테고리")</f>
        <v>간편식</v>
      </c>
      <c r="C2205" t="s">
        <v>46</v>
      </c>
      <c r="D2205" t="str">
        <f>VLOOKUP(C2205, '[1]VLOOKUP 함수용 카테고리'!$A$1:$B$59, 2, 0)</f>
        <v>RTC_MEAL</v>
      </c>
      <c r="E2205" t="s">
        <v>46</v>
      </c>
      <c r="F2205" t="s">
        <v>1490</v>
      </c>
    </row>
    <row r="2206" spans="1:6" x14ac:dyDescent="0.3">
      <c r="A2206" t="s">
        <v>3868</v>
      </c>
      <c r="B2206" t="str" cm="1">
        <f t="array" ref="B2206">_xlfn.XLOOKUP(C2206, INDEX([1]!카테고리매핑,,2), INDEX([1]!카테고리매핑,,1), "미등록 카테고리")</f>
        <v>간편식</v>
      </c>
      <c r="C2206" t="s">
        <v>131</v>
      </c>
      <c r="D2206" t="str">
        <f>VLOOKUP(C2206, '[1]VLOOKUP 함수용 카테고리'!$A$1:$B$59, 2, 0)</f>
        <v>SIMPLE_PROCESSED</v>
      </c>
      <c r="E2206" t="s">
        <v>3869</v>
      </c>
      <c r="F2206" t="s">
        <v>928</v>
      </c>
    </row>
    <row r="2207" spans="1:6" x14ac:dyDescent="0.3">
      <c r="A2207" t="s">
        <v>3870</v>
      </c>
      <c r="B2207" t="str" cm="1">
        <f t="array" ref="B2207">_xlfn.XLOOKUP(C2207, INDEX([1]!카테고리매핑,,2), INDEX([1]!카테고리매핑,,1), "미등록 카테고리")</f>
        <v>간편식</v>
      </c>
      <c r="C2207" t="s">
        <v>131</v>
      </c>
      <c r="D2207" t="str">
        <f>VLOOKUP(C2207, '[1]VLOOKUP 함수용 카테고리'!$A$1:$B$59, 2, 0)</f>
        <v>SIMPLE_PROCESSED</v>
      </c>
      <c r="E2207" t="s">
        <v>132</v>
      </c>
      <c r="F2207" t="s">
        <v>3871</v>
      </c>
    </row>
    <row r="2208" spans="1:6" x14ac:dyDescent="0.3">
      <c r="A2208" t="s">
        <v>3872</v>
      </c>
      <c r="B2208" t="str" cm="1">
        <f t="array" ref="B2208">_xlfn.XLOOKUP(C2208, INDEX([1]!카테고리매핑,,2), INDEX([1]!카테고리매핑,,1), "미등록 카테고리")</f>
        <v>채소/곡물류</v>
      </c>
      <c r="C2208" t="s">
        <v>7</v>
      </c>
      <c r="D2208" t="str">
        <f>VLOOKUP(C2208, '[1]VLOOKUP 함수용 카테고리'!$A$1:$B$59, 2, 0)</f>
        <v>RAW_PRODUCE</v>
      </c>
      <c r="E2208" t="s">
        <v>405</v>
      </c>
    </row>
    <row r="2209" spans="1:6" x14ac:dyDescent="0.3">
      <c r="A2209" t="s">
        <v>3873</v>
      </c>
      <c r="B2209" t="str" cm="1">
        <f t="array" ref="B2209">_xlfn.XLOOKUP(C2209, INDEX([1]!카테고리매핑,,2), INDEX([1]!카테고리매핑,,1), "미등록 카테고리")</f>
        <v>간편식</v>
      </c>
      <c r="C2209" t="s">
        <v>131</v>
      </c>
      <c r="D2209" t="str">
        <f>VLOOKUP(C2209, '[1]VLOOKUP 함수용 카테고리'!$A$1:$B$59, 2, 0)</f>
        <v>SIMPLE_PROCESSED</v>
      </c>
      <c r="E2209" t="s">
        <v>526</v>
      </c>
      <c r="F2209" t="s">
        <v>350</v>
      </c>
    </row>
    <row r="2210" spans="1:6" x14ac:dyDescent="0.3">
      <c r="A2210" t="s">
        <v>3874</v>
      </c>
      <c r="B2210" t="str" cm="1">
        <f t="array" ref="B2210">_xlfn.XLOOKUP(C2210, INDEX([1]!카테고리매핑,,2), INDEX([1]!카테고리매핑,,1), "미등록 카테고리")</f>
        <v>간식류</v>
      </c>
      <c r="C2210" t="s">
        <v>63</v>
      </c>
      <c r="D2210" t="str">
        <f>VLOOKUP(C2210, '[1]VLOOKUP 함수용 카테고리'!$A$1:$B$59, 2, 0)</f>
        <v>BAKERY</v>
      </c>
      <c r="E2210" t="s">
        <v>2040</v>
      </c>
      <c r="F2210" t="s">
        <v>2041</v>
      </c>
    </row>
    <row r="2211" spans="1:6" x14ac:dyDescent="0.3">
      <c r="A2211" t="s">
        <v>3875</v>
      </c>
      <c r="B2211" t="str" cm="1">
        <f t="array" ref="B2211">_xlfn.XLOOKUP(C2211, INDEX([1]!카테고리매핑,,2), INDEX([1]!카테고리매핑,,1), "미등록 카테고리")</f>
        <v>유제품</v>
      </c>
      <c r="C2211" t="s">
        <v>98</v>
      </c>
      <c r="D2211" t="str">
        <f>VLOOKUP(C2211, '[1]VLOOKUP 함수용 카테고리'!$A$1:$B$59, 2, 0)</f>
        <v>DAIRY</v>
      </c>
      <c r="E2211" t="s">
        <v>98</v>
      </c>
      <c r="F2211" t="s">
        <v>844</v>
      </c>
    </row>
    <row r="2212" spans="1:6" x14ac:dyDescent="0.3">
      <c r="A2212" t="s">
        <v>3876</v>
      </c>
      <c r="B2212" t="str" cm="1">
        <f t="array" ref="B2212">_xlfn.XLOOKUP(C2212, INDEX([1]!카테고리매핑,,2), INDEX([1]!카테고리매핑,,1), "미등록 카테고리")</f>
        <v>간식류</v>
      </c>
      <c r="C2212" t="s">
        <v>38</v>
      </c>
      <c r="D2212" t="str">
        <f>VLOOKUP(C2212, '[1]VLOOKUP 함수용 카테고리'!$A$1:$B$59, 2, 0)</f>
        <v>SNACK</v>
      </c>
      <c r="E2212" t="s">
        <v>39</v>
      </c>
      <c r="F2212" t="s">
        <v>88</v>
      </c>
    </row>
    <row r="2213" spans="1:6" x14ac:dyDescent="0.3">
      <c r="A2213" t="s">
        <v>3877</v>
      </c>
      <c r="B2213" t="str" cm="1">
        <f t="array" ref="B2213">_xlfn.XLOOKUP(C2213, INDEX([1]!카테고리매핑,,2), INDEX([1]!카테고리매핑,,1), "미등록 카테고리")</f>
        <v>육류/계란</v>
      </c>
      <c r="C2213" t="s">
        <v>105</v>
      </c>
      <c r="D2213" t="str">
        <f>VLOOKUP(C2213, '[1]VLOOKUP 함수용 카테고리'!$A$1:$B$59, 2, 0)</f>
        <v>RAW_MEAT</v>
      </c>
      <c r="E2213" t="s">
        <v>469</v>
      </c>
      <c r="F2213" t="s">
        <v>3878</v>
      </c>
    </row>
    <row r="2214" spans="1:6" x14ac:dyDescent="0.3">
      <c r="A2214" t="s">
        <v>3879</v>
      </c>
      <c r="B2214" t="str" cm="1">
        <f t="array" ref="B2214">_xlfn.XLOOKUP(C2214, INDEX([1]!카테고리매핑,,2), INDEX([1]!카테고리매핑,,1), "미등록 카테고리")</f>
        <v>유제품</v>
      </c>
      <c r="C2214" t="s">
        <v>123</v>
      </c>
      <c r="D2214" t="str">
        <f>VLOOKUP(C2214, '[1]VLOOKUP 함수용 카테고리'!$A$1:$B$59, 2, 0)</f>
        <v>DAIRY</v>
      </c>
      <c r="E2214" t="s">
        <v>190</v>
      </c>
      <c r="F2214" t="s">
        <v>191</v>
      </c>
    </row>
    <row r="2215" spans="1:6" x14ac:dyDescent="0.3">
      <c r="A2215" t="s">
        <v>3880</v>
      </c>
      <c r="B2215" t="str" cm="1">
        <f t="array" ref="B2215">_xlfn.XLOOKUP(C2215, INDEX([1]!카테고리매핑,,2), INDEX([1]!카테고리매핑,,1), "미등록 카테고리")</f>
        <v>음료</v>
      </c>
      <c r="C2215" t="s">
        <v>23</v>
      </c>
      <c r="D2215" t="str">
        <f>VLOOKUP(C2215, '[1]VLOOKUP 함수용 카테고리'!$A$1:$B$59, 2, 0)</f>
        <v>BEVERAGE</v>
      </c>
      <c r="E2215" t="s">
        <v>3881</v>
      </c>
      <c r="F2215" t="s">
        <v>1381</v>
      </c>
    </row>
    <row r="2216" spans="1:6" x14ac:dyDescent="0.3">
      <c r="A2216" t="s">
        <v>3882</v>
      </c>
      <c r="B2216" t="str" cm="1">
        <f t="array" ref="B2216">_xlfn.XLOOKUP(C2216, INDEX([1]!카테고리매핑,,2), INDEX([1]!카테고리매핑,,1), "미등록 카테고리")</f>
        <v>간편식</v>
      </c>
      <c r="C2216" t="s">
        <v>46</v>
      </c>
      <c r="D2216" t="str">
        <f>VLOOKUP(C2216, '[1]VLOOKUP 함수용 카테고리'!$A$1:$B$59, 2, 0)</f>
        <v>RTC_MEAL</v>
      </c>
      <c r="E2216" t="s">
        <v>46</v>
      </c>
      <c r="F2216" t="s">
        <v>3883</v>
      </c>
    </row>
    <row r="2217" spans="1:6" x14ac:dyDescent="0.3">
      <c r="A2217" t="s">
        <v>3884</v>
      </c>
      <c r="B2217" t="str" cm="1">
        <f t="array" ref="B2217">_xlfn.XLOOKUP(C2217, INDEX([1]!카테고리매핑,,2), INDEX([1]!카테고리매핑,,1), "미등록 카테고리")</f>
        <v>간식류</v>
      </c>
      <c r="C2217" t="s">
        <v>63</v>
      </c>
      <c r="D2217" t="str">
        <f>VLOOKUP(C2217, '[1]VLOOKUP 함수용 카테고리'!$A$1:$B$59, 2, 0)</f>
        <v>BAKERY</v>
      </c>
      <c r="E2217" t="s">
        <v>400</v>
      </c>
      <c r="F2217" t="s">
        <v>3233</v>
      </c>
    </row>
    <row r="2218" spans="1:6" x14ac:dyDescent="0.3">
      <c r="A2218" t="s">
        <v>3885</v>
      </c>
      <c r="B2218" t="str" cm="1">
        <f t="array" ref="B2218">_xlfn.XLOOKUP(C2218, INDEX([1]!카테고리매핑,,2), INDEX([1]!카테고리매핑,,1), "미등록 카테고리")</f>
        <v>간식류</v>
      </c>
      <c r="C2218" t="s">
        <v>109</v>
      </c>
      <c r="D2218" t="str">
        <f>VLOOKUP(C2218, '[1]VLOOKUP 함수용 카테고리'!$A$1:$B$59, 2, 0)</f>
        <v>SNACK</v>
      </c>
      <c r="E2218" t="s">
        <v>933</v>
      </c>
      <c r="F2218" t="s">
        <v>1730</v>
      </c>
    </row>
    <row r="2219" spans="1:6" x14ac:dyDescent="0.3">
      <c r="A2219" t="s">
        <v>3886</v>
      </c>
      <c r="B2219" t="str" cm="1">
        <f t="array" ref="B2219">_xlfn.XLOOKUP(C2219, INDEX([1]!카테고리매핑,,2), INDEX([1]!카테고리매핑,,1), "미등록 카테고리")</f>
        <v>육류/계란</v>
      </c>
      <c r="C2219" t="s">
        <v>149</v>
      </c>
      <c r="D2219" t="str">
        <f>VLOOKUP(C2219, '[1]VLOOKUP 함수용 카테고리'!$A$1:$B$59, 2, 0)</f>
        <v>RAW_MEAT</v>
      </c>
      <c r="E2219" t="s">
        <v>3887</v>
      </c>
      <c r="F2219" t="s">
        <v>327</v>
      </c>
    </row>
    <row r="2220" spans="1:6" x14ac:dyDescent="0.3">
      <c r="A2220" t="s">
        <v>3888</v>
      </c>
      <c r="B2220" t="str" cm="1">
        <f t="array" ref="B2220">_xlfn.XLOOKUP(C2220, INDEX([1]!카테고리매핑,,2), INDEX([1]!카테고리매핑,,1), "미등록 카테고리")</f>
        <v>육류/계란</v>
      </c>
      <c r="C2220" t="s">
        <v>149</v>
      </c>
      <c r="D2220" t="str">
        <f>VLOOKUP(C2220, '[1]VLOOKUP 함수용 카테고리'!$A$1:$B$59, 2, 0)</f>
        <v>RAW_MEAT</v>
      </c>
      <c r="E2220" t="s">
        <v>573</v>
      </c>
    </row>
    <row r="2221" spans="1:6" x14ac:dyDescent="0.3">
      <c r="A2221" t="s">
        <v>3889</v>
      </c>
      <c r="B2221" t="str" cm="1">
        <f t="array" ref="B2221">_xlfn.XLOOKUP(C2221, INDEX([1]!카테고리매핑,,2), INDEX([1]!카테고리매핑,,1), "미등록 카테고리")</f>
        <v>술</v>
      </c>
      <c r="C2221" t="s">
        <v>42</v>
      </c>
      <c r="D2221" t="str">
        <f>VLOOKUP(C2221, '[1]VLOOKUP 함수용 카테고리'!$A$1:$B$59, 2, 0)</f>
        <v>ALCOHOL</v>
      </c>
      <c r="E2221" t="s">
        <v>43</v>
      </c>
    </row>
    <row r="2222" spans="1:6" x14ac:dyDescent="0.3">
      <c r="A2222" t="s">
        <v>3890</v>
      </c>
      <c r="B2222" t="str" cm="1">
        <f t="array" ref="B2222">_xlfn.XLOOKUP(C2222, INDEX([1]!카테고리매핑,,2), INDEX([1]!카테고리매핑,,1), "미등록 카테고리")</f>
        <v>조미료</v>
      </c>
      <c r="C2222" t="s">
        <v>558</v>
      </c>
      <c r="D2222" t="str">
        <f>VLOOKUP(C2222, '[1]VLOOKUP 함수용 카테고리'!$A$1:$B$59, 2, 0)</f>
        <v>SAUCE_SEASONING</v>
      </c>
      <c r="E2222" t="s">
        <v>559</v>
      </c>
      <c r="F2222" t="s">
        <v>1401</v>
      </c>
    </row>
    <row r="2223" spans="1:6" x14ac:dyDescent="0.3">
      <c r="A2223" t="s">
        <v>3891</v>
      </c>
      <c r="B2223" t="str" cm="1">
        <f t="array" ref="B2223">_xlfn.XLOOKUP(C2223, INDEX([1]!카테고리매핑,,2), INDEX([1]!카테고리매핑,,1), "미등록 카테고리")</f>
        <v>음료</v>
      </c>
      <c r="C2223" t="s">
        <v>23</v>
      </c>
      <c r="D2223" t="str">
        <f>VLOOKUP(C2223, '[1]VLOOKUP 함수용 카테고리'!$A$1:$B$59, 2, 0)</f>
        <v>BEVERAGE</v>
      </c>
      <c r="E2223" t="s">
        <v>355</v>
      </c>
      <c r="F2223" t="s">
        <v>3892</v>
      </c>
    </row>
    <row r="2224" spans="1:6" x14ac:dyDescent="0.3">
      <c r="A2224" t="s">
        <v>3893</v>
      </c>
      <c r="B2224" t="str" cm="1">
        <f t="array" ref="B2224">_xlfn.XLOOKUP(C2224, INDEX([1]!카테고리매핑,,2), INDEX([1]!카테고리매핑,,1), "미등록 카테고리")</f>
        <v>조미료</v>
      </c>
      <c r="C2224" t="s">
        <v>83</v>
      </c>
      <c r="D2224" t="str">
        <f>VLOOKUP(C2224, '[1]VLOOKUP 함수용 카테고리'!$A$1:$B$59, 2, 0)</f>
        <v>SAUCE_SEASONING</v>
      </c>
      <c r="E2224" t="s">
        <v>658</v>
      </c>
      <c r="F2224" t="s">
        <v>646</v>
      </c>
    </row>
    <row r="2225" spans="1:6" x14ac:dyDescent="0.3">
      <c r="A2225" t="s">
        <v>3894</v>
      </c>
      <c r="B2225" t="str" cm="1">
        <f t="array" ref="B2225">_xlfn.XLOOKUP(C2225, INDEX([1]!카테고리매핑,,2), INDEX([1]!카테고리매핑,,1), "미등록 카테고리")</f>
        <v>유제품</v>
      </c>
      <c r="C2225" t="s">
        <v>123</v>
      </c>
      <c r="D2225" t="str">
        <f>VLOOKUP(C2225, '[1]VLOOKUP 함수용 카테고리'!$A$1:$B$59, 2, 0)</f>
        <v>DAIRY</v>
      </c>
      <c r="E2225" t="s">
        <v>190</v>
      </c>
      <c r="F2225" t="s">
        <v>7830</v>
      </c>
    </row>
    <row r="2226" spans="1:6" x14ac:dyDescent="0.3">
      <c r="A2226" t="s">
        <v>3895</v>
      </c>
      <c r="B2226" t="str" cm="1">
        <f t="array" ref="B2226">_xlfn.XLOOKUP(C2226, INDEX([1]!카테고리매핑,,2), INDEX([1]!카테고리매핑,,1), "미등록 카테고리")</f>
        <v>상온식품</v>
      </c>
      <c r="C2226" t="s">
        <v>276</v>
      </c>
      <c r="D2226" t="str">
        <f>VLOOKUP(C2226, '[1]VLOOKUP 함수용 카테고리'!$A$1:$B$59, 2, 0)</f>
        <v>DRIED_SEAFOOD</v>
      </c>
      <c r="E2226" t="s">
        <v>277</v>
      </c>
      <c r="F2226" t="s">
        <v>3896</v>
      </c>
    </row>
    <row r="2227" spans="1:6" x14ac:dyDescent="0.3">
      <c r="A2227" t="s">
        <v>3897</v>
      </c>
      <c r="B2227" t="str" cm="1">
        <f t="array" ref="B2227">_xlfn.XLOOKUP(C2227, INDEX([1]!카테고리매핑,,2), INDEX([1]!카테고리매핑,,1), "미등록 카테고리")</f>
        <v>간식류</v>
      </c>
      <c r="C2227" t="s">
        <v>38</v>
      </c>
      <c r="D2227" t="str">
        <f>VLOOKUP(C2227, '[1]VLOOKUP 함수용 카테고리'!$A$1:$B$59, 2, 0)</f>
        <v>SNACK</v>
      </c>
      <c r="E2227" t="s">
        <v>179</v>
      </c>
      <c r="F2227" t="s">
        <v>403</v>
      </c>
    </row>
    <row r="2228" spans="1:6" x14ac:dyDescent="0.3">
      <c r="A2228" t="s">
        <v>3898</v>
      </c>
      <c r="B2228" t="str" cm="1">
        <f t="array" ref="B2228">_xlfn.XLOOKUP(C2228, INDEX([1]!카테고리매핑,,2), INDEX([1]!카테고리매핑,,1), "미등록 카테고리")</f>
        <v>간식류</v>
      </c>
      <c r="C2228" t="s">
        <v>11</v>
      </c>
      <c r="D2228" t="str">
        <f>VLOOKUP(C2228, '[1]VLOOKUP 함수용 카테고리'!$A$1:$B$59, 2, 0)</f>
        <v>SNACK</v>
      </c>
      <c r="E2228" t="s">
        <v>3899</v>
      </c>
      <c r="F2228" t="s">
        <v>3900</v>
      </c>
    </row>
    <row r="2229" spans="1:6" x14ac:dyDescent="0.3">
      <c r="A2229" t="s">
        <v>3901</v>
      </c>
      <c r="B2229" t="str" cm="1">
        <f t="array" ref="B2229">_xlfn.XLOOKUP(C2229, INDEX([1]!카테고리매핑,,2), INDEX([1]!카테고리매핑,,1), "미등록 카테고리")</f>
        <v>유제품</v>
      </c>
      <c r="C2229" t="s">
        <v>211</v>
      </c>
      <c r="D2229" t="str">
        <f>VLOOKUP(C2229, '[1]VLOOKUP 함수용 카테고리'!$A$1:$B$59, 2, 0)</f>
        <v>DAIRY</v>
      </c>
      <c r="E2229" t="s">
        <v>212</v>
      </c>
      <c r="F2229" t="s">
        <v>7831</v>
      </c>
    </row>
    <row r="2230" spans="1:6" x14ac:dyDescent="0.3">
      <c r="A2230" t="s">
        <v>3902</v>
      </c>
      <c r="B2230" t="str" cm="1">
        <f t="array" ref="B2230">_xlfn.XLOOKUP(C2230, INDEX([1]!카테고리매핑,,2), INDEX([1]!카테고리매핑,,1), "미등록 카테고리")</f>
        <v>간식류</v>
      </c>
      <c r="C2230" t="s">
        <v>15</v>
      </c>
      <c r="D2230" t="str">
        <f>VLOOKUP(C2230, '[1]VLOOKUP 함수용 카테고리'!$A$1:$B$59, 2, 0)</f>
        <v>BAKERY</v>
      </c>
      <c r="E2230" t="s">
        <v>1011</v>
      </c>
      <c r="F2230" t="s">
        <v>3903</v>
      </c>
    </row>
    <row r="2231" spans="1:6" x14ac:dyDescent="0.3">
      <c r="A2231" t="s">
        <v>3904</v>
      </c>
      <c r="B2231" t="str" cm="1">
        <f t="array" ref="B2231">_xlfn.XLOOKUP(C2231, INDEX([1]!카테고리매핑,,2), INDEX([1]!카테고리매핑,,1), "미등록 카테고리")</f>
        <v>상온식품</v>
      </c>
      <c r="C2231" t="s">
        <v>276</v>
      </c>
      <c r="D2231" t="str">
        <f>VLOOKUP(C2231, '[1]VLOOKUP 함수용 카테고리'!$A$1:$B$59, 2, 0)</f>
        <v>DRIED_SEAFOOD</v>
      </c>
      <c r="E2231" t="s">
        <v>277</v>
      </c>
      <c r="F2231" t="s">
        <v>7774</v>
      </c>
    </row>
    <row r="2232" spans="1:6" x14ac:dyDescent="0.3">
      <c r="A2232" t="s">
        <v>3905</v>
      </c>
      <c r="B2232" t="str" cm="1">
        <f t="array" ref="B2232">_xlfn.XLOOKUP(C2232, INDEX([1]!카테고리매핑,,2), INDEX([1]!카테고리매핑,,1), "미등록 카테고리")</f>
        <v>수산물</v>
      </c>
      <c r="C2232" t="s">
        <v>1397</v>
      </c>
      <c r="D2232" t="str">
        <f>VLOOKUP(C2232, '[1]VLOOKUP 함수용 카테고리'!$A$1:$B$59, 2, 0)</f>
        <v>RAW_SEAFOOD</v>
      </c>
      <c r="E2232" t="s">
        <v>3559</v>
      </c>
      <c r="F2232" t="s">
        <v>151</v>
      </c>
    </row>
    <row r="2233" spans="1:6" x14ac:dyDescent="0.3">
      <c r="A2233" t="s">
        <v>3906</v>
      </c>
      <c r="B2233" t="str" cm="1">
        <f t="array" ref="B2233">_xlfn.XLOOKUP(C2233, INDEX([1]!카테고리매핑,,2), INDEX([1]!카테고리매핑,,1), "미등록 카테고리")</f>
        <v>간편식</v>
      </c>
      <c r="C2233" t="s">
        <v>46</v>
      </c>
      <c r="D2233" t="str">
        <f>VLOOKUP(C2233, '[1]VLOOKUP 함수용 카테고리'!$A$1:$B$59, 2, 0)</f>
        <v>RTC_MEAL</v>
      </c>
      <c r="E2233" t="s">
        <v>46</v>
      </c>
      <c r="F2233" t="s">
        <v>237</v>
      </c>
    </row>
    <row r="2234" spans="1:6" x14ac:dyDescent="0.3">
      <c r="A2234" t="s">
        <v>3907</v>
      </c>
      <c r="B2234" t="str" cm="1">
        <f t="array" ref="B2234">_xlfn.XLOOKUP(C2234, INDEX([1]!카테고리매핑,,2), INDEX([1]!카테고리매핑,,1), "미등록 카테고리")</f>
        <v>간식류</v>
      </c>
      <c r="C2234" t="s">
        <v>11</v>
      </c>
      <c r="D2234" t="str">
        <f>VLOOKUP(C2234, '[1]VLOOKUP 함수용 카테고리'!$A$1:$B$59, 2, 0)</f>
        <v>SNACK</v>
      </c>
      <c r="E2234" t="s">
        <v>521</v>
      </c>
      <c r="F2234" t="s">
        <v>3908</v>
      </c>
    </row>
    <row r="2235" spans="1:6" x14ac:dyDescent="0.3">
      <c r="A2235" t="s">
        <v>3909</v>
      </c>
      <c r="B2235" t="str" cm="1">
        <f t="array" ref="B2235">_xlfn.XLOOKUP(C2235, INDEX([1]!카테고리매핑,,2), INDEX([1]!카테고리매핑,,1), "미등록 카테고리")</f>
        <v>유제품</v>
      </c>
      <c r="C2235" t="s">
        <v>98</v>
      </c>
      <c r="D2235" t="str">
        <f>VLOOKUP(C2235, '[1]VLOOKUP 함수용 카테고리'!$A$1:$B$59, 2, 0)</f>
        <v>DAIRY</v>
      </c>
      <c r="E2235" t="s">
        <v>3910</v>
      </c>
      <c r="F2235" t="s">
        <v>3911</v>
      </c>
    </row>
    <row r="2236" spans="1:6" x14ac:dyDescent="0.3">
      <c r="A2236" t="s">
        <v>3912</v>
      </c>
      <c r="B2236" t="str" cm="1">
        <f t="array" ref="B2236">_xlfn.XLOOKUP(C2236, INDEX([1]!카테고리매핑,,2), INDEX([1]!카테고리매핑,,1), "미등록 카테고리")</f>
        <v>채소/곡물류</v>
      </c>
      <c r="C2236" t="s">
        <v>27</v>
      </c>
      <c r="D2236" t="str">
        <f>VLOOKUP(C2236, '[1]VLOOKUP 함수용 카테고리'!$A$1:$B$59, 2, 0)</f>
        <v>SIMPLE_PROCESSED</v>
      </c>
      <c r="E2236" t="s">
        <v>28</v>
      </c>
      <c r="F2236" t="s">
        <v>350</v>
      </c>
    </row>
    <row r="2237" spans="1:6" x14ac:dyDescent="0.3">
      <c r="A2237" t="s">
        <v>3913</v>
      </c>
      <c r="B2237" t="str" cm="1">
        <f t="array" ref="B2237">_xlfn.XLOOKUP(C2237, INDEX([1]!카테고리매핑,,2), INDEX([1]!카테고리매핑,,1), "미등록 카테고리")</f>
        <v>간식류</v>
      </c>
      <c r="C2237" t="s">
        <v>38</v>
      </c>
      <c r="D2237" t="str">
        <f>VLOOKUP(C2237, '[1]VLOOKUP 함수용 카테고리'!$A$1:$B$59, 2, 0)</f>
        <v>SNACK</v>
      </c>
      <c r="E2237" t="s">
        <v>3914</v>
      </c>
      <c r="F2237" t="s">
        <v>321</v>
      </c>
    </row>
    <row r="2238" spans="1:6" x14ac:dyDescent="0.3">
      <c r="A2238" t="s">
        <v>3915</v>
      </c>
      <c r="B2238" t="str" cm="1">
        <f t="array" ref="B2238">_xlfn.XLOOKUP(C2238, INDEX([1]!카테고리매핑,,2), INDEX([1]!카테고리매핑,,1), "미등록 카테고리")</f>
        <v>음료</v>
      </c>
      <c r="C2238" t="s">
        <v>242</v>
      </c>
      <c r="D2238" t="str">
        <f>VLOOKUP(C2238, '[1]VLOOKUP 함수용 카테고리'!$A$1:$B$59, 2, 0)</f>
        <v>BEVERAGE</v>
      </c>
      <c r="E2238" t="s">
        <v>3361</v>
      </c>
      <c r="F2238" t="s">
        <v>3916</v>
      </c>
    </row>
    <row r="2239" spans="1:6" x14ac:dyDescent="0.3">
      <c r="A2239" t="s">
        <v>3917</v>
      </c>
      <c r="B2239" t="str" cm="1">
        <f t="array" ref="B2239">_xlfn.XLOOKUP(C2239, INDEX([1]!카테고리매핑,,2), INDEX([1]!카테고리매핑,,1), "미등록 카테고리")</f>
        <v>채소/곡물류</v>
      </c>
      <c r="C2239" t="s">
        <v>207</v>
      </c>
      <c r="D2239" t="str">
        <f>VLOOKUP(C2239, '[1]VLOOKUP 함수용 카테고리'!$A$1:$B$59, 2, 0)</f>
        <v>GRAIN</v>
      </c>
      <c r="E2239" t="s">
        <v>1343</v>
      </c>
      <c r="F2239" t="s">
        <v>111</v>
      </c>
    </row>
    <row r="2240" spans="1:6" x14ac:dyDescent="0.3">
      <c r="A2240" t="s">
        <v>3918</v>
      </c>
      <c r="B2240" t="str" cm="1">
        <f t="array" ref="B2240">_xlfn.XLOOKUP(C2240, INDEX([1]!카테고리매핑,,2), INDEX([1]!카테고리매핑,,1), "미등록 카테고리")</f>
        <v>술</v>
      </c>
      <c r="C2240" t="s">
        <v>42</v>
      </c>
      <c r="D2240" t="str">
        <f>VLOOKUP(C2240, '[1]VLOOKUP 함수용 카테고리'!$A$1:$B$59, 2, 0)</f>
        <v>ALCOHOL</v>
      </c>
      <c r="E2240" t="s">
        <v>144</v>
      </c>
      <c r="F2240" t="s">
        <v>280</v>
      </c>
    </row>
    <row r="2241" spans="1:6" x14ac:dyDescent="0.3">
      <c r="A2241" t="s">
        <v>3919</v>
      </c>
      <c r="B2241" t="str" cm="1">
        <f t="array" ref="B2241">_xlfn.XLOOKUP(C2241, INDEX([1]!카테고리매핑,,2), INDEX([1]!카테고리매핑,,1), "미등록 카테고리")</f>
        <v>음료</v>
      </c>
      <c r="C2241" t="s">
        <v>708</v>
      </c>
      <c r="D2241" t="str">
        <f>VLOOKUP(C2241, '[1]VLOOKUP 함수용 카테고리'!$A$1:$B$59, 2, 0)</f>
        <v>BEVERAGE</v>
      </c>
      <c r="E2241" t="s">
        <v>708</v>
      </c>
      <c r="F2241" t="s">
        <v>2677</v>
      </c>
    </row>
    <row r="2242" spans="1:6" x14ac:dyDescent="0.3">
      <c r="A2242" t="s">
        <v>3920</v>
      </c>
      <c r="B2242" t="str" cm="1">
        <f t="array" ref="B2242">_xlfn.XLOOKUP(C2242, INDEX([1]!카테고리매핑,,2), INDEX([1]!카테고리매핑,,1), "미등록 카테고리")</f>
        <v>음료</v>
      </c>
      <c r="C2242" t="s">
        <v>23</v>
      </c>
      <c r="D2242" t="str">
        <f>VLOOKUP(C2242, '[1]VLOOKUP 함수용 카테고리'!$A$1:$B$59, 2, 0)</f>
        <v>BEVERAGE</v>
      </c>
      <c r="E2242" t="s">
        <v>3881</v>
      </c>
      <c r="F2242" t="s">
        <v>136</v>
      </c>
    </row>
    <row r="2243" spans="1:6" x14ac:dyDescent="0.3">
      <c r="A2243" t="s">
        <v>3921</v>
      </c>
      <c r="B2243" t="str" cm="1">
        <f t="array" ref="B2243">_xlfn.XLOOKUP(C2243, INDEX([1]!카테고리매핑,,2), INDEX([1]!카테고리매핑,,1), "미등록 카테고리")</f>
        <v>수산물</v>
      </c>
      <c r="C2243" t="s">
        <v>140</v>
      </c>
      <c r="D2243" t="str">
        <f>VLOOKUP(C2243, '[1]VLOOKUP 함수용 카테고리'!$A$1:$B$59, 2, 0)</f>
        <v>SIMPLE_PROCESSED</v>
      </c>
      <c r="E2243" t="s">
        <v>3922</v>
      </c>
      <c r="F2243" t="s">
        <v>3923</v>
      </c>
    </row>
    <row r="2244" spans="1:6" x14ac:dyDescent="0.3">
      <c r="A2244" t="s">
        <v>3924</v>
      </c>
      <c r="B2244" t="str" cm="1">
        <f t="array" ref="B2244">_xlfn.XLOOKUP(C2244, INDEX([1]!카테고리매핑,,2), INDEX([1]!카테고리매핑,,1), "미등록 카테고리")</f>
        <v>간식류</v>
      </c>
      <c r="C2244" t="s">
        <v>38</v>
      </c>
      <c r="D2244" t="str">
        <f>VLOOKUP(C2244, '[1]VLOOKUP 함수용 카테고리'!$A$1:$B$59, 2, 0)</f>
        <v>SNACK</v>
      </c>
      <c r="E2244" t="s">
        <v>39</v>
      </c>
      <c r="F2244" t="s">
        <v>40</v>
      </c>
    </row>
    <row r="2245" spans="1:6" x14ac:dyDescent="0.3">
      <c r="A2245" t="s">
        <v>3925</v>
      </c>
      <c r="B2245" t="str" cm="1">
        <f t="array" ref="B2245">_xlfn.XLOOKUP(C2245, INDEX([1]!카테고리매핑,,2), INDEX([1]!카테고리매핑,,1), "미등록 카테고리")</f>
        <v>간식류</v>
      </c>
      <c r="C2245" t="s">
        <v>11</v>
      </c>
      <c r="D2245" t="str">
        <f>VLOOKUP(C2245, '[1]VLOOKUP 함수용 카테고리'!$A$1:$B$59, 2, 0)</f>
        <v>SNACK</v>
      </c>
      <c r="E2245" t="s">
        <v>371</v>
      </c>
      <c r="F2245" t="s">
        <v>3926</v>
      </c>
    </row>
    <row r="2246" spans="1:6" x14ac:dyDescent="0.3">
      <c r="A2246" t="s">
        <v>3927</v>
      </c>
      <c r="B2246" t="str" cm="1">
        <f t="array" ref="B2246">_xlfn.XLOOKUP(C2246, INDEX([1]!카테고리매핑,,2), INDEX([1]!카테고리매핑,,1), "미등록 카테고리")</f>
        <v>육류/계란</v>
      </c>
      <c r="C2246" t="s">
        <v>298</v>
      </c>
      <c r="D2246" t="str">
        <f>VLOOKUP(C2246, '[1]VLOOKUP 함수용 카테고리'!$A$1:$B$59, 2, 0)</f>
        <v>RAW_MEAT</v>
      </c>
      <c r="E2246" t="s">
        <v>570</v>
      </c>
      <c r="F2246" t="s">
        <v>985</v>
      </c>
    </row>
    <row r="2247" spans="1:6" x14ac:dyDescent="0.3">
      <c r="A2247" t="s">
        <v>3928</v>
      </c>
      <c r="B2247" t="str" cm="1">
        <f t="array" ref="B2247">_xlfn.XLOOKUP(C2247, INDEX([1]!카테고리매핑,,2), INDEX([1]!카테고리매핑,,1), "미등록 카테고리")</f>
        <v>간식류</v>
      </c>
      <c r="C2247" t="s">
        <v>15</v>
      </c>
      <c r="D2247" t="str">
        <f>VLOOKUP(C2247, '[1]VLOOKUP 함수용 카테고리'!$A$1:$B$59, 2, 0)</f>
        <v>BAKERY</v>
      </c>
      <c r="E2247" t="s">
        <v>3929</v>
      </c>
      <c r="F2247" t="s">
        <v>191</v>
      </c>
    </row>
    <row r="2248" spans="1:6" x14ac:dyDescent="0.3">
      <c r="A2248" t="s">
        <v>3930</v>
      </c>
      <c r="B2248" t="str" cm="1">
        <f t="array" ref="B2248">_xlfn.XLOOKUP(C2248, INDEX([1]!카테고리매핑,,2), INDEX([1]!카테고리매핑,,1), "미등록 카테고리")</f>
        <v>과일/견과류</v>
      </c>
      <c r="C2248" t="s">
        <v>654</v>
      </c>
      <c r="D2248" t="str">
        <f>VLOOKUP(C2248, '[1]VLOOKUP 함수용 카테고리'!$A$1:$B$59, 2, 0)</f>
        <v>RAW_FRUIT</v>
      </c>
      <c r="E2248" t="s">
        <v>1741</v>
      </c>
    </row>
    <row r="2249" spans="1:6" x14ac:dyDescent="0.3">
      <c r="A2249" t="s">
        <v>3931</v>
      </c>
      <c r="B2249" t="str" cm="1">
        <f t="array" ref="B2249">_xlfn.XLOOKUP(C2249, INDEX([1]!카테고리매핑,,2), INDEX([1]!카테고리매핑,,1), "미등록 카테고리")</f>
        <v>간식류</v>
      </c>
      <c r="C2249" t="s">
        <v>63</v>
      </c>
      <c r="D2249" t="str">
        <f>VLOOKUP(C2249, '[1]VLOOKUP 함수용 카테고리'!$A$1:$B$59, 2, 0)</f>
        <v>BAKERY</v>
      </c>
      <c r="E2249" t="s">
        <v>3932</v>
      </c>
      <c r="F2249" t="s">
        <v>3933</v>
      </c>
    </row>
    <row r="2250" spans="1:6" x14ac:dyDescent="0.3">
      <c r="A2250" t="s">
        <v>3934</v>
      </c>
      <c r="B2250" t="str" cm="1">
        <f t="array" ref="B2250">_xlfn.XLOOKUP(C2250, INDEX([1]!카테고리매핑,,2), INDEX([1]!카테고리매핑,,1), "미등록 카테고리")</f>
        <v>수산물</v>
      </c>
      <c r="C2250" t="s">
        <v>183</v>
      </c>
      <c r="D2250" t="str">
        <f>VLOOKUP(C2250, '[1]VLOOKUP 함수용 카테고리'!$A$1:$B$59, 2, 0)</f>
        <v>DRIED_SEAFOOD</v>
      </c>
      <c r="E2250" t="s">
        <v>184</v>
      </c>
      <c r="F2250" t="s">
        <v>2502</v>
      </c>
    </row>
    <row r="2251" spans="1:6" x14ac:dyDescent="0.3">
      <c r="A2251" t="s">
        <v>3935</v>
      </c>
      <c r="B2251" t="str" cm="1">
        <f t="array" ref="B2251">_xlfn.XLOOKUP(C2251, INDEX([1]!카테고리매핑,,2), INDEX([1]!카테고리매핑,,1), "미등록 카테고리")</f>
        <v>유제품</v>
      </c>
      <c r="C2251" t="s">
        <v>98</v>
      </c>
      <c r="D2251" t="str">
        <f>VLOOKUP(C2251, '[1]VLOOKUP 함수용 카테고리'!$A$1:$B$59, 2, 0)</f>
        <v>DAIRY</v>
      </c>
      <c r="E2251" t="s">
        <v>98</v>
      </c>
      <c r="F2251" t="s">
        <v>475</v>
      </c>
    </row>
    <row r="2252" spans="1:6" x14ac:dyDescent="0.3">
      <c r="A2252" t="s">
        <v>3936</v>
      </c>
      <c r="B2252" t="str" cm="1">
        <f t="array" ref="B2252">_xlfn.XLOOKUP(C2252, INDEX([1]!카테고리매핑,,2), INDEX([1]!카테고리매핑,,1), "미등록 카테고리")</f>
        <v>간식류</v>
      </c>
      <c r="C2252" t="s">
        <v>15</v>
      </c>
      <c r="D2252" t="str">
        <f>VLOOKUP(C2252, '[1]VLOOKUP 함수용 카테고리'!$A$1:$B$59, 2, 0)</f>
        <v>BAKERY</v>
      </c>
      <c r="E2252" t="s">
        <v>3937</v>
      </c>
      <c r="F2252" t="s">
        <v>2892</v>
      </c>
    </row>
    <row r="2253" spans="1:6" x14ac:dyDescent="0.3">
      <c r="A2253" t="s">
        <v>3938</v>
      </c>
      <c r="B2253" t="str" cm="1">
        <f t="array" ref="B2253">_xlfn.XLOOKUP(C2253, INDEX([1]!카테고리매핑,,2), INDEX([1]!카테고리매핑,,1), "미등록 카테고리")</f>
        <v>간식류</v>
      </c>
      <c r="C2253" t="s">
        <v>63</v>
      </c>
      <c r="D2253" t="str">
        <f>VLOOKUP(C2253, '[1]VLOOKUP 함수용 카테고리'!$A$1:$B$59, 2, 0)</f>
        <v>BAKERY</v>
      </c>
      <c r="E2253" t="s">
        <v>513</v>
      </c>
      <c r="F2253" t="s">
        <v>3604</v>
      </c>
    </row>
    <row r="2254" spans="1:6" x14ac:dyDescent="0.3">
      <c r="A2254" t="s">
        <v>3939</v>
      </c>
      <c r="B2254" t="str" cm="1">
        <f t="array" ref="B2254">_xlfn.XLOOKUP(C2254, INDEX([1]!카테고리매핑,,2), INDEX([1]!카테고리매핑,,1), "미등록 카테고리")</f>
        <v>수산물</v>
      </c>
      <c r="C2254" t="s">
        <v>203</v>
      </c>
      <c r="D2254" t="str">
        <f>VLOOKUP(C2254, '[1]VLOOKUP 함수용 카테고리'!$A$1:$B$59, 2, 0)</f>
        <v>RAW_SEAFOOD</v>
      </c>
      <c r="E2254" t="s">
        <v>204</v>
      </c>
    </row>
    <row r="2255" spans="1:6" x14ac:dyDescent="0.3">
      <c r="A2255" t="s">
        <v>3940</v>
      </c>
      <c r="B2255" t="str" cm="1">
        <f t="array" ref="B2255">_xlfn.XLOOKUP(C2255, INDEX([1]!카테고리매핑,,2), INDEX([1]!카테고리매핑,,1), "미등록 카테고리")</f>
        <v>음료</v>
      </c>
      <c r="C2255" t="s">
        <v>242</v>
      </c>
      <c r="D2255" t="str">
        <f>VLOOKUP(C2255, '[1]VLOOKUP 함수용 카테고리'!$A$1:$B$59, 2, 0)</f>
        <v>BEVERAGE</v>
      </c>
      <c r="E2255" t="s">
        <v>3361</v>
      </c>
      <c r="F2255" t="s">
        <v>3941</v>
      </c>
    </row>
    <row r="2256" spans="1:6" x14ac:dyDescent="0.3">
      <c r="A2256" t="s">
        <v>3942</v>
      </c>
      <c r="B2256" t="str" cm="1">
        <f t="array" ref="B2256">_xlfn.XLOOKUP(C2256, INDEX([1]!카테고리매핑,,2), INDEX([1]!카테고리매핑,,1), "미등록 카테고리")</f>
        <v>채소/곡물류</v>
      </c>
      <c r="C2256" t="s">
        <v>301</v>
      </c>
      <c r="D2256" t="str">
        <f>VLOOKUP(C2256, '[1]VLOOKUP 함수용 카테고리'!$A$1:$B$59, 2, 0)</f>
        <v>GRAIN</v>
      </c>
      <c r="E2256" t="s">
        <v>611</v>
      </c>
      <c r="F2256" t="s">
        <v>3943</v>
      </c>
    </row>
    <row r="2257" spans="1:6" x14ac:dyDescent="0.3">
      <c r="A2257" t="s">
        <v>3944</v>
      </c>
      <c r="B2257" t="str" cm="1">
        <f t="array" ref="B2257">_xlfn.XLOOKUP(C2257, INDEX([1]!카테고리매핑,,2), INDEX([1]!카테고리매핑,,1), "미등록 카테고리")</f>
        <v>조미료</v>
      </c>
      <c r="C2257" t="s">
        <v>84</v>
      </c>
      <c r="D2257" t="str">
        <f>VLOOKUP(C2257, '[1]VLOOKUP 함수용 카테고리'!$A$1:$B$59, 2, 0)</f>
        <v>SAUCE_SEASONING</v>
      </c>
      <c r="E2257" t="s">
        <v>85</v>
      </c>
      <c r="F2257" t="s">
        <v>3945</v>
      </c>
    </row>
    <row r="2258" spans="1:6" x14ac:dyDescent="0.3">
      <c r="A2258" t="s">
        <v>3946</v>
      </c>
      <c r="B2258" t="str" cm="1">
        <f t="array" ref="B2258">_xlfn.XLOOKUP(C2258, INDEX([1]!카테고리매핑,,2), INDEX([1]!카테고리매핑,,1), "미등록 카테고리")</f>
        <v>간식류</v>
      </c>
      <c r="C2258" t="s">
        <v>63</v>
      </c>
      <c r="D2258" t="str">
        <f>VLOOKUP(C2258, '[1]VLOOKUP 함수용 카테고리'!$A$1:$B$59, 2, 0)</f>
        <v>BAKERY</v>
      </c>
      <c r="E2258" t="s">
        <v>3947</v>
      </c>
    </row>
    <row r="2259" spans="1:6" x14ac:dyDescent="0.3">
      <c r="A2259" t="s">
        <v>3948</v>
      </c>
      <c r="B2259" t="str" cm="1">
        <f t="array" ref="B2259">_xlfn.XLOOKUP(C2259, INDEX([1]!카테고리매핑,,2), INDEX([1]!카테고리매핑,,1), "미등록 카테고리")</f>
        <v>상온식품</v>
      </c>
      <c r="C2259" t="s">
        <v>769</v>
      </c>
      <c r="D2259" t="str">
        <f>VLOOKUP(C2259, '[1]VLOOKUP 함수용 카테고리'!$A$1:$B$59, 2, 0)</f>
        <v>GRAIN</v>
      </c>
      <c r="E2259" t="s">
        <v>770</v>
      </c>
      <c r="F2259" t="s">
        <v>2089</v>
      </c>
    </row>
    <row r="2260" spans="1:6" x14ac:dyDescent="0.3">
      <c r="A2260" t="s">
        <v>3949</v>
      </c>
      <c r="B2260" t="str" cm="1">
        <f t="array" ref="B2260">_xlfn.XLOOKUP(C2260, INDEX([1]!카테고리매핑,,2), INDEX([1]!카테고리매핑,,1), "미등록 카테고리")</f>
        <v>간편식</v>
      </c>
      <c r="C2260" t="s">
        <v>19</v>
      </c>
      <c r="D2260" t="str">
        <f>VLOOKUP(C2260, '[1]VLOOKUP 함수용 카테고리'!$A$1:$B$59, 2, 0)</f>
        <v>FROZEN_MEAL</v>
      </c>
      <c r="E2260" t="s">
        <v>245</v>
      </c>
      <c r="F2260" t="s">
        <v>72</v>
      </c>
    </row>
    <row r="2261" spans="1:6" x14ac:dyDescent="0.3">
      <c r="A2261" t="s">
        <v>3950</v>
      </c>
      <c r="B2261" t="str" cm="1">
        <f t="array" ref="B2261">_xlfn.XLOOKUP(C2261, INDEX([1]!카테고리매핑,,2), INDEX([1]!카테고리매핑,,1), "미등록 카테고리")</f>
        <v>상온식품</v>
      </c>
      <c r="C2261" t="s">
        <v>769</v>
      </c>
      <c r="D2261" t="str">
        <f>VLOOKUP(C2261, '[1]VLOOKUP 함수용 카테고리'!$A$1:$B$59, 2, 0)</f>
        <v>GRAIN</v>
      </c>
      <c r="E2261" t="s">
        <v>770</v>
      </c>
      <c r="F2261" t="s">
        <v>1963</v>
      </c>
    </row>
    <row r="2262" spans="1:6" x14ac:dyDescent="0.3">
      <c r="A2262" t="s">
        <v>3951</v>
      </c>
      <c r="B2262" t="str" cm="1">
        <f t="array" ref="B2262">_xlfn.XLOOKUP(C2262, INDEX([1]!카테고리매핑,,2), INDEX([1]!카테고리매핑,,1), "미등록 카테고리")</f>
        <v>조미료</v>
      </c>
      <c r="C2262" t="s">
        <v>83</v>
      </c>
      <c r="D2262" t="str">
        <f>VLOOKUP(C2262, '[1]VLOOKUP 함수용 카테고리'!$A$1:$B$59, 2, 0)</f>
        <v>SAUCE_SEASONING</v>
      </c>
      <c r="E2262" t="s">
        <v>3952</v>
      </c>
      <c r="F2262" t="s">
        <v>3953</v>
      </c>
    </row>
    <row r="2263" spans="1:6" x14ac:dyDescent="0.3">
      <c r="A2263" t="s">
        <v>3954</v>
      </c>
      <c r="B2263" t="str" cm="1">
        <f t="array" ref="B2263">_xlfn.XLOOKUP(C2263, INDEX([1]!카테고리매핑,,2), INDEX([1]!카테고리매핑,,1), "미등록 카테고리")</f>
        <v>미등록 카테고리</v>
      </c>
      <c r="C2263" t="s">
        <v>334</v>
      </c>
      <c r="D2263" t="str">
        <f>VLOOKUP(C2263, '[1]VLOOKUP 함수용 카테고리'!$A$1:$B$59, 2, 0)</f>
        <v>UNKNOWN</v>
      </c>
      <c r="E2263" t="s">
        <v>334</v>
      </c>
      <c r="F2263" t="s">
        <v>731</v>
      </c>
    </row>
    <row r="2264" spans="1:6" x14ac:dyDescent="0.3">
      <c r="A2264" t="s">
        <v>3955</v>
      </c>
      <c r="B2264" t="str" cm="1">
        <f t="array" ref="B2264">_xlfn.XLOOKUP(C2264, INDEX([1]!카테고리매핑,,2), INDEX([1]!카테고리매핑,,1), "미등록 카테고리")</f>
        <v>수산물</v>
      </c>
      <c r="C2264" t="s">
        <v>1397</v>
      </c>
      <c r="D2264" t="str">
        <f>VLOOKUP(C2264, '[1]VLOOKUP 함수용 카테고리'!$A$1:$B$59, 2, 0)</f>
        <v>RAW_SEAFOOD</v>
      </c>
      <c r="E2264" t="s">
        <v>1398</v>
      </c>
      <c r="F2264" t="s">
        <v>3956</v>
      </c>
    </row>
    <row r="2265" spans="1:6" x14ac:dyDescent="0.3">
      <c r="A2265" t="s">
        <v>3957</v>
      </c>
      <c r="B2265" t="str" cm="1">
        <f t="array" ref="B2265">_xlfn.XLOOKUP(C2265, INDEX([1]!카테고리매핑,,2), INDEX([1]!카테고리매핑,,1), "미등록 카테고리")</f>
        <v>육류/계란</v>
      </c>
      <c r="C2265" t="s">
        <v>34</v>
      </c>
      <c r="D2265" t="str">
        <f>VLOOKUP(C2265, '[1]VLOOKUP 함수용 카테고리'!$A$1:$B$59, 2, 0)</f>
        <v>RAW_MEAT</v>
      </c>
      <c r="E2265" t="s">
        <v>2514</v>
      </c>
      <c r="F2265" t="s">
        <v>3958</v>
      </c>
    </row>
    <row r="2266" spans="1:6" x14ac:dyDescent="0.3">
      <c r="A2266" t="s">
        <v>3959</v>
      </c>
      <c r="B2266" t="str" cm="1">
        <f t="array" ref="B2266">_xlfn.XLOOKUP(C2266, INDEX([1]!카테고리매핑,,2), INDEX([1]!카테고리매핑,,1), "미등록 카테고리")</f>
        <v>유제품</v>
      </c>
      <c r="C2266" t="s">
        <v>432</v>
      </c>
      <c r="D2266" t="str">
        <f>VLOOKUP(C2266, '[1]VLOOKUP 함수용 카테고리'!$A$1:$B$59, 2, 0)</f>
        <v>DAIRY</v>
      </c>
      <c r="E2266" t="s">
        <v>3960</v>
      </c>
      <c r="F2266" t="s">
        <v>475</v>
      </c>
    </row>
    <row r="2267" spans="1:6" x14ac:dyDescent="0.3">
      <c r="A2267" t="s">
        <v>3961</v>
      </c>
      <c r="B2267" t="str" cm="1">
        <f t="array" ref="B2267">_xlfn.XLOOKUP(C2267, INDEX([1]!카테고리매핑,,2), INDEX([1]!카테고리매핑,,1), "미등록 카테고리")</f>
        <v>간편식</v>
      </c>
      <c r="C2267" t="s">
        <v>161</v>
      </c>
      <c r="D2267" t="str">
        <f>VLOOKUP(C2267, '[1]VLOOKUP 함수용 카테고리'!$A$1:$B$59, 2, 0)</f>
        <v>RTC_MEAL</v>
      </c>
      <c r="E2267" t="s">
        <v>3962</v>
      </c>
      <c r="F2267" t="s">
        <v>3963</v>
      </c>
    </row>
    <row r="2268" spans="1:6" x14ac:dyDescent="0.3">
      <c r="A2268" t="s">
        <v>3964</v>
      </c>
      <c r="B2268" t="str" cm="1">
        <f t="array" ref="B2268">_xlfn.XLOOKUP(C2268, INDEX([1]!카테고리매핑,,2), INDEX([1]!카테고리매핑,,1), "미등록 카테고리")</f>
        <v>상온식품</v>
      </c>
      <c r="C2268" t="s">
        <v>276</v>
      </c>
      <c r="D2268" t="str">
        <f>VLOOKUP(C2268, '[1]VLOOKUP 함수용 카테고리'!$A$1:$B$59, 2, 0)</f>
        <v>DRIED_SEAFOOD</v>
      </c>
      <c r="E2268" t="s">
        <v>277</v>
      </c>
      <c r="F2268" t="s">
        <v>7832</v>
      </c>
    </row>
    <row r="2269" spans="1:6" x14ac:dyDescent="0.3">
      <c r="A2269" t="s">
        <v>3965</v>
      </c>
      <c r="B2269" t="str" cm="1">
        <f t="array" ref="B2269">_xlfn.XLOOKUP(C2269, INDEX([1]!카테고리매핑,,2), INDEX([1]!카테고리매핑,,1), "미등록 카테고리")</f>
        <v>간식류</v>
      </c>
      <c r="C2269" t="s">
        <v>15</v>
      </c>
      <c r="D2269" t="str">
        <f>VLOOKUP(C2269, '[1]VLOOKUP 함수용 카테고리'!$A$1:$B$59, 2, 0)</f>
        <v>BAKERY</v>
      </c>
      <c r="E2269" t="s">
        <v>200</v>
      </c>
      <c r="F2269" t="s">
        <v>3966</v>
      </c>
    </row>
    <row r="2270" spans="1:6" x14ac:dyDescent="0.3">
      <c r="A2270" t="s">
        <v>3967</v>
      </c>
      <c r="B2270" t="str" cm="1">
        <f t="array" ref="B2270">_xlfn.XLOOKUP(C2270, INDEX([1]!카테고리매핑,,2), INDEX([1]!카테고리매핑,,1), "미등록 카테고리")</f>
        <v>간편식</v>
      </c>
      <c r="C2270" t="s">
        <v>19</v>
      </c>
      <c r="D2270" t="str">
        <f>VLOOKUP(C2270, '[1]VLOOKUP 함수용 카테고리'!$A$1:$B$59, 2, 0)</f>
        <v>FROZEN_MEAL</v>
      </c>
      <c r="E2270" t="s">
        <v>1854</v>
      </c>
      <c r="F2270" t="s">
        <v>3968</v>
      </c>
    </row>
    <row r="2271" spans="1:6" x14ac:dyDescent="0.3">
      <c r="A2271" t="s">
        <v>3969</v>
      </c>
      <c r="B2271" t="str" cm="1">
        <f t="array" ref="B2271">_xlfn.XLOOKUP(C2271, INDEX([1]!카테고리매핑,,2), INDEX([1]!카테고리매핑,,1), "미등록 카테고리")</f>
        <v>채소/곡물류</v>
      </c>
      <c r="C2271" t="s">
        <v>27</v>
      </c>
      <c r="D2271" t="str">
        <f>VLOOKUP(C2271, '[1]VLOOKUP 함수용 카테고리'!$A$1:$B$59, 2, 0)</f>
        <v>SIMPLE_PROCESSED</v>
      </c>
      <c r="E2271" t="s">
        <v>28</v>
      </c>
      <c r="F2271" t="s">
        <v>51</v>
      </c>
    </row>
    <row r="2272" spans="1:6" x14ac:dyDescent="0.3">
      <c r="A2272" t="s">
        <v>3970</v>
      </c>
      <c r="B2272" t="str" cm="1">
        <f t="array" ref="B2272">_xlfn.XLOOKUP(C2272, INDEX([1]!카테고리매핑,,2), INDEX([1]!카테고리매핑,,1), "미등록 카테고리")</f>
        <v>간식류</v>
      </c>
      <c r="C2272" t="s">
        <v>38</v>
      </c>
      <c r="D2272" t="str">
        <f>VLOOKUP(C2272, '[1]VLOOKUP 함수용 카테고리'!$A$1:$B$59, 2, 0)</f>
        <v>SNACK</v>
      </c>
      <c r="E2272" t="s">
        <v>3914</v>
      </c>
      <c r="F2272" t="s">
        <v>54</v>
      </c>
    </row>
    <row r="2273" spans="1:6" x14ac:dyDescent="0.3">
      <c r="A2273" t="s">
        <v>3971</v>
      </c>
      <c r="B2273" t="str" cm="1">
        <f t="array" ref="B2273">_xlfn.XLOOKUP(C2273, INDEX([1]!카테고리매핑,,2), INDEX([1]!카테고리매핑,,1), "미등록 카테고리")</f>
        <v>유제품</v>
      </c>
      <c r="C2273" t="s">
        <v>98</v>
      </c>
      <c r="D2273" t="str">
        <f>VLOOKUP(C2273, '[1]VLOOKUP 함수용 카테고리'!$A$1:$B$59, 2, 0)</f>
        <v>DAIRY</v>
      </c>
      <c r="E2273" t="s">
        <v>98</v>
      </c>
      <c r="F2273" t="s">
        <v>129</v>
      </c>
    </row>
    <row r="2274" spans="1:6" x14ac:dyDescent="0.3">
      <c r="A2274" t="s">
        <v>3972</v>
      </c>
      <c r="B2274" t="str" cm="1">
        <f t="array" ref="B2274">_xlfn.XLOOKUP(C2274, INDEX([1]!카테고리매핑,,2), INDEX([1]!카테고리매핑,,1), "미등록 카테고리")</f>
        <v>조미료</v>
      </c>
      <c r="C2274" t="s">
        <v>127</v>
      </c>
      <c r="D2274" t="str">
        <f>VLOOKUP(C2274, '[1]VLOOKUP 함수용 카테고리'!$A$1:$B$59, 2, 0)</f>
        <v>SAUCE_SEASONING</v>
      </c>
      <c r="E2274" t="s">
        <v>1896</v>
      </c>
      <c r="F2274" t="s">
        <v>646</v>
      </c>
    </row>
    <row r="2275" spans="1:6" x14ac:dyDescent="0.3">
      <c r="A2275" t="s">
        <v>3973</v>
      </c>
      <c r="B2275" t="str" cm="1">
        <f t="array" ref="B2275">_xlfn.XLOOKUP(C2275, INDEX([1]!카테고리매핑,,2), INDEX([1]!카테고리매핑,,1), "미등록 카테고리")</f>
        <v>육류/계란</v>
      </c>
      <c r="C2275" t="s">
        <v>34</v>
      </c>
      <c r="D2275" t="str">
        <f>VLOOKUP(C2275, '[1]VLOOKUP 함수용 카테고리'!$A$1:$B$59, 2, 0)</f>
        <v>RAW_MEAT</v>
      </c>
      <c r="E2275" t="s">
        <v>35</v>
      </c>
      <c r="F2275" t="s">
        <v>36</v>
      </c>
    </row>
    <row r="2276" spans="1:6" x14ac:dyDescent="0.3">
      <c r="A2276" t="s">
        <v>3974</v>
      </c>
      <c r="B2276" t="str" cm="1">
        <f t="array" ref="B2276">_xlfn.XLOOKUP(C2276, INDEX([1]!카테고리매핑,,2), INDEX([1]!카테고리매핑,,1), "미등록 카테고리")</f>
        <v>상온식품</v>
      </c>
      <c r="C2276" t="s">
        <v>276</v>
      </c>
      <c r="D2276" t="str">
        <f>VLOOKUP(C2276, '[1]VLOOKUP 함수용 카테고리'!$A$1:$B$59, 2, 0)</f>
        <v>DRIED_SEAFOOD</v>
      </c>
      <c r="E2276" t="s">
        <v>277</v>
      </c>
      <c r="F2276" t="s">
        <v>704</v>
      </c>
    </row>
    <row r="2277" spans="1:6" x14ac:dyDescent="0.3">
      <c r="A2277" t="s">
        <v>3975</v>
      </c>
      <c r="B2277" t="str" cm="1">
        <f t="array" ref="B2277">_xlfn.XLOOKUP(C2277, INDEX([1]!카테고리매핑,,2), INDEX([1]!카테고리매핑,,1), "미등록 카테고리")</f>
        <v>간식류</v>
      </c>
      <c r="C2277" t="s">
        <v>63</v>
      </c>
      <c r="D2277" t="str">
        <f>VLOOKUP(C2277, '[1]VLOOKUP 함수용 카테고리'!$A$1:$B$59, 2, 0)</f>
        <v>BAKERY</v>
      </c>
      <c r="E2277" t="s">
        <v>513</v>
      </c>
      <c r="F2277" t="s">
        <v>2892</v>
      </c>
    </row>
    <row r="2278" spans="1:6" x14ac:dyDescent="0.3">
      <c r="A2278" t="s">
        <v>3976</v>
      </c>
      <c r="B2278" t="str" cm="1">
        <f t="array" ref="B2278">_xlfn.XLOOKUP(C2278, INDEX([1]!카테고리매핑,,2), INDEX([1]!카테고리매핑,,1), "미등록 카테고리")</f>
        <v>유제품</v>
      </c>
      <c r="C2278" t="s">
        <v>123</v>
      </c>
      <c r="D2278" t="str">
        <f>VLOOKUP(C2278, '[1]VLOOKUP 함수용 카테고리'!$A$1:$B$59, 2, 0)</f>
        <v>DAIRY</v>
      </c>
      <c r="E2278" t="s">
        <v>190</v>
      </c>
      <c r="F2278" t="s">
        <v>623</v>
      </c>
    </row>
    <row r="2279" spans="1:6" x14ac:dyDescent="0.3">
      <c r="A2279" t="s">
        <v>3977</v>
      </c>
      <c r="B2279" t="str" cm="1">
        <f t="array" ref="B2279">_xlfn.XLOOKUP(C2279, INDEX([1]!카테고리매핑,,2), INDEX([1]!카테고리매핑,,1), "미등록 카테고리")</f>
        <v>간편식</v>
      </c>
      <c r="C2279" t="s">
        <v>161</v>
      </c>
      <c r="D2279" t="str">
        <f>VLOOKUP(C2279, '[1]VLOOKUP 함수용 카테고리'!$A$1:$B$59, 2, 0)</f>
        <v>RTC_MEAL</v>
      </c>
      <c r="E2279" t="s">
        <v>3978</v>
      </c>
      <c r="F2279" t="s">
        <v>72</v>
      </c>
    </row>
    <row r="2280" spans="1:6" x14ac:dyDescent="0.3">
      <c r="A2280" t="s">
        <v>3979</v>
      </c>
      <c r="B2280" t="str" cm="1">
        <f t="array" ref="B2280">_xlfn.XLOOKUP(C2280, INDEX([1]!카테고리매핑,,2), INDEX([1]!카테고리매핑,,1), "미등록 카테고리")</f>
        <v>간식류</v>
      </c>
      <c r="C2280" t="s">
        <v>109</v>
      </c>
      <c r="D2280" t="str">
        <f>VLOOKUP(C2280, '[1]VLOOKUP 함수용 카테고리'!$A$1:$B$59, 2, 0)</f>
        <v>SNACK</v>
      </c>
      <c r="E2280" t="s">
        <v>217</v>
      </c>
      <c r="F2280" t="s">
        <v>741</v>
      </c>
    </row>
    <row r="2281" spans="1:6" x14ac:dyDescent="0.3">
      <c r="A2281" t="s">
        <v>3980</v>
      </c>
      <c r="B2281" t="str" cm="1">
        <f t="array" ref="B2281">_xlfn.XLOOKUP(C2281, INDEX([1]!카테고리매핑,,2), INDEX([1]!카테고리매핑,,1), "미등록 카테고리")</f>
        <v>조미료</v>
      </c>
      <c r="C2281" t="s">
        <v>84</v>
      </c>
      <c r="D2281" t="str">
        <f>VLOOKUP(C2281, '[1]VLOOKUP 함수용 카테고리'!$A$1:$B$59, 2, 0)</f>
        <v>SAUCE_SEASONING</v>
      </c>
      <c r="E2281" t="s">
        <v>85</v>
      </c>
      <c r="F2281" t="s">
        <v>3981</v>
      </c>
    </row>
    <row r="2282" spans="1:6" x14ac:dyDescent="0.3">
      <c r="A2282" t="s">
        <v>3982</v>
      </c>
      <c r="B2282" t="str" cm="1">
        <f t="array" ref="B2282">_xlfn.XLOOKUP(C2282, INDEX([1]!카테고리매핑,,2), INDEX([1]!카테고리매핑,,1), "미등록 카테고리")</f>
        <v>채소/곡물류</v>
      </c>
      <c r="C2282" t="s">
        <v>7</v>
      </c>
      <c r="D2282" t="str">
        <f>VLOOKUP(C2282, '[1]VLOOKUP 함수용 카테고리'!$A$1:$B$59, 2, 0)</f>
        <v>RAW_PRODUCE</v>
      </c>
      <c r="E2282" t="s">
        <v>2320</v>
      </c>
      <c r="F2282" t="s">
        <v>29</v>
      </c>
    </row>
    <row r="2283" spans="1:6" x14ac:dyDescent="0.3">
      <c r="A2283" t="s">
        <v>3983</v>
      </c>
      <c r="B2283" t="str" cm="1">
        <f t="array" ref="B2283">_xlfn.XLOOKUP(C2283, INDEX([1]!카테고리매핑,,2), INDEX([1]!카테고리매핑,,1), "미등록 카테고리")</f>
        <v>육류/계란</v>
      </c>
      <c r="C2283" t="s">
        <v>428</v>
      </c>
      <c r="D2283" t="str">
        <f>VLOOKUP(C2283, '[1]VLOOKUP 함수용 카테고리'!$A$1:$B$59, 2, 0)</f>
        <v>PROCESSED_MEAT</v>
      </c>
      <c r="E2283" t="s">
        <v>3702</v>
      </c>
      <c r="F2283" t="s">
        <v>1141</v>
      </c>
    </row>
    <row r="2284" spans="1:6" x14ac:dyDescent="0.3">
      <c r="A2284" t="s">
        <v>3984</v>
      </c>
      <c r="B2284" t="str" cm="1">
        <f t="array" ref="B2284">_xlfn.XLOOKUP(C2284, INDEX([1]!카테고리매핑,,2), INDEX([1]!카테고리매핑,,1), "미등록 카테고리")</f>
        <v>채소/곡물류</v>
      </c>
      <c r="C2284" t="s">
        <v>7</v>
      </c>
      <c r="D2284" t="str">
        <f>VLOOKUP(C2284, '[1]VLOOKUP 함수용 카테고리'!$A$1:$B$59, 2, 0)</f>
        <v>RAW_PRODUCE</v>
      </c>
      <c r="E2284" t="s">
        <v>723</v>
      </c>
      <c r="F2284" t="s">
        <v>3985</v>
      </c>
    </row>
    <row r="2285" spans="1:6" x14ac:dyDescent="0.3">
      <c r="A2285" t="s">
        <v>3986</v>
      </c>
      <c r="B2285" t="str" cm="1">
        <f t="array" ref="B2285">_xlfn.XLOOKUP(C2285, INDEX([1]!카테고리매핑,,2), INDEX([1]!카테고리매핑,,1), "미등록 카테고리")</f>
        <v>간식류</v>
      </c>
      <c r="C2285" t="s">
        <v>11</v>
      </c>
      <c r="D2285" t="str">
        <f>VLOOKUP(C2285, '[1]VLOOKUP 함수용 카테고리'!$A$1:$B$59, 2, 0)</f>
        <v>SNACK</v>
      </c>
      <c r="E2285" t="s">
        <v>3987</v>
      </c>
      <c r="F2285" t="s">
        <v>899</v>
      </c>
    </row>
    <row r="2286" spans="1:6" x14ac:dyDescent="0.3">
      <c r="A2286" t="s">
        <v>3988</v>
      </c>
      <c r="B2286" t="str" cm="1">
        <f t="array" ref="B2286">_xlfn.XLOOKUP(C2286, INDEX([1]!카테고리매핑,,2), INDEX([1]!카테고리매핑,,1), "미등록 카테고리")</f>
        <v>육류/계란</v>
      </c>
      <c r="C2286" t="s">
        <v>298</v>
      </c>
      <c r="D2286" t="str">
        <f>VLOOKUP(C2286, '[1]VLOOKUP 함수용 카테고리'!$A$1:$B$59, 2, 0)</f>
        <v>RAW_MEAT</v>
      </c>
      <c r="E2286" t="s">
        <v>298</v>
      </c>
      <c r="F2286" t="s">
        <v>151</v>
      </c>
    </row>
    <row r="2287" spans="1:6" x14ac:dyDescent="0.3">
      <c r="A2287" t="s">
        <v>3989</v>
      </c>
      <c r="B2287" t="str" cm="1">
        <f t="array" ref="B2287">_xlfn.XLOOKUP(C2287, INDEX([1]!카테고리매핑,,2), INDEX([1]!카테고리매핑,,1), "미등록 카테고리")</f>
        <v>유제품</v>
      </c>
      <c r="C2287" t="s">
        <v>211</v>
      </c>
      <c r="D2287" t="str">
        <f>VLOOKUP(C2287, '[1]VLOOKUP 함수용 카테고리'!$A$1:$B$59, 2, 0)</f>
        <v>DAIRY</v>
      </c>
      <c r="E2287" t="s">
        <v>211</v>
      </c>
      <c r="F2287" t="s">
        <v>623</v>
      </c>
    </row>
    <row r="2288" spans="1:6" x14ac:dyDescent="0.3">
      <c r="A2288" t="s">
        <v>3990</v>
      </c>
      <c r="B2288" t="str" cm="1">
        <f t="array" ref="B2288">_xlfn.XLOOKUP(C2288, INDEX([1]!카테고리매핑,,2), INDEX([1]!카테고리매핑,,1), "미등록 카테고리")</f>
        <v>간식류</v>
      </c>
      <c r="C2288" t="s">
        <v>11</v>
      </c>
      <c r="D2288" t="str">
        <f>VLOOKUP(C2288, '[1]VLOOKUP 함수용 카테고리'!$A$1:$B$59, 2, 0)</f>
        <v>SNACK</v>
      </c>
      <c r="E2288" t="s">
        <v>3991</v>
      </c>
      <c r="F2288" t="s">
        <v>129</v>
      </c>
    </row>
    <row r="2289" spans="1:6" x14ac:dyDescent="0.3">
      <c r="A2289" t="s">
        <v>3992</v>
      </c>
      <c r="B2289" t="str" cm="1">
        <f t="array" ref="B2289">_xlfn.XLOOKUP(C2289, INDEX([1]!카테고리매핑,,2), INDEX([1]!카테고리매핑,,1), "미등록 카테고리")</f>
        <v>간식류</v>
      </c>
      <c r="C2289" t="s">
        <v>11</v>
      </c>
      <c r="D2289" t="str">
        <f>VLOOKUP(C2289, '[1]VLOOKUP 함수용 카테고리'!$A$1:$B$59, 2, 0)</f>
        <v>SNACK</v>
      </c>
      <c r="E2289" t="s">
        <v>371</v>
      </c>
      <c r="F2289" t="s">
        <v>3993</v>
      </c>
    </row>
    <row r="2290" spans="1:6" x14ac:dyDescent="0.3">
      <c r="A2290" t="s">
        <v>3994</v>
      </c>
      <c r="B2290" t="str" cm="1">
        <f t="array" ref="B2290">_xlfn.XLOOKUP(C2290, INDEX([1]!카테고리매핑,,2), INDEX([1]!카테고리매핑,,1), "미등록 카테고리")</f>
        <v>간식류</v>
      </c>
      <c r="C2290" t="s">
        <v>15</v>
      </c>
      <c r="D2290" t="str">
        <f>VLOOKUP(C2290, '[1]VLOOKUP 함수용 카테고리'!$A$1:$B$59, 2, 0)</f>
        <v>BAKERY</v>
      </c>
      <c r="E2290" t="s">
        <v>1787</v>
      </c>
      <c r="F2290" t="s">
        <v>1311</v>
      </c>
    </row>
    <row r="2291" spans="1:6" x14ac:dyDescent="0.3">
      <c r="A2291" t="s">
        <v>3995</v>
      </c>
      <c r="B2291" t="str" cm="1">
        <f t="array" ref="B2291">_xlfn.XLOOKUP(C2291, INDEX([1]!카테고리매핑,,2), INDEX([1]!카테고리매핑,,1), "미등록 카테고리")</f>
        <v>육류/계란</v>
      </c>
      <c r="C2291" t="s">
        <v>298</v>
      </c>
      <c r="D2291" t="str">
        <f>VLOOKUP(C2291, '[1]VLOOKUP 함수용 카테고리'!$A$1:$B$59, 2, 0)</f>
        <v>RAW_MEAT</v>
      </c>
      <c r="E2291" t="s">
        <v>537</v>
      </c>
    </row>
    <row r="2292" spans="1:6" x14ac:dyDescent="0.3">
      <c r="A2292" t="s">
        <v>3996</v>
      </c>
      <c r="B2292" t="str" cm="1">
        <f t="array" ref="B2292">_xlfn.XLOOKUP(C2292, INDEX([1]!카테고리매핑,,2), INDEX([1]!카테고리매핑,,1), "미등록 카테고리")</f>
        <v>간식류</v>
      </c>
      <c r="C2292" t="s">
        <v>38</v>
      </c>
      <c r="D2292" t="str">
        <f>VLOOKUP(C2292, '[1]VLOOKUP 함수용 카테고리'!$A$1:$B$59, 2, 0)</f>
        <v>SNACK</v>
      </c>
      <c r="E2292" t="s">
        <v>179</v>
      </c>
      <c r="F2292" t="s">
        <v>1437</v>
      </c>
    </row>
    <row r="2293" spans="1:6" x14ac:dyDescent="0.3">
      <c r="A2293" t="s">
        <v>3997</v>
      </c>
      <c r="B2293" t="str" cm="1">
        <f t="array" ref="B2293">_xlfn.XLOOKUP(C2293, INDEX([1]!카테고리매핑,,2), INDEX([1]!카테고리매핑,,1), "미등록 카테고리")</f>
        <v>간편식</v>
      </c>
      <c r="C2293" t="s">
        <v>46</v>
      </c>
      <c r="D2293" t="str">
        <f>VLOOKUP(C2293, '[1]VLOOKUP 함수용 카테고리'!$A$1:$B$59, 2, 0)</f>
        <v>RTC_MEAL</v>
      </c>
      <c r="E2293" t="s">
        <v>46</v>
      </c>
      <c r="F2293" t="s">
        <v>3998</v>
      </c>
    </row>
    <row r="2294" spans="1:6" x14ac:dyDescent="0.3">
      <c r="A2294" t="s">
        <v>3999</v>
      </c>
      <c r="B2294" t="str" cm="1">
        <f t="array" ref="B2294">_xlfn.XLOOKUP(C2294, INDEX([1]!카테고리매핑,,2), INDEX([1]!카테고리매핑,,1), "미등록 카테고리")</f>
        <v>간편식</v>
      </c>
      <c r="C2294" t="s">
        <v>161</v>
      </c>
      <c r="D2294" t="str">
        <f>VLOOKUP(C2294, '[1]VLOOKUP 함수용 카테고리'!$A$1:$B$59, 2, 0)</f>
        <v>RTC_MEAL</v>
      </c>
      <c r="E2294" t="s">
        <v>162</v>
      </c>
      <c r="F2294" t="s">
        <v>406</v>
      </c>
    </row>
    <row r="2295" spans="1:6" x14ac:dyDescent="0.3">
      <c r="A2295" t="s">
        <v>4000</v>
      </c>
      <c r="B2295" t="str" cm="1">
        <f t="array" ref="B2295">_xlfn.XLOOKUP(C2295, INDEX([1]!카테고리매핑,,2), INDEX([1]!카테고리매핑,,1), "미등록 카테고리")</f>
        <v>간식류</v>
      </c>
      <c r="C2295" t="s">
        <v>15</v>
      </c>
      <c r="D2295" t="str">
        <f>VLOOKUP(C2295, '[1]VLOOKUP 함수용 카테고리'!$A$1:$B$59, 2, 0)</f>
        <v>BAKERY</v>
      </c>
      <c r="E2295" t="s">
        <v>53</v>
      </c>
      <c r="F2295" t="s">
        <v>4001</v>
      </c>
    </row>
    <row r="2296" spans="1:6" x14ac:dyDescent="0.3">
      <c r="A2296" t="s">
        <v>4002</v>
      </c>
      <c r="B2296" t="str" cm="1">
        <f t="array" ref="B2296">_xlfn.XLOOKUP(C2296, INDEX([1]!카테고리매핑,,2), INDEX([1]!카테고리매핑,,1), "미등록 카테고리")</f>
        <v>채소/곡물류</v>
      </c>
      <c r="C2296" t="s">
        <v>7</v>
      </c>
      <c r="D2296" t="str">
        <f>VLOOKUP(C2296, '[1]VLOOKUP 함수용 카테고리'!$A$1:$B$59, 2, 0)</f>
        <v>RAW_PRODUCE</v>
      </c>
      <c r="E2296" t="s">
        <v>2884</v>
      </c>
    </row>
    <row r="2297" spans="1:6" x14ac:dyDescent="0.3">
      <c r="A2297" t="s">
        <v>4003</v>
      </c>
      <c r="B2297" t="str" cm="1">
        <f t="array" ref="B2297">_xlfn.XLOOKUP(C2297, INDEX([1]!카테고리매핑,,2), INDEX([1]!카테고리매핑,,1), "미등록 카테고리")</f>
        <v>음료</v>
      </c>
      <c r="C2297" t="s">
        <v>242</v>
      </c>
      <c r="D2297" t="str">
        <f>VLOOKUP(C2297, '[1]VLOOKUP 함수용 카테고리'!$A$1:$B$59, 2, 0)</f>
        <v>BEVERAGE</v>
      </c>
      <c r="E2297" t="s">
        <v>4004</v>
      </c>
      <c r="F2297" t="s">
        <v>7833</v>
      </c>
    </row>
    <row r="2298" spans="1:6" x14ac:dyDescent="0.3">
      <c r="A2298" t="s">
        <v>4005</v>
      </c>
      <c r="B2298" t="str" cm="1">
        <f t="array" ref="B2298">_xlfn.XLOOKUP(C2298, INDEX([1]!카테고리매핑,,2), INDEX([1]!카테고리매핑,,1), "미등록 카테고리")</f>
        <v>유제품</v>
      </c>
      <c r="C2298" t="s">
        <v>123</v>
      </c>
      <c r="D2298" t="str">
        <f>VLOOKUP(C2298, '[1]VLOOKUP 함수용 카테고리'!$A$1:$B$59, 2, 0)</f>
        <v>DAIRY</v>
      </c>
      <c r="E2298" t="s">
        <v>4006</v>
      </c>
      <c r="F2298" t="s">
        <v>240</v>
      </c>
    </row>
    <row r="2299" spans="1:6" x14ac:dyDescent="0.3">
      <c r="A2299" t="s">
        <v>4007</v>
      </c>
      <c r="B2299" t="str" cm="1">
        <f t="array" ref="B2299">_xlfn.XLOOKUP(C2299, INDEX([1]!카테고리매핑,,2), INDEX([1]!카테고리매핑,,1), "미등록 카테고리")</f>
        <v>간편식</v>
      </c>
      <c r="C2299" t="s">
        <v>161</v>
      </c>
      <c r="D2299" t="str">
        <f>VLOOKUP(C2299, '[1]VLOOKUP 함수용 카테고리'!$A$1:$B$59, 2, 0)</f>
        <v>RTC_MEAL</v>
      </c>
      <c r="E2299" t="s">
        <v>162</v>
      </c>
      <c r="F2299" t="s">
        <v>3963</v>
      </c>
    </row>
    <row r="2300" spans="1:6" x14ac:dyDescent="0.3">
      <c r="A2300" t="s">
        <v>4008</v>
      </c>
      <c r="B2300" t="str" cm="1">
        <f t="array" ref="B2300">_xlfn.XLOOKUP(C2300, INDEX([1]!카테고리매핑,,2), INDEX([1]!카테고리매핑,,1), "미등록 카테고리")</f>
        <v>수산물</v>
      </c>
      <c r="C2300" t="s">
        <v>101</v>
      </c>
      <c r="D2300" t="str">
        <f>VLOOKUP(C2300, '[1]VLOOKUP 함수용 카테고리'!$A$1:$B$59, 2, 0)</f>
        <v>DRIED_SEAFOOD</v>
      </c>
      <c r="E2300" t="s">
        <v>693</v>
      </c>
      <c r="F2300" t="s">
        <v>4009</v>
      </c>
    </row>
    <row r="2301" spans="1:6" x14ac:dyDescent="0.3">
      <c r="A2301" t="s">
        <v>4010</v>
      </c>
      <c r="B2301" t="str" cm="1">
        <f t="array" ref="B2301">_xlfn.XLOOKUP(C2301, INDEX([1]!카테고리매핑,,2), INDEX([1]!카테고리매핑,,1), "미등록 카테고리")</f>
        <v>미등록 카테고리</v>
      </c>
      <c r="C2301" t="s">
        <v>334</v>
      </c>
      <c r="D2301" t="str">
        <f>VLOOKUP(C2301, '[1]VLOOKUP 함수용 카테고리'!$A$1:$B$59, 2, 0)</f>
        <v>UNKNOWN</v>
      </c>
      <c r="E2301" t="s">
        <v>334</v>
      </c>
      <c r="F2301" t="s">
        <v>4011</v>
      </c>
    </row>
    <row r="2302" spans="1:6" x14ac:dyDescent="0.3">
      <c r="A2302" t="s">
        <v>4012</v>
      </c>
      <c r="B2302" t="str" cm="1">
        <f t="array" ref="B2302">_xlfn.XLOOKUP(C2302, INDEX([1]!카테고리매핑,,2), INDEX([1]!카테고리매핑,,1), "미등록 카테고리")</f>
        <v>육류/계란</v>
      </c>
      <c r="C2302" t="s">
        <v>298</v>
      </c>
      <c r="D2302" t="str">
        <f>VLOOKUP(C2302, '[1]VLOOKUP 함수용 카테고리'!$A$1:$B$59, 2, 0)</f>
        <v>RAW_MEAT</v>
      </c>
      <c r="E2302" t="s">
        <v>570</v>
      </c>
      <c r="F2302" t="s">
        <v>571</v>
      </c>
    </row>
    <row r="2303" spans="1:6" x14ac:dyDescent="0.3">
      <c r="A2303" t="s">
        <v>4013</v>
      </c>
      <c r="B2303" t="str" cm="1">
        <f t="array" ref="B2303">_xlfn.XLOOKUP(C2303, INDEX([1]!카테고리매핑,,2), INDEX([1]!카테고리매핑,,1), "미등록 카테고리")</f>
        <v>육류/계란</v>
      </c>
      <c r="C2303" t="s">
        <v>428</v>
      </c>
      <c r="D2303" t="str">
        <f>VLOOKUP(C2303, '[1]VLOOKUP 함수용 카테고리'!$A$1:$B$59, 2, 0)</f>
        <v>PROCESSED_MEAT</v>
      </c>
      <c r="E2303" t="s">
        <v>790</v>
      </c>
      <c r="F2303" t="s">
        <v>739</v>
      </c>
    </row>
    <row r="2304" spans="1:6" x14ac:dyDescent="0.3">
      <c r="A2304" t="s">
        <v>4014</v>
      </c>
      <c r="B2304" t="str" cm="1">
        <f t="array" ref="B2304">_xlfn.XLOOKUP(C2304, INDEX([1]!카테고리매핑,,2), INDEX([1]!카테고리매핑,,1), "미등록 카테고리")</f>
        <v>간편식</v>
      </c>
      <c r="C2304" t="s">
        <v>256</v>
      </c>
      <c r="D2304" t="str">
        <f>VLOOKUP(C2304, '[1]VLOOKUP 함수용 카테고리'!$A$1:$B$59, 2, 0)</f>
        <v>RTC_MEAL</v>
      </c>
      <c r="E2304" t="s">
        <v>256</v>
      </c>
      <c r="F2304" t="s">
        <v>541</v>
      </c>
    </row>
    <row r="2305" spans="1:6" x14ac:dyDescent="0.3">
      <c r="A2305" t="s">
        <v>4015</v>
      </c>
      <c r="B2305" t="str" cm="1">
        <f t="array" ref="B2305">_xlfn.XLOOKUP(C2305, INDEX([1]!카테고리매핑,,2), INDEX([1]!카테고리매핑,,1), "미등록 카테고리")</f>
        <v>간편식</v>
      </c>
      <c r="C2305" t="s">
        <v>131</v>
      </c>
      <c r="D2305" t="str">
        <f>VLOOKUP(C2305, '[1]VLOOKUP 함수용 카테고리'!$A$1:$B$59, 2, 0)</f>
        <v>SIMPLE_PROCESSED</v>
      </c>
      <c r="E2305" t="s">
        <v>1067</v>
      </c>
      <c r="F2305" t="s">
        <v>7834</v>
      </c>
    </row>
    <row r="2306" spans="1:6" x14ac:dyDescent="0.3">
      <c r="A2306" t="s">
        <v>4016</v>
      </c>
      <c r="B2306" t="str" cm="1">
        <f t="array" ref="B2306">_xlfn.XLOOKUP(C2306, INDEX([1]!카테고리매핑,,2), INDEX([1]!카테고리매핑,,1), "미등록 카테고리")</f>
        <v>간편식</v>
      </c>
      <c r="C2306" t="s">
        <v>256</v>
      </c>
      <c r="D2306" t="str">
        <f>VLOOKUP(C2306, '[1]VLOOKUP 함수용 카테고리'!$A$1:$B$59, 2, 0)</f>
        <v>RTC_MEAL</v>
      </c>
      <c r="E2306" t="s">
        <v>256</v>
      </c>
      <c r="F2306" t="s">
        <v>4017</v>
      </c>
    </row>
    <row r="2307" spans="1:6" x14ac:dyDescent="0.3">
      <c r="A2307" t="s">
        <v>4018</v>
      </c>
      <c r="B2307" t="str" cm="1">
        <f t="array" ref="B2307">_xlfn.XLOOKUP(C2307, INDEX([1]!카테고리매핑,,2), INDEX([1]!카테고리매핑,,1), "미등록 카테고리")</f>
        <v>간식류</v>
      </c>
      <c r="C2307" t="s">
        <v>38</v>
      </c>
      <c r="D2307" t="str">
        <f>VLOOKUP(C2307, '[1]VLOOKUP 함수용 카테고리'!$A$1:$B$59, 2, 0)</f>
        <v>SNACK</v>
      </c>
      <c r="E2307" t="s">
        <v>3914</v>
      </c>
      <c r="F2307" t="s">
        <v>4019</v>
      </c>
    </row>
    <row r="2308" spans="1:6" x14ac:dyDescent="0.3">
      <c r="A2308" t="s">
        <v>4020</v>
      </c>
      <c r="B2308" t="str" cm="1">
        <f t="array" ref="B2308">_xlfn.XLOOKUP(C2308, INDEX([1]!카테고리매핑,,2), INDEX([1]!카테고리매핑,,1), "미등록 카테고리")</f>
        <v>간편식</v>
      </c>
      <c r="C2308" t="s">
        <v>158</v>
      </c>
      <c r="D2308" t="str">
        <f>VLOOKUP(C2308, '[1]VLOOKUP 함수용 카테고리'!$A$1:$B$59, 2, 0)</f>
        <v>INSTANT</v>
      </c>
      <c r="E2308" t="s">
        <v>4021</v>
      </c>
      <c r="F2308" t="s">
        <v>7835</v>
      </c>
    </row>
    <row r="2309" spans="1:6" x14ac:dyDescent="0.3">
      <c r="A2309" t="s">
        <v>4022</v>
      </c>
      <c r="B2309" t="str" cm="1">
        <f t="array" ref="B2309">_xlfn.XLOOKUP(C2309, INDEX([1]!카테고리매핑,,2), INDEX([1]!카테고리매핑,,1), "미등록 카테고리")</f>
        <v>수산물</v>
      </c>
      <c r="C2309" t="s">
        <v>229</v>
      </c>
      <c r="D2309" t="str">
        <f>VLOOKUP(C2309, '[1]VLOOKUP 함수용 카테고리'!$A$1:$B$59, 2, 0)</f>
        <v>RAW_SEAFOOD</v>
      </c>
      <c r="E2309" t="s">
        <v>230</v>
      </c>
      <c r="F2309" t="s">
        <v>2252</v>
      </c>
    </row>
    <row r="2310" spans="1:6" x14ac:dyDescent="0.3">
      <c r="A2310" t="s">
        <v>4023</v>
      </c>
      <c r="B2310" t="str" cm="1">
        <f t="array" ref="B2310">_xlfn.XLOOKUP(C2310, INDEX([1]!카테고리매핑,,2), INDEX([1]!카테고리매핑,,1), "미등록 카테고리")</f>
        <v>조미료</v>
      </c>
      <c r="C2310" t="s">
        <v>127</v>
      </c>
      <c r="D2310" t="str">
        <f>VLOOKUP(C2310, '[1]VLOOKUP 함수용 카테고리'!$A$1:$B$59, 2, 0)</f>
        <v>SAUCE_SEASONING</v>
      </c>
      <c r="E2310" t="s">
        <v>171</v>
      </c>
      <c r="F2310" t="s">
        <v>4024</v>
      </c>
    </row>
    <row r="2311" spans="1:6" x14ac:dyDescent="0.3">
      <c r="A2311" t="s">
        <v>4025</v>
      </c>
      <c r="B2311" t="str" cm="1">
        <f t="array" ref="B2311">_xlfn.XLOOKUP(C2311, INDEX([1]!카테고리매핑,,2), INDEX([1]!카테고리매핑,,1), "미등록 카테고리")</f>
        <v>간편식</v>
      </c>
      <c r="C2311" t="s">
        <v>256</v>
      </c>
      <c r="D2311" t="str">
        <f>VLOOKUP(C2311, '[1]VLOOKUP 함수용 카테고리'!$A$1:$B$59, 2, 0)</f>
        <v>RTC_MEAL</v>
      </c>
      <c r="E2311" t="s">
        <v>256</v>
      </c>
      <c r="F2311" t="s">
        <v>4026</v>
      </c>
    </row>
    <row r="2312" spans="1:6" x14ac:dyDescent="0.3">
      <c r="A2312" t="s">
        <v>4027</v>
      </c>
      <c r="B2312" t="str" cm="1">
        <f t="array" ref="B2312">_xlfn.XLOOKUP(C2312, INDEX([1]!카테고리매핑,,2), INDEX([1]!카테고리매핑,,1), "미등록 카테고리")</f>
        <v>간식류</v>
      </c>
      <c r="C2312" t="s">
        <v>15</v>
      </c>
      <c r="D2312" t="str">
        <f>VLOOKUP(C2312, '[1]VLOOKUP 함수용 카테고리'!$A$1:$B$59, 2, 0)</f>
        <v>BAKERY</v>
      </c>
      <c r="E2312" t="s">
        <v>4028</v>
      </c>
      <c r="F2312" t="s">
        <v>1311</v>
      </c>
    </row>
    <row r="2313" spans="1:6" x14ac:dyDescent="0.3">
      <c r="A2313" t="s">
        <v>4029</v>
      </c>
      <c r="B2313" t="str" cm="1">
        <f t="array" ref="B2313">_xlfn.XLOOKUP(C2313, INDEX([1]!카테고리매핑,,2), INDEX([1]!카테고리매핑,,1), "미등록 카테고리")</f>
        <v>미등록 카테고리</v>
      </c>
      <c r="C2313" t="s">
        <v>334</v>
      </c>
      <c r="D2313" t="str">
        <f>VLOOKUP(C2313, '[1]VLOOKUP 함수용 카테고리'!$A$1:$B$59, 2, 0)</f>
        <v>UNKNOWN</v>
      </c>
      <c r="E2313" t="s">
        <v>334</v>
      </c>
      <c r="F2313" t="s">
        <v>2467</v>
      </c>
    </row>
    <row r="2314" spans="1:6" x14ac:dyDescent="0.3">
      <c r="A2314" t="s">
        <v>4030</v>
      </c>
      <c r="B2314" t="str" cm="1">
        <f t="array" ref="B2314">_xlfn.XLOOKUP(C2314, INDEX([1]!카테고리매핑,,2), INDEX([1]!카테고리매핑,,1), "미등록 카테고리")</f>
        <v>조미료</v>
      </c>
      <c r="C2314" t="s">
        <v>127</v>
      </c>
      <c r="D2314" t="str">
        <f>VLOOKUP(C2314, '[1]VLOOKUP 함수용 카테고리'!$A$1:$B$59, 2, 0)</f>
        <v>SAUCE_SEASONING</v>
      </c>
      <c r="E2314" t="s">
        <v>340</v>
      </c>
      <c r="F2314" t="s">
        <v>1442</v>
      </c>
    </row>
    <row r="2315" spans="1:6" x14ac:dyDescent="0.3">
      <c r="A2315" t="s">
        <v>4031</v>
      </c>
      <c r="B2315" t="str" cm="1">
        <f t="array" ref="B2315">_xlfn.XLOOKUP(C2315, INDEX([1]!카테고리매핑,,2), INDEX([1]!카테고리매핑,,1), "미등록 카테고리")</f>
        <v>수산물</v>
      </c>
      <c r="C2315" t="s">
        <v>101</v>
      </c>
      <c r="D2315" t="str">
        <f>VLOOKUP(C2315, '[1]VLOOKUP 함수용 카테고리'!$A$1:$B$59, 2, 0)</f>
        <v>DRIED_SEAFOOD</v>
      </c>
      <c r="E2315" t="s">
        <v>102</v>
      </c>
      <c r="F2315" t="s">
        <v>1336</v>
      </c>
    </row>
    <row r="2316" spans="1:6" x14ac:dyDescent="0.3">
      <c r="A2316" t="s">
        <v>4032</v>
      </c>
      <c r="B2316" t="str" cm="1">
        <f t="array" ref="B2316">_xlfn.XLOOKUP(C2316, INDEX([1]!카테고리매핑,,2), INDEX([1]!카테고리매핑,,1), "미등록 카테고리")</f>
        <v>채소/곡물류</v>
      </c>
      <c r="C2316" t="s">
        <v>7</v>
      </c>
      <c r="D2316" t="str">
        <f>VLOOKUP(C2316, '[1]VLOOKUP 함수용 카테고리'!$A$1:$B$59, 2, 0)</f>
        <v>RAW_PRODUCE</v>
      </c>
      <c r="E2316" t="s">
        <v>4033</v>
      </c>
    </row>
    <row r="2317" spans="1:6" x14ac:dyDescent="0.3">
      <c r="A2317" t="s">
        <v>4034</v>
      </c>
      <c r="B2317" t="str" cm="1">
        <f t="array" ref="B2317">_xlfn.XLOOKUP(C2317, INDEX([1]!카테고리매핑,,2), INDEX([1]!카테고리매핑,,1), "미등록 카테고리")</f>
        <v>음료</v>
      </c>
      <c r="C2317" t="s">
        <v>23</v>
      </c>
      <c r="D2317" t="str">
        <f>VLOOKUP(C2317, '[1]VLOOKUP 함수용 카테고리'!$A$1:$B$59, 2, 0)</f>
        <v>BEVERAGE</v>
      </c>
      <c r="E2317" t="s">
        <v>4035</v>
      </c>
      <c r="F2317" t="s">
        <v>4036</v>
      </c>
    </row>
    <row r="2318" spans="1:6" x14ac:dyDescent="0.3">
      <c r="A2318" t="s">
        <v>4037</v>
      </c>
      <c r="B2318" t="str" cm="1">
        <f t="array" ref="B2318">_xlfn.XLOOKUP(C2318, INDEX([1]!카테고리매핑,,2), INDEX([1]!카테고리매핑,,1), "미등록 카테고리")</f>
        <v>채소/곡물류</v>
      </c>
      <c r="C2318" t="s">
        <v>7</v>
      </c>
      <c r="D2318" t="str">
        <f>VLOOKUP(C2318, '[1]VLOOKUP 함수용 카테고리'!$A$1:$B$59, 2, 0)</f>
        <v>RAW_PRODUCE</v>
      </c>
      <c r="E2318" t="s">
        <v>8</v>
      </c>
      <c r="F2318" t="s">
        <v>4038</v>
      </c>
    </row>
    <row r="2319" spans="1:6" x14ac:dyDescent="0.3">
      <c r="A2319" t="s">
        <v>4039</v>
      </c>
      <c r="B2319" t="str" cm="1">
        <f t="array" ref="B2319">_xlfn.XLOOKUP(C2319, INDEX([1]!카테고리매핑,,2), INDEX([1]!카테고리매핑,,1), "미등록 카테고리")</f>
        <v>간편식</v>
      </c>
      <c r="C2319" t="s">
        <v>158</v>
      </c>
      <c r="D2319" t="str">
        <f>VLOOKUP(C2319, '[1]VLOOKUP 함수용 카테고리'!$A$1:$B$59, 2, 0)</f>
        <v>INSTANT</v>
      </c>
      <c r="E2319" t="s">
        <v>7658</v>
      </c>
      <c r="F2319" t="s">
        <v>154</v>
      </c>
    </row>
    <row r="2320" spans="1:6" x14ac:dyDescent="0.3">
      <c r="A2320" t="s">
        <v>4040</v>
      </c>
      <c r="B2320" t="str" cm="1">
        <f t="array" ref="B2320">_xlfn.XLOOKUP(C2320, INDEX([1]!카테고리매핑,,2), INDEX([1]!카테고리매핑,,1), "미등록 카테고리")</f>
        <v>수산물</v>
      </c>
      <c r="C2320" t="s">
        <v>101</v>
      </c>
      <c r="D2320" t="str">
        <f>VLOOKUP(C2320, '[1]VLOOKUP 함수용 카테고리'!$A$1:$B$59, 2, 0)</f>
        <v>DRIED_SEAFOOD</v>
      </c>
      <c r="E2320" t="s">
        <v>693</v>
      </c>
      <c r="F2320" t="s">
        <v>7836</v>
      </c>
    </row>
    <row r="2321" spans="1:6" x14ac:dyDescent="0.3">
      <c r="A2321" t="s">
        <v>4041</v>
      </c>
      <c r="B2321" t="str" cm="1">
        <f t="array" ref="B2321">_xlfn.XLOOKUP(C2321, INDEX([1]!카테고리매핑,,2), INDEX([1]!카테고리매핑,,1), "미등록 카테고리")</f>
        <v>채소/곡물류</v>
      </c>
      <c r="C2321" t="s">
        <v>301</v>
      </c>
      <c r="D2321" t="str">
        <f>VLOOKUP(C2321, '[1]VLOOKUP 함수용 카테고리'!$A$1:$B$59, 2, 0)</f>
        <v>GRAIN</v>
      </c>
      <c r="E2321" t="s">
        <v>490</v>
      </c>
      <c r="F2321" t="s">
        <v>221</v>
      </c>
    </row>
    <row r="2322" spans="1:6" x14ac:dyDescent="0.3">
      <c r="A2322" t="s">
        <v>4042</v>
      </c>
      <c r="B2322" t="str" cm="1">
        <f t="array" ref="B2322">_xlfn.XLOOKUP(C2322, INDEX([1]!카테고리매핑,,2), INDEX([1]!카테고리매핑,,1), "미등록 카테고리")</f>
        <v>유제품</v>
      </c>
      <c r="C2322" t="s">
        <v>98</v>
      </c>
      <c r="D2322" t="str">
        <f>VLOOKUP(C2322, '[1]VLOOKUP 함수용 카테고리'!$A$1:$B$59, 2, 0)</f>
        <v>DAIRY</v>
      </c>
      <c r="E2322" t="s">
        <v>1358</v>
      </c>
      <c r="F2322" t="s">
        <v>4043</v>
      </c>
    </row>
    <row r="2323" spans="1:6" x14ac:dyDescent="0.3">
      <c r="A2323" t="s">
        <v>4044</v>
      </c>
      <c r="B2323" t="str" cm="1">
        <f t="array" ref="B2323">_xlfn.XLOOKUP(C2323, INDEX([1]!카테고리매핑,,2), INDEX([1]!카테고리매핑,,1), "미등록 카테고리")</f>
        <v>조미료</v>
      </c>
      <c r="C2323" t="s">
        <v>84</v>
      </c>
      <c r="D2323" t="str">
        <f>VLOOKUP(C2323, '[1]VLOOKUP 함수용 카테고리'!$A$1:$B$59, 2, 0)</f>
        <v>SAUCE_SEASONING</v>
      </c>
      <c r="E2323" t="s">
        <v>444</v>
      </c>
      <c r="F2323" t="s">
        <v>4045</v>
      </c>
    </row>
    <row r="2324" spans="1:6" x14ac:dyDescent="0.3">
      <c r="A2324" t="s">
        <v>4046</v>
      </c>
      <c r="B2324" t="str" cm="1">
        <f t="array" ref="B2324">_xlfn.XLOOKUP(C2324, INDEX([1]!카테고리매핑,,2), INDEX([1]!카테고리매핑,,1), "미등록 카테고리")</f>
        <v>조미료</v>
      </c>
      <c r="C2324" t="s">
        <v>127</v>
      </c>
      <c r="D2324" t="str">
        <f>VLOOKUP(C2324, '[1]VLOOKUP 함수용 카테고리'!$A$1:$B$59, 2, 0)</f>
        <v>SAUCE_SEASONING</v>
      </c>
      <c r="E2324" t="s">
        <v>436</v>
      </c>
      <c r="F2324" t="s">
        <v>182</v>
      </c>
    </row>
    <row r="2325" spans="1:6" x14ac:dyDescent="0.3">
      <c r="A2325" t="s">
        <v>4047</v>
      </c>
      <c r="B2325" t="str" cm="1">
        <f t="array" ref="B2325">_xlfn.XLOOKUP(C2325, INDEX([1]!카테고리매핑,,2), INDEX([1]!카테고리매핑,,1), "미등록 카테고리")</f>
        <v>유제품</v>
      </c>
      <c r="C2325" t="s">
        <v>123</v>
      </c>
      <c r="D2325" t="str">
        <f>VLOOKUP(C2325, '[1]VLOOKUP 함수용 카테고리'!$A$1:$B$59, 2, 0)</f>
        <v>DAIRY</v>
      </c>
      <c r="E2325" t="s">
        <v>1971</v>
      </c>
      <c r="F2325" t="s">
        <v>191</v>
      </c>
    </row>
    <row r="2326" spans="1:6" x14ac:dyDescent="0.3">
      <c r="A2326" t="s">
        <v>4048</v>
      </c>
      <c r="B2326" t="str" cm="1">
        <f t="array" ref="B2326">_xlfn.XLOOKUP(C2326, INDEX([1]!카테고리매핑,,2), INDEX([1]!카테고리매핑,,1), "미등록 카테고리")</f>
        <v>조미료</v>
      </c>
      <c r="C2326" t="s">
        <v>127</v>
      </c>
      <c r="D2326" t="str">
        <f>VLOOKUP(C2326, '[1]VLOOKUP 함수용 카테고리'!$A$1:$B$59, 2, 0)</f>
        <v>SAUCE_SEASONING</v>
      </c>
      <c r="E2326" t="s">
        <v>2499</v>
      </c>
      <c r="F2326" t="s">
        <v>1326</v>
      </c>
    </row>
    <row r="2327" spans="1:6" x14ac:dyDescent="0.3">
      <c r="A2327" t="s">
        <v>4049</v>
      </c>
      <c r="B2327" t="str" cm="1">
        <f t="array" ref="B2327">_xlfn.XLOOKUP(C2327, INDEX([1]!카테고리매핑,,2), INDEX([1]!카테고리매핑,,1), "미등록 카테고리")</f>
        <v>조미료</v>
      </c>
      <c r="C2327" t="s">
        <v>127</v>
      </c>
      <c r="D2327" t="str">
        <f>VLOOKUP(C2327, '[1]VLOOKUP 함수용 카테고리'!$A$1:$B$59, 2, 0)</f>
        <v>SAUCE_SEASONING</v>
      </c>
      <c r="E2327" t="s">
        <v>171</v>
      </c>
      <c r="F2327" t="s">
        <v>646</v>
      </c>
    </row>
    <row r="2328" spans="1:6" x14ac:dyDescent="0.3">
      <c r="A2328" t="s">
        <v>4050</v>
      </c>
      <c r="B2328" t="str" cm="1">
        <f t="array" ref="B2328">_xlfn.XLOOKUP(C2328, INDEX([1]!카테고리매핑,,2), INDEX([1]!카테고리매핑,,1), "미등록 카테고리")</f>
        <v>채소/곡물류</v>
      </c>
      <c r="C2328" t="s">
        <v>7</v>
      </c>
      <c r="D2328" t="str">
        <f>VLOOKUP(C2328, '[1]VLOOKUP 함수용 카테고리'!$A$1:$B$59, 2, 0)</f>
        <v>RAW_PRODUCE</v>
      </c>
      <c r="E2328" t="s">
        <v>4051</v>
      </c>
    </row>
    <row r="2329" spans="1:6" x14ac:dyDescent="0.3">
      <c r="A2329" t="s">
        <v>4052</v>
      </c>
      <c r="B2329" t="str" cm="1">
        <f t="array" ref="B2329">_xlfn.XLOOKUP(C2329, INDEX([1]!카테고리매핑,,2), INDEX([1]!카테고리매핑,,1), "미등록 카테고리")</f>
        <v>조미료</v>
      </c>
      <c r="C2329" t="s">
        <v>127</v>
      </c>
      <c r="D2329" t="str">
        <f>VLOOKUP(C2329, '[1]VLOOKUP 함수용 카테고리'!$A$1:$B$59, 2, 0)</f>
        <v>SAUCE_SEASONING</v>
      </c>
      <c r="E2329" t="s">
        <v>4053</v>
      </c>
      <c r="F2329" t="s">
        <v>257</v>
      </c>
    </row>
    <row r="2330" spans="1:6" x14ac:dyDescent="0.3">
      <c r="A2330" t="s">
        <v>4054</v>
      </c>
      <c r="B2330" t="str" cm="1">
        <f t="array" ref="B2330">_xlfn.XLOOKUP(C2330, INDEX([1]!카테고리매핑,,2), INDEX([1]!카테고리매핑,,1), "미등록 카테고리")</f>
        <v>미등록 카테고리</v>
      </c>
      <c r="C2330" t="s">
        <v>334</v>
      </c>
      <c r="D2330" t="str">
        <f>VLOOKUP(C2330, '[1]VLOOKUP 함수용 카테고리'!$A$1:$B$59, 2, 0)</f>
        <v>UNKNOWN</v>
      </c>
      <c r="E2330" t="s">
        <v>334</v>
      </c>
    </row>
    <row r="2331" spans="1:6" x14ac:dyDescent="0.3">
      <c r="A2331" t="s">
        <v>4055</v>
      </c>
      <c r="B2331" t="str" cm="1">
        <f t="array" ref="B2331">_xlfn.XLOOKUP(C2331, INDEX([1]!카테고리매핑,,2), INDEX([1]!카테고리매핑,,1), "미등록 카테고리")</f>
        <v>채소/곡물류</v>
      </c>
      <c r="C2331" t="s">
        <v>207</v>
      </c>
      <c r="D2331" t="str">
        <f>VLOOKUP(C2331, '[1]VLOOKUP 함수용 카테고리'!$A$1:$B$59, 2, 0)</f>
        <v>GRAIN</v>
      </c>
      <c r="E2331" t="s">
        <v>4056</v>
      </c>
      <c r="F2331" t="s">
        <v>4057</v>
      </c>
    </row>
    <row r="2332" spans="1:6" x14ac:dyDescent="0.3">
      <c r="A2332" t="s">
        <v>4058</v>
      </c>
      <c r="B2332" t="str" cm="1">
        <f t="array" ref="B2332">_xlfn.XLOOKUP(C2332, INDEX([1]!카테고리매핑,,2), INDEX([1]!카테고리매핑,,1), "미등록 카테고리")</f>
        <v>음료</v>
      </c>
      <c r="C2332" t="s">
        <v>242</v>
      </c>
      <c r="D2332" t="str">
        <f>VLOOKUP(C2332, '[1]VLOOKUP 함수용 카테고리'!$A$1:$B$59, 2, 0)</f>
        <v>BEVERAGE</v>
      </c>
      <c r="E2332" t="s">
        <v>4059</v>
      </c>
      <c r="F2332" t="s">
        <v>4060</v>
      </c>
    </row>
    <row r="2333" spans="1:6" x14ac:dyDescent="0.3">
      <c r="A2333" t="s">
        <v>4061</v>
      </c>
      <c r="B2333" t="str" cm="1">
        <f t="array" ref="B2333">_xlfn.XLOOKUP(C2333, INDEX([1]!카테고리매핑,,2), INDEX([1]!카테고리매핑,,1), "미등록 카테고리")</f>
        <v>상온식품</v>
      </c>
      <c r="C2333" t="s">
        <v>276</v>
      </c>
      <c r="D2333" t="str">
        <f>VLOOKUP(C2333, '[1]VLOOKUP 함수용 카테고리'!$A$1:$B$59, 2, 0)</f>
        <v>DRIED_SEAFOOD</v>
      </c>
      <c r="E2333" t="s">
        <v>277</v>
      </c>
      <c r="F2333" t="s">
        <v>7837</v>
      </c>
    </row>
    <row r="2334" spans="1:6" x14ac:dyDescent="0.3">
      <c r="A2334" t="s">
        <v>4062</v>
      </c>
      <c r="B2334" t="str" cm="1">
        <f t="array" ref="B2334">_xlfn.XLOOKUP(C2334, INDEX([1]!카테고리매핑,,2), INDEX([1]!카테고리매핑,,1), "미등록 카테고리")</f>
        <v>간편식</v>
      </c>
      <c r="C2334" t="s">
        <v>131</v>
      </c>
      <c r="D2334" t="str">
        <f>VLOOKUP(C2334, '[1]VLOOKUP 함수용 카테고리'!$A$1:$B$59, 2, 0)</f>
        <v>SIMPLE_PROCESSED</v>
      </c>
      <c r="E2334" t="s">
        <v>4063</v>
      </c>
      <c r="F2334" t="s">
        <v>237</v>
      </c>
    </row>
    <row r="2335" spans="1:6" x14ac:dyDescent="0.3">
      <c r="A2335" t="s">
        <v>4064</v>
      </c>
      <c r="B2335" t="str" cm="1">
        <f t="array" ref="B2335">_xlfn.XLOOKUP(C2335, INDEX([1]!카테고리매핑,,2), INDEX([1]!카테고리매핑,,1), "미등록 카테고리")</f>
        <v>간편식</v>
      </c>
      <c r="C2335" t="s">
        <v>19</v>
      </c>
      <c r="D2335" t="str">
        <f>VLOOKUP(C2335, '[1]VLOOKUP 함수용 카테고리'!$A$1:$B$59, 2, 0)</f>
        <v>FROZEN_MEAL</v>
      </c>
      <c r="E2335" t="s">
        <v>245</v>
      </c>
      <c r="F2335" t="s">
        <v>805</v>
      </c>
    </row>
    <row r="2336" spans="1:6" x14ac:dyDescent="0.3">
      <c r="A2336" t="s">
        <v>4065</v>
      </c>
      <c r="B2336" t="str" cm="1">
        <f t="array" ref="B2336">_xlfn.XLOOKUP(C2336, INDEX([1]!카테고리매핑,,2), INDEX([1]!카테고리매핑,,1), "미등록 카테고리")</f>
        <v>유제품</v>
      </c>
      <c r="C2336" t="s">
        <v>432</v>
      </c>
      <c r="D2336" t="str">
        <f>VLOOKUP(C2336, '[1]VLOOKUP 함수용 카테고리'!$A$1:$B$59, 2, 0)</f>
        <v>DAIRY</v>
      </c>
      <c r="E2336" t="s">
        <v>549</v>
      </c>
      <c r="F2336" t="s">
        <v>4066</v>
      </c>
    </row>
    <row r="2337" spans="1:6" x14ac:dyDescent="0.3">
      <c r="A2337" t="s">
        <v>4067</v>
      </c>
      <c r="B2337" t="str" cm="1">
        <f t="array" ref="B2337">_xlfn.XLOOKUP(C2337, INDEX([1]!카테고리매핑,,2), INDEX([1]!카테고리매핑,,1), "미등록 카테고리")</f>
        <v>조미료</v>
      </c>
      <c r="C2337" t="s">
        <v>127</v>
      </c>
      <c r="D2337" t="str">
        <f>VLOOKUP(C2337, '[1]VLOOKUP 함수용 카테고리'!$A$1:$B$59, 2, 0)</f>
        <v>SAUCE_SEASONING</v>
      </c>
      <c r="E2337" t="s">
        <v>1585</v>
      </c>
      <c r="F2337" t="s">
        <v>341</v>
      </c>
    </row>
    <row r="2338" spans="1:6" x14ac:dyDescent="0.3">
      <c r="A2338" t="s">
        <v>4068</v>
      </c>
      <c r="B2338" t="str" cm="1">
        <f t="array" ref="B2338">_xlfn.XLOOKUP(C2338, INDEX([1]!카테고리매핑,,2), INDEX([1]!카테고리매핑,,1), "미등록 카테고리")</f>
        <v>간식류</v>
      </c>
      <c r="C2338" t="s">
        <v>11</v>
      </c>
      <c r="D2338" t="str">
        <f>VLOOKUP(C2338, '[1]VLOOKUP 함수용 카테고리'!$A$1:$B$59, 2, 0)</f>
        <v>SNACK</v>
      </c>
      <c r="E2338" t="s">
        <v>76</v>
      </c>
      <c r="F2338" t="s">
        <v>946</v>
      </c>
    </row>
    <row r="2339" spans="1:6" x14ac:dyDescent="0.3">
      <c r="A2339" t="s">
        <v>4069</v>
      </c>
      <c r="B2339" t="str" cm="1">
        <f t="array" ref="B2339">_xlfn.XLOOKUP(C2339, INDEX([1]!카테고리매핑,,2), INDEX([1]!카테고리매핑,,1), "미등록 카테고리")</f>
        <v>채소/곡물류</v>
      </c>
      <c r="C2339" t="s">
        <v>7</v>
      </c>
      <c r="D2339" t="str">
        <f>VLOOKUP(C2339, '[1]VLOOKUP 함수용 카테고리'!$A$1:$B$59, 2, 0)</f>
        <v>RAW_PRODUCE</v>
      </c>
      <c r="E2339" t="s">
        <v>716</v>
      </c>
      <c r="F2339" t="s">
        <v>406</v>
      </c>
    </row>
    <row r="2340" spans="1:6" x14ac:dyDescent="0.3">
      <c r="A2340" t="s">
        <v>4070</v>
      </c>
      <c r="B2340" t="str" cm="1">
        <f t="array" ref="B2340">_xlfn.XLOOKUP(C2340, INDEX([1]!카테고리매핑,,2), INDEX([1]!카테고리매핑,,1), "미등록 카테고리")</f>
        <v>간식류</v>
      </c>
      <c r="C2340" t="s">
        <v>63</v>
      </c>
      <c r="D2340" t="str">
        <f>VLOOKUP(C2340, '[1]VLOOKUP 함수용 카테고리'!$A$1:$B$59, 2, 0)</f>
        <v>BAKERY</v>
      </c>
      <c r="E2340" t="s">
        <v>2040</v>
      </c>
      <c r="F2340" t="s">
        <v>4071</v>
      </c>
    </row>
    <row r="2341" spans="1:6" x14ac:dyDescent="0.3">
      <c r="A2341" t="s">
        <v>4072</v>
      </c>
      <c r="B2341" t="str" cm="1">
        <f t="array" ref="B2341">_xlfn.XLOOKUP(C2341, INDEX([1]!카테고리매핑,,2), INDEX([1]!카테고리매핑,,1), "미등록 카테고리")</f>
        <v>간편식</v>
      </c>
      <c r="C2341" t="s">
        <v>131</v>
      </c>
      <c r="D2341" t="str">
        <f>VLOOKUP(C2341, '[1]VLOOKUP 함수용 카테고리'!$A$1:$B$59, 2, 0)</f>
        <v>SIMPLE_PROCESSED</v>
      </c>
      <c r="E2341" t="s">
        <v>4073</v>
      </c>
      <c r="F2341" t="s">
        <v>1457</v>
      </c>
    </row>
    <row r="2342" spans="1:6" x14ac:dyDescent="0.3">
      <c r="A2342" t="s">
        <v>4074</v>
      </c>
      <c r="B2342" t="str" cm="1">
        <f t="array" ref="B2342">_xlfn.XLOOKUP(C2342, INDEX([1]!카테고리매핑,,2), INDEX([1]!카테고리매핑,,1), "미등록 카테고리")</f>
        <v>채소/곡물류</v>
      </c>
      <c r="C2342" t="s">
        <v>301</v>
      </c>
      <c r="D2342" t="str">
        <f>VLOOKUP(C2342, '[1]VLOOKUP 함수용 카테고리'!$A$1:$B$59, 2, 0)</f>
        <v>GRAIN</v>
      </c>
      <c r="E2342" t="s">
        <v>4075</v>
      </c>
    </row>
    <row r="2343" spans="1:6" x14ac:dyDescent="0.3">
      <c r="A2343" t="s">
        <v>4076</v>
      </c>
      <c r="B2343" t="str" cm="1">
        <f t="array" ref="B2343">_xlfn.XLOOKUP(C2343, INDEX([1]!카테고리매핑,,2), INDEX([1]!카테고리매핑,,1), "미등록 카테고리")</f>
        <v>채소/곡물류</v>
      </c>
      <c r="C2343" t="s">
        <v>207</v>
      </c>
      <c r="D2343" t="str">
        <f>VLOOKUP(C2343, '[1]VLOOKUP 함수용 카테고리'!$A$1:$B$59, 2, 0)</f>
        <v>GRAIN</v>
      </c>
      <c r="E2343" t="s">
        <v>1343</v>
      </c>
      <c r="F2343" t="s">
        <v>4077</v>
      </c>
    </row>
    <row r="2344" spans="1:6" x14ac:dyDescent="0.3">
      <c r="A2344" t="s">
        <v>4078</v>
      </c>
      <c r="B2344" t="str" cm="1">
        <f t="array" ref="B2344">_xlfn.XLOOKUP(C2344, INDEX([1]!카테고리매핑,,2), INDEX([1]!카테고리매핑,,1), "미등록 카테고리")</f>
        <v>육류/계란</v>
      </c>
      <c r="C2344" t="s">
        <v>298</v>
      </c>
      <c r="D2344" t="str">
        <f>VLOOKUP(C2344, '[1]VLOOKUP 함수용 카테고리'!$A$1:$B$59, 2, 0)</f>
        <v>RAW_MEAT</v>
      </c>
      <c r="E2344" t="s">
        <v>298</v>
      </c>
      <c r="F2344" t="s">
        <v>72</v>
      </c>
    </row>
    <row r="2345" spans="1:6" x14ac:dyDescent="0.3">
      <c r="A2345" t="s">
        <v>4079</v>
      </c>
      <c r="B2345" t="str" cm="1">
        <f t="array" ref="B2345">_xlfn.XLOOKUP(C2345, INDEX([1]!카테고리매핑,,2), INDEX([1]!카테고리매핑,,1), "미등록 카테고리")</f>
        <v>간편식</v>
      </c>
      <c r="C2345" t="s">
        <v>167</v>
      </c>
      <c r="D2345" t="str">
        <f>VLOOKUP(C2345, '[1]VLOOKUP 함수용 카테고리'!$A$1:$B$59, 2, 0)</f>
        <v>INSTANT</v>
      </c>
      <c r="E2345" t="s">
        <v>167</v>
      </c>
      <c r="F2345" t="s">
        <v>350</v>
      </c>
    </row>
    <row r="2346" spans="1:6" x14ac:dyDescent="0.3">
      <c r="A2346" t="s">
        <v>4080</v>
      </c>
      <c r="B2346" t="str" cm="1">
        <f t="array" ref="B2346">_xlfn.XLOOKUP(C2346, INDEX([1]!카테고리매핑,,2), INDEX([1]!카테고리매핑,,1), "미등록 카테고리")</f>
        <v>조미료</v>
      </c>
      <c r="C2346" t="s">
        <v>127</v>
      </c>
      <c r="D2346" t="str">
        <f>VLOOKUP(C2346, '[1]VLOOKUP 함수용 카테고리'!$A$1:$B$59, 2, 0)</f>
        <v>SAUCE_SEASONING</v>
      </c>
      <c r="E2346" t="s">
        <v>4081</v>
      </c>
      <c r="F2346" t="s">
        <v>4082</v>
      </c>
    </row>
    <row r="2347" spans="1:6" x14ac:dyDescent="0.3">
      <c r="A2347" t="s">
        <v>4083</v>
      </c>
      <c r="B2347" t="str" cm="1">
        <f t="array" ref="B2347">_xlfn.XLOOKUP(C2347, INDEX([1]!카테고리매핑,,2), INDEX([1]!카테고리매핑,,1), "미등록 카테고리")</f>
        <v>조미료</v>
      </c>
      <c r="C2347" t="s">
        <v>117</v>
      </c>
      <c r="D2347" t="str">
        <f>VLOOKUP(C2347, '[1]VLOOKUP 함수용 카테고리'!$A$1:$B$59, 2, 0)</f>
        <v>SAUCE_SEASONING</v>
      </c>
      <c r="E2347" t="s">
        <v>2314</v>
      </c>
      <c r="F2347" t="s">
        <v>2482</v>
      </c>
    </row>
    <row r="2348" spans="1:6" x14ac:dyDescent="0.3">
      <c r="A2348" t="s">
        <v>4084</v>
      </c>
      <c r="B2348" t="str" cm="1">
        <f t="array" ref="B2348">_xlfn.XLOOKUP(C2348, INDEX([1]!카테고리매핑,,2), INDEX([1]!카테고리매핑,,1), "미등록 카테고리")</f>
        <v>유제품</v>
      </c>
      <c r="C2348" t="s">
        <v>211</v>
      </c>
      <c r="D2348" t="str">
        <f>VLOOKUP(C2348, '[1]VLOOKUP 함수용 카테고리'!$A$1:$B$59, 2, 0)</f>
        <v>DAIRY</v>
      </c>
      <c r="E2348" t="s">
        <v>2223</v>
      </c>
      <c r="F2348" t="s">
        <v>2089</v>
      </c>
    </row>
    <row r="2349" spans="1:6" x14ac:dyDescent="0.3">
      <c r="A2349" t="s">
        <v>4085</v>
      </c>
      <c r="B2349" t="str" cm="1">
        <f t="array" ref="B2349">_xlfn.XLOOKUP(C2349, INDEX([1]!카테고리매핑,,2), INDEX([1]!카테고리매핑,,1), "미등록 카테고리")</f>
        <v>미등록 카테고리</v>
      </c>
      <c r="C2349" t="s">
        <v>334</v>
      </c>
      <c r="D2349" t="str">
        <f>VLOOKUP(C2349, '[1]VLOOKUP 함수용 카테고리'!$A$1:$B$59, 2, 0)</f>
        <v>UNKNOWN</v>
      </c>
      <c r="E2349" t="s">
        <v>334</v>
      </c>
    </row>
    <row r="2350" spans="1:6" x14ac:dyDescent="0.3">
      <c r="A2350" t="s">
        <v>4086</v>
      </c>
      <c r="B2350" t="str" cm="1">
        <f t="array" ref="B2350">_xlfn.XLOOKUP(C2350, INDEX([1]!카테고리매핑,,2), INDEX([1]!카테고리매핑,,1), "미등록 카테고리")</f>
        <v>간식류</v>
      </c>
      <c r="C2350" t="s">
        <v>11</v>
      </c>
      <c r="D2350" t="str">
        <f>VLOOKUP(C2350, '[1]VLOOKUP 함수용 카테고리'!$A$1:$B$59, 2, 0)</f>
        <v>SNACK</v>
      </c>
      <c r="E2350" t="s">
        <v>4087</v>
      </c>
    </row>
    <row r="2351" spans="1:6" x14ac:dyDescent="0.3">
      <c r="A2351" t="s">
        <v>4088</v>
      </c>
      <c r="B2351" t="str" cm="1">
        <f t="array" ref="B2351">_xlfn.XLOOKUP(C2351, INDEX([1]!카테고리매핑,,2), INDEX([1]!카테고리매핑,,1), "미등록 카테고리")</f>
        <v>채소/곡물류</v>
      </c>
      <c r="C2351" t="s">
        <v>7</v>
      </c>
      <c r="D2351" t="str">
        <f>VLOOKUP(C2351, '[1]VLOOKUP 함수용 카테고리'!$A$1:$B$59, 2, 0)</f>
        <v>RAW_PRODUCE</v>
      </c>
      <c r="E2351" t="s">
        <v>4089</v>
      </c>
    </row>
    <row r="2352" spans="1:6" x14ac:dyDescent="0.3">
      <c r="A2352" t="s">
        <v>4090</v>
      </c>
      <c r="B2352" t="str" cm="1">
        <f t="array" ref="B2352">_xlfn.XLOOKUP(C2352, INDEX([1]!카테고리매핑,,2), INDEX([1]!카테고리매핑,,1), "미등록 카테고리")</f>
        <v>간식류</v>
      </c>
      <c r="C2352" t="s">
        <v>63</v>
      </c>
      <c r="D2352" t="str">
        <f>VLOOKUP(C2352, '[1]VLOOKUP 함수용 카테고리'!$A$1:$B$59, 2, 0)</f>
        <v>BAKERY</v>
      </c>
      <c r="E2352" t="s">
        <v>400</v>
      </c>
      <c r="F2352" t="s">
        <v>4091</v>
      </c>
    </row>
    <row r="2353" spans="1:6" x14ac:dyDescent="0.3">
      <c r="A2353" t="s">
        <v>4092</v>
      </c>
      <c r="B2353" t="str" cm="1">
        <f t="array" ref="B2353">_xlfn.XLOOKUP(C2353, INDEX([1]!카테고리매핑,,2), INDEX([1]!카테고리매핑,,1), "미등록 카테고리")</f>
        <v>채소/곡물류</v>
      </c>
      <c r="C2353" t="s">
        <v>301</v>
      </c>
      <c r="D2353" t="str">
        <f>VLOOKUP(C2353, '[1]VLOOKUP 함수용 카테고리'!$A$1:$B$59, 2, 0)</f>
        <v>GRAIN</v>
      </c>
      <c r="E2353" t="s">
        <v>2353</v>
      </c>
    </row>
    <row r="2354" spans="1:6" x14ac:dyDescent="0.3">
      <c r="A2354" t="s">
        <v>4093</v>
      </c>
      <c r="B2354" t="str" cm="1">
        <f t="array" ref="B2354">_xlfn.XLOOKUP(C2354, INDEX([1]!카테고리매핑,,2), INDEX([1]!카테고리매핑,,1), "미등록 카테고리")</f>
        <v>조미료</v>
      </c>
      <c r="C2354" t="s">
        <v>127</v>
      </c>
      <c r="D2354" t="str">
        <f>VLOOKUP(C2354, '[1]VLOOKUP 함수용 카테고리'!$A$1:$B$59, 2, 0)</f>
        <v>SAUCE_SEASONING</v>
      </c>
      <c r="E2354" t="s">
        <v>1251</v>
      </c>
      <c r="F2354" t="s">
        <v>765</v>
      </c>
    </row>
    <row r="2355" spans="1:6" x14ac:dyDescent="0.3">
      <c r="A2355" t="s">
        <v>4094</v>
      </c>
      <c r="B2355" t="str" cm="1">
        <f t="array" ref="B2355">_xlfn.XLOOKUP(C2355, INDEX([1]!카테고리매핑,,2), INDEX([1]!카테고리매핑,,1), "미등록 카테고리")</f>
        <v>조미료</v>
      </c>
      <c r="C2355" t="s">
        <v>127</v>
      </c>
      <c r="D2355" t="str">
        <f>VLOOKUP(C2355, '[1]VLOOKUP 함수용 카테고리'!$A$1:$B$59, 2, 0)</f>
        <v>SAUCE_SEASONING</v>
      </c>
      <c r="E2355" t="s">
        <v>4095</v>
      </c>
      <c r="F2355" t="s">
        <v>4096</v>
      </c>
    </row>
    <row r="2356" spans="1:6" x14ac:dyDescent="0.3">
      <c r="A2356" t="s">
        <v>4097</v>
      </c>
      <c r="B2356" t="str" cm="1">
        <f t="array" ref="B2356">_xlfn.XLOOKUP(C2356, INDEX([1]!카테고리매핑,,2), INDEX([1]!카테고리매핑,,1), "미등록 카테고리")</f>
        <v>유제품</v>
      </c>
      <c r="C2356" t="s">
        <v>98</v>
      </c>
      <c r="D2356" t="str">
        <f>VLOOKUP(C2356, '[1]VLOOKUP 함수용 카테고리'!$A$1:$B$59, 2, 0)</f>
        <v>DAIRY</v>
      </c>
      <c r="E2356" t="s">
        <v>98</v>
      </c>
      <c r="F2356" t="s">
        <v>1614</v>
      </c>
    </row>
    <row r="2357" spans="1:6" x14ac:dyDescent="0.3">
      <c r="A2357" t="s">
        <v>4098</v>
      </c>
      <c r="B2357" t="str" cm="1">
        <f t="array" ref="B2357">_xlfn.XLOOKUP(C2357, INDEX([1]!카테고리매핑,,2), INDEX([1]!카테고리매핑,,1), "미등록 카테고리")</f>
        <v>상온식품</v>
      </c>
      <c r="C2357" t="s">
        <v>835</v>
      </c>
      <c r="D2357" t="str">
        <f>VLOOKUP(C2357, '[1]VLOOKUP 함수용 카테고리'!$A$1:$B$59, 2, 0)</f>
        <v>SAUCE_SEASONING</v>
      </c>
      <c r="E2357" t="s">
        <v>2157</v>
      </c>
      <c r="F2357" t="s">
        <v>2267</v>
      </c>
    </row>
    <row r="2358" spans="1:6" x14ac:dyDescent="0.3">
      <c r="A2358" t="s">
        <v>4099</v>
      </c>
      <c r="B2358" t="str" cm="1">
        <f t="array" ref="B2358">_xlfn.XLOOKUP(C2358, INDEX([1]!카테고리매핑,,2), INDEX([1]!카테고리매핑,,1), "미등록 카테고리")</f>
        <v>채소/곡물류</v>
      </c>
      <c r="C2358" t="s">
        <v>7</v>
      </c>
      <c r="D2358" t="str">
        <f>VLOOKUP(C2358, '[1]VLOOKUP 함수용 카테고리'!$A$1:$B$59, 2, 0)</f>
        <v>RAW_PRODUCE</v>
      </c>
      <c r="E2358" t="s">
        <v>4100</v>
      </c>
    </row>
    <row r="2359" spans="1:6" x14ac:dyDescent="0.3">
      <c r="A2359" t="s">
        <v>4101</v>
      </c>
      <c r="B2359" t="str" cm="1">
        <f t="array" ref="B2359">_xlfn.XLOOKUP(C2359, INDEX([1]!카테고리매핑,,2), INDEX([1]!카테고리매핑,,1), "미등록 카테고리")</f>
        <v>육류/계란</v>
      </c>
      <c r="C2359" t="s">
        <v>298</v>
      </c>
      <c r="D2359" t="str">
        <f>VLOOKUP(C2359, '[1]VLOOKUP 함수용 카테고리'!$A$1:$B$59, 2, 0)</f>
        <v>RAW_MEAT</v>
      </c>
      <c r="E2359" t="s">
        <v>570</v>
      </c>
      <c r="F2359" t="s">
        <v>350</v>
      </c>
    </row>
    <row r="2360" spans="1:6" x14ac:dyDescent="0.3">
      <c r="A2360" t="s">
        <v>4102</v>
      </c>
      <c r="B2360" t="str" cm="1">
        <f t="array" ref="B2360">_xlfn.XLOOKUP(C2360, INDEX([1]!카테고리매핑,,2), INDEX([1]!카테고리매핑,,1), "미등록 카테고리")</f>
        <v>간식류</v>
      </c>
      <c r="C2360" t="s">
        <v>11</v>
      </c>
      <c r="D2360" t="str">
        <f>VLOOKUP(C2360, '[1]VLOOKUP 함수용 카테고리'!$A$1:$B$59, 2, 0)</f>
        <v>SNACK</v>
      </c>
      <c r="E2360" t="s">
        <v>81</v>
      </c>
      <c r="F2360" t="s">
        <v>4103</v>
      </c>
    </row>
    <row r="2361" spans="1:6" x14ac:dyDescent="0.3">
      <c r="A2361" t="s">
        <v>4104</v>
      </c>
      <c r="B2361" t="str" cm="1">
        <f t="array" ref="B2361">_xlfn.XLOOKUP(C2361, INDEX([1]!카테고리매핑,,2), INDEX([1]!카테고리매핑,,1), "미등록 카테고리")</f>
        <v>조미료</v>
      </c>
      <c r="C2361" t="s">
        <v>127</v>
      </c>
      <c r="D2361" t="str">
        <f>VLOOKUP(C2361, '[1]VLOOKUP 함수용 카테고리'!$A$1:$B$59, 2, 0)</f>
        <v>SAUCE_SEASONING</v>
      </c>
      <c r="E2361" t="s">
        <v>4105</v>
      </c>
      <c r="F2361" t="s">
        <v>129</v>
      </c>
    </row>
    <row r="2362" spans="1:6" x14ac:dyDescent="0.3">
      <c r="A2362" t="s">
        <v>4106</v>
      </c>
      <c r="B2362" t="str" cm="1">
        <f t="array" ref="B2362">_xlfn.XLOOKUP(C2362, INDEX([1]!카테고리매핑,,2), INDEX([1]!카테고리매핑,,1), "미등록 카테고리")</f>
        <v>육류/계란</v>
      </c>
      <c r="C2362" t="s">
        <v>105</v>
      </c>
      <c r="D2362" t="str">
        <f>VLOOKUP(C2362, '[1]VLOOKUP 함수용 카테고리'!$A$1:$B$59, 2, 0)</f>
        <v>RAW_MEAT</v>
      </c>
      <c r="E2362" t="s">
        <v>294</v>
      </c>
      <c r="F2362" t="s">
        <v>254</v>
      </c>
    </row>
    <row r="2363" spans="1:6" x14ac:dyDescent="0.3">
      <c r="A2363" t="s">
        <v>4107</v>
      </c>
      <c r="B2363" t="str" cm="1">
        <f t="array" ref="B2363">_xlfn.XLOOKUP(C2363, INDEX([1]!카테고리매핑,,2), INDEX([1]!카테고리매핑,,1), "미등록 카테고리")</f>
        <v>조미료</v>
      </c>
      <c r="C2363" t="s">
        <v>83</v>
      </c>
      <c r="D2363" t="str">
        <f>VLOOKUP(C2363, '[1]VLOOKUP 함수용 카테고리'!$A$1:$B$59, 2, 0)</f>
        <v>SAUCE_SEASONING</v>
      </c>
      <c r="E2363" t="s">
        <v>7667</v>
      </c>
      <c r="F2363" t="s">
        <v>1541</v>
      </c>
    </row>
    <row r="2364" spans="1:6" x14ac:dyDescent="0.3">
      <c r="A2364" t="s">
        <v>4108</v>
      </c>
      <c r="B2364" t="str" cm="1">
        <f t="array" ref="B2364">_xlfn.XLOOKUP(C2364, INDEX([1]!카테고리매핑,,2), INDEX([1]!카테고리매핑,,1), "미등록 카테고리")</f>
        <v>미등록 카테고리</v>
      </c>
      <c r="C2364" t="s">
        <v>334</v>
      </c>
      <c r="D2364" t="str">
        <f>VLOOKUP(C2364, '[1]VLOOKUP 함수용 카테고리'!$A$1:$B$59, 2, 0)</f>
        <v>UNKNOWN</v>
      </c>
      <c r="E2364" t="s">
        <v>334</v>
      </c>
    </row>
    <row r="2365" spans="1:6" x14ac:dyDescent="0.3">
      <c r="A2365" t="s">
        <v>4109</v>
      </c>
      <c r="B2365" t="str" cm="1">
        <f t="array" ref="B2365">_xlfn.XLOOKUP(C2365, INDEX([1]!카테고리매핑,,2), INDEX([1]!카테고리매핑,,1), "미등록 카테고리")</f>
        <v>유제품</v>
      </c>
      <c r="C2365" t="s">
        <v>98</v>
      </c>
      <c r="D2365" t="str">
        <f>VLOOKUP(C2365, '[1]VLOOKUP 함수용 카테고리'!$A$1:$B$59, 2, 0)</f>
        <v>DAIRY</v>
      </c>
      <c r="E2365" t="s">
        <v>98</v>
      </c>
      <c r="F2365" t="s">
        <v>4110</v>
      </c>
    </row>
    <row r="2366" spans="1:6" x14ac:dyDescent="0.3">
      <c r="A2366" t="s">
        <v>4111</v>
      </c>
      <c r="B2366" t="str" cm="1">
        <f t="array" ref="B2366">_xlfn.XLOOKUP(C2366, INDEX([1]!카테고리매핑,,2), INDEX([1]!카테고리매핑,,1), "미등록 카테고리")</f>
        <v>육류/계란</v>
      </c>
      <c r="C2366" t="s">
        <v>870</v>
      </c>
      <c r="D2366" t="str">
        <f>VLOOKUP(C2366, '[1]VLOOKUP 함수용 카테고리'!$A$1:$B$59, 2, 0)</f>
        <v>RAW_MEAT</v>
      </c>
      <c r="E2366" t="s">
        <v>871</v>
      </c>
      <c r="F2366" t="s">
        <v>4112</v>
      </c>
    </row>
    <row r="2367" spans="1:6" x14ac:dyDescent="0.3">
      <c r="A2367" t="s">
        <v>4113</v>
      </c>
      <c r="B2367" t="str" cm="1">
        <f t="array" ref="B2367">_xlfn.XLOOKUP(C2367, INDEX([1]!카테고리매핑,,2), INDEX([1]!카테고리매핑,,1), "미등록 카테고리")</f>
        <v>유제품</v>
      </c>
      <c r="C2367" t="s">
        <v>98</v>
      </c>
      <c r="D2367" t="str">
        <f>VLOOKUP(C2367, '[1]VLOOKUP 함수용 카테고리'!$A$1:$B$59, 2, 0)</f>
        <v>DAIRY</v>
      </c>
      <c r="E2367" t="s">
        <v>4114</v>
      </c>
      <c r="F2367" t="s">
        <v>4115</v>
      </c>
    </row>
    <row r="2368" spans="1:6" x14ac:dyDescent="0.3">
      <c r="A2368" t="s">
        <v>4116</v>
      </c>
      <c r="B2368" t="str" cm="1">
        <f t="array" ref="B2368">_xlfn.XLOOKUP(C2368, INDEX([1]!카테고리매핑,,2), INDEX([1]!카테고리매핑,,1), "미등록 카테고리")</f>
        <v>채소/곡물류</v>
      </c>
      <c r="C2368" t="s">
        <v>7</v>
      </c>
      <c r="D2368" t="str">
        <f>VLOOKUP(C2368, '[1]VLOOKUP 함수용 카테고리'!$A$1:$B$59, 2, 0)</f>
        <v>RAW_PRODUCE</v>
      </c>
      <c r="E2368" t="s">
        <v>8</v>
      </c>
      <c r="F2368" t="s">
        <v>3985</v>
      </c>
    </row>
    <row r="2369" spans="1:6" x14ac:dyDescent="0.3">
      <c r="A2369" t="s">
        <v>4117</v>
      </c>
      <c r="B2369" t="str" cm="1">
        <f t="array" ref="B2369">_xlfn.XLOOKUP(C2369, INDEX([1]!카테고리매핑,,2), INDEX([1]!카테고리매핑,,1), "미등록 카테고리")</f>
        <v>상온식품</v>
      </c>
      <c r="C2369" t="s">
        <v>835</v>
      </c>
      <c r="D2369" t="str">
        <f>VLOOKUP(C2369, '[1]VLOOKUP 함수용 카테고리'!$A$1:$B$59, 2, 0)</f>
        <v>SAUCE_SEASONING</v>
      </c>
      <c r="E2369" t="s">
        <v>2157</v>
      </c>
      <c r="F2369" t="s">
        <v>4118</v>
      </c>
    </row>
    <row r="2370" spans="1:6" x14ac:dyDescent="0.3">
      <c r="A2370" t="s">
        <v>4119</v>
      </c>
      <c r="B2370" t="str" cm="1">
        <f t="array" ref="B2370">_xlfn.XLOOKUP(C2370, INDEX([1]!카테고리매핑,,2), INDEX([1]!카테고리매핑,,1), "미등록 카테고리")</f>
        <v>간식류</v>
      </c>
      <c r="C2370" t="s">
        <v>15</v>
      </c>
      <c r="D2370" t="str">
        <f>VLOOKUP(C2370, '[1]VLOOKUP 함수용 카테고리'!$A$1:$B$59, 2, 0)</f>
        <v>BAKERY</v>
      </c>
      <c r="E2370" t="s">
        <v>898</v>
      </c>
      <c r="F2370" t="s">
        <v>4120</v>
      </c>
    </row>
    <row r="2371" spans="1:6" x14ac:dyDescent="0.3">
      <c r="A2371" t="s">
        <v>4121</v>
      </c>
      <c r="B2371" t="str" cm="1">
        <f t="array" ref="B2371">_xlfn.XLOOKUP(C2371, INDEX([1]!카테고리매핑,,2), INDEX([1]!카테고리매핑,,1), "미등록 카테고리")</f>
        <v>조미료</v>
      </c>
      <c r="C2371" t="s">
        <v>558</v>
      </c>
      <c r="D2371" t="str">
        <f>VLOOKUP(C2371, '[1]VLOOKUP 함수용 카테고리'!$A$1:$B$59, 2, 0)</f>
        <v>SAUCE_SEASONING</v>
      </c>
      <c r="E2371" t="s">
        <v>559</v>
      </c>
      <c r="F2371" t="s">
        <v>129</v>
      </c>
    </row>
    <row r="2372" spans="1:6" x14ac:dyDescent="0.3">
      <c r="A2372" t="s">
        <v>4122</v>
      </c>
      <c r="B2372" t="str" cm="1">
        <f t="array" ref="B2372">_xlfn.XLOOKUP(C2372, INDEX([1]!카테고리매핑,,2), INDEX([1]!카테고리매핑,,1), "미등록 카테고리")</f>
        <v>간편식</v>
      </c>
      <c r="C2372" t="s">
        <v>46</v>
      </c>
      <c r="D2372" t="str">
        <f>VLOOKUP(C2372, '[1]VLOOKUP 함수용 카테고리'!$A$1:$B$59, 2, 0)</f>
        <v>RTC_MEAL</v>
      </c>
      <c r="E2372" t="s">
        <v>46</v>
      </c>
      <c r="F2372" t="s">
        <v>7838</v>
      </c>
    </row>
    <row r="2373" spans="1:6" x14ac:dyDescent="0.3">
      <c r="A2373" t="s">
        <v>4123</v>
      </c>
      <c r="B2373" t="str" cm="1">
        <f t="array" ref="B2373">_xlfn.XLOOKUP(C2373, INDEX([1]!카테고리매핑,,2), INDEX([1]!카테고리매핑,,1), "미등록 카테고리")</f>
        <v>조미료</v>
      </c>
      <c r="C2373" t="s">
        <v>127</v>
      </c>
      <c r="D2373" t="str">
        <f>VLOOKUP(C2373, '[1]VLOOKUP 함수용 카테고리'!$A$1:$B$59, 2, 0)</f>
        <v>SAUCE_SEASONING</v>
      </c>
      <c r="E2373" t="s">
        <v>2817</v>
      </c>
      <c r="F2373" t="s">
        <v>182</v>
      </c>
    </row>
    <row r="2374" spans="1:6" x14ac:dyDescent="0.3">
      <c r="A2374" t="s">
        <v>4124</v>
      </c>
      <c r="B2374" t="str" cm="1">
        <f t="array" ref="B2374">_xlfn.XLOOKUP(C2374, INDEX([1]!카테고리매핑,,2), INDEX([1]!카테고리매핑,,1), "미등록 카테고리")</f>
        <v>유제품</v>
      </c>
      <c r="C2374" t="s">
        <v>98</v>
      </c>
      <c r="D2374" t="str">
        <f>VLOOKUP(C2374, '[1]VLOOKUP 함수용 카테고리'!$A$1:$B$59, 2, 0)</f>
        <v>DAIRY</v>
      </c>
      <c r="E2374" t="s">
        <v>4125</v>
      </c>
      <c r="F2374" t="s">
        <v>4126</v>
      </c>
    </row>
    <row r="2375" spans="1:6" x14ac:dyDescent="0.3">
      <c r="A2375" t="s">
        <v>4127</v>
      </c>
      <c r="B2375" t="str" cm="1">
        <f t="array" ref="B2375">_xlfn.XLOOKUP(C2375, INDEX([1]!카테고리매핑,,2), INDEX([1]!카테고리매핑,,1), "미등록 카테고리")</f>
        <v>채소/곡물류</v>
      </c>
      <c r="C2375" t="s">
        <v>7</v>
      </c>
      <c r="D2375" t="str">
        <f>VLOOKUP(C2375, '[1]VLOOKUP 함수용 카테고리'!$A$1:$B$59, 2, 0)</f>
        <v>RAW_PRODUCE</v>
      </c>
      <c r="E2375" t="s">
        <v>61</v>
      </c>
    </row>
    <row r="2376" spans="1:6" x14ac:dyDescent="0.3">
      <c r="A2376" t="s">
        <v>4128</v>
      </c>
      <c r="B2376" t="str" cm="1">
        <f t="array" ref="B2376">_xlfn.XLOOKUP(C2376, INDEX([1]!카테고리매핑,,2), INDEX([1]!카테고리매핑,,1), "미등록 카테고리")</f>
        <v>미등록 카테고리</v>
      </c>
      <c r="C2376" t="s">
        <v>334</v>
      </c>
      <c r="D2376" t="str">
        <f>VLOOKUP(C2376, '[1]VLOOKUP 함수용 카테고리'!$A$1:$B$59, 2, 0)</f>
        <v>UNKNOWN</v>
      </c>
      <c r="E2376" t="s">
        <v>334</v>
      </c>
      <c r="F2376" t="s">
        <v>4129</v>
      </c>
    </row>
    <row r="2377" spans="1:6" x14ac:dyDescent="0.3">
      <c r="A2377" t="s">
        <v>4130</v>
      </c>
      <c r="B2377" t="str" cm="1">
        <f t="array" ref="B2377">_xlfn.XLOOKUP(C2377, INDEX([1]!카테고리매핑,,2), INDEX([1]!카테고리매핑,,1), "미등록 카테고리")</f>
        <v>육류/계란</v>
      </c>
      <c r="C2377" t="s">
        <v>298</v>
      </c>
      <c r="D2377" t="str">
        <f>VLOOKUP(C2377, '[1]VLOOKUP 함수용 카테고리'!$A$1:$B$59, 2, 0)</f>
        <v>RAW_MEAT</v>
      </c>
      <c r="E2377" t="s">
        <v>298</v>
      </c>
      <c r="F2377" t="s">
        <v>151</v>
      </c>
    </row>
    <row r="2378" spans="1:6" x14ac:dyDescent="0.3">
      <c r="A2378" t="s">
        <v>4131</v>
      </c>
      <c r="B2378" t="str" cm="1">
        <f t="array" ref="B2378">_xlfn.XLOOKUP(C2378, INDEX([1]!카테고리매핑,,2), INDEX([1]!카테고리매핑,,1), "미등록 카테고리")</f>
        <v>간편식</v>
      </c>
      <c r="C2378" t="s">
        <v>19</v>
      </c>
      <c r="D2378" t="str">
        <f>VLOOKUP(C2378, '[1]VLOOKUP 함수용 카테고리'!$A$1:$B$59, 2, 0)</f>
        <v>FROZEN_MEAL</v>
      </c>
      <c r="E2378" t="s">
        <v>832</v>
      </c>
      <c r="F2378" t="s">
        <v>1515</v>
      </c>
    </row>
    <row r="2379" spans="1:6" x14ac:dyDescent="0.3">
      <c r="A2379" t="s">
        <v>4132</v>
      </c>
      <c r="B2379" t="str" cm="1">
        <f t="array" ref="B2379">_xlfn.XLOOKUP(C2379, INDEX([1]!카테고리매핑,,2), INDEX([1]!카테고리매핑,,1), "미등록 카테고리")</f>
        <v>간편식</v>
      </c>
      <c r="C2379" t="s">
        <v>256</v>
      </c>
      <c r="D2379" t="str">
        <f>VLOOKUP(C2379, '[1]VLOOKUP 함수용 카테고리'!$A$1:$B$59, 2, 0)</f>
        <v>RTC_MEAL</v>
      </c>
      <c r="E2379" t="s">
        <v>256</v>
      </c>
      <c r="F2379" t="s">
        <v>2356</v>
      </c>
    </row>
    <row r="2380" spans="1:6" x14ac:dyDescent="0.3">
      <c r="A2380" t="s">
        <v>4133</v>
      </c>
      <c r="B2380" t="str" cm="1">
        <f t="array" ref="B2380">_xlfn.XLOOKUP(C2380, INDEX([1]!카테고리매핑,,2), INDEX([1]!카테고리매핑,,1), "미등록 카테고리")</f>
        <v>간편식</v>
      </c>
      <c r="C2380" t="s">
        <v>256</v>
      </c>
      <c r="D2380" t="str">
        <f>VLOOKUP(C2380, '[1]VLOOKUP 함수용 카테고리'!$A$1:$B$59, 2, 0)</f>
        <v>RTC_MEAL</v>
      </c>
      <c r="E2380" t="s">
        <v>256</v>
      </c>
      <c r="F2380" t="s">
        <v>4134</v>
      </c>
    </row>
    <row r="2381" spans="1:6" x14ac:dyDescent="0.3">
      <c r="A2381" t="s">
        <v>4135</v>
      </c>
      <c r="B2381" t="str" cm="1">
        <f t="array" ref="B2381">_xlfn.XLOOKUP(C2381, INDEX([1]!카테고리매핑,,2), INDEX([1]!카테고리매핑,,1), "미등록 카테고리")</f>
        <v>미등록 카테고리</v>
      </c>
      <c r="C2381" t="s">
        <v>334</v>
      </c>
      <c r="D2381" t="str">
        <f>VLOOKUP(C2381, '[1]VLOOKUP 함수용 카테고리'!$A$1:$B$59, 2, 0)</f>
        <v>UNKNOWN</v>
      </c>
      <c r="E2381" t="s">
        <v>334</v>
      </c>
    </row>
    <row r="2382" spans="1:6" x14ac:dyDescent="0.3">
      <c r="A2382" t="s">
        <v>4136</v>
      </c>
      <c r="B2382" t="str" cm="1">
        <f t="array" ref="B2382">_xlfn.XLOOKUP(C2382, INDEX([1]!카테고리매핑,,2), INDEX([1]!카테고리매핑,,1), "미등록 카테고리")</f>
        <v>과일/견과류</v>
      </c>
      <c r="C2382" t="s">
        <v>654</v>
      </c>
      <c r="D2382" t="str">
        <f>VLOOKUP(C2382, '[1]VLOOKUP 함수용 카테고리'!$A$1:$B$59, 2, 0)</f>
        <v>RAW_FRUIT</v>
      </c>
      <c r="E2382" t="s">
        <v>879</v>
      </c>
    </row>
    <row r="2383" spans="1:6" x14ac:dyDescent="0.3">
      <c r="A2383" t="s">
        <v>4137</v>
      </c>
      <c r="B2383" t="str" cm="1">
        <f t="array" ref="B2383">_xlfn.XLOOKUP(C2383, INDEX([1]!카테고리매핑,,2), INDEX([1]!카테고리매핑,,1), "미등록 카테고리")</f>
        <v>과일/견과류</v>
      </c>
      <c r="C2383" t="s">
        <v>654</v>
      </c>
      <c r="D2383" t="str">
        <f>VLOOKUP(C2383, '[1]VLOOKUP 함수용 카테고리'!$A$1:$B$59, 2, 0)</f>
        <v>RAW_FRUIT</v>
      </c>
      <c r="E2383" t="s">
        <v>4138</v>
      </c>
    </row>
    <row r="2384" spans="1:6" x14ac:dyDescent="0.3">
      <c r="A2384" t="s">
        <v>4139</v>
      </c>
      <c r="B2384" t="str" cm="1">
        <f t="array" ref="B2384">_xlfn.XLOOKUP(C2384, INDEX([1]!카테고리매핑,,2), INDEX([1]!카테고리매핑,,1), "미등록 카테고리")</f>
        <v>채소/곡물류</v>
      </c>
      <c r="C2384" t="s">
        <v>207</v>
      </c>
      <c r="D2384" t="str">
        <f>VLOOKUP(C2384, '[1]VLOOKUP 함수용 카테고리'!$A$1:$B$59, 2, 0)</f>
        <v>GRAIN</v>
      </c>
      <c r="E2384" t="s">
        <v>1343</v>
      </c>
      <c r="F2384" t="s">
        <v>111</v>
      </c>
    </row>
    <row r="2385" spans="1:6" x14ac:dyDescent="0.3">
      <c r="A2385" t="s">
        <v>4140</v>
      </c>
      <c r="B2385" t="str" cm="1">
        <f t="array" ref="B2385">_xlfn.XLOOKUP(C2385, INDEX([1]!카테고리매핑,,2), INDEX([1]!카테고리매핑,,1), "미등록 카테고리")</f>
        <v>간편식</v>
      </c>
      <c r="C2385" t="s">
        <v>131</v>
      </c>
      <c r="D2385" t="str">
        <f>VLOOKUP(C2385, '[1]VLOOKUP 함수용 카테고리'!$A$1:$B$59, 2, 0)</f>
        <v>SIMPLE_PROCESSED</v>
      </c>
      <c r="E2385" t="s">
        <v>1149</v>
      </c>
      <c r="F2385" t="s">
        <v>237</v>
      </c>
    </row>
    <row r="2386" spans="1:6" x14ac:dyDescent="0.3">
      <c r="A2386" t="s">
        <v>4141</v>
      </c>
      <c r="B2386" t="str" cm="1">
        <f t="array" ref="B2386">_xlfn.XLOOKUP(C2386, INDEX([1]!카테고리매핑,,2), INDEX([1]!카테고리매핑,,1), "미등록 카테고리")</f>
        <v>유제품</v>
      </c>
      <c r="C2386" t="s">
        <v>432</v>
      </c>
      <c r="D2386" t="str">
        <f>VLOOKUP(C2386, '[1]VLOOKUP 함수용 카테고리'!$A$1:$B$59, 2, 0)</f>
        <v>DAIRY</v>
      </c>
      <c r="E2386" t="s">
        <v>549</v>
      </c>
      <c r="F2386" t="s">
        <v>844</v>
      </c>
    </row>
    <row r="2387" spans="1:6" x14ac:dyDescent="0.3">
      <c r="A2387" t="s">
        <v>4142</v>
      </c>
      <c r="B2387" t="str" cm="1">
        <f t="array" ref="B2387">_xlfn.XLOOKUP(C2387, INDEX([1]!카테고리매핑,,2), INDEX([1]!카테고리매핑,,1), "미등록 카테고리")</f>
        <v>유제품</v>
      </c>
      <c r="C2387" t="s">
        <v>123</v>
      </c>
      <c r="D2387" t="str">
        <f>VLOOKUP(C2387, '[1]VLOOKUP 함수용 카테고리'!$A$1:$B$59, 2, 0)</f>
        <v>DAIRY</v>
      </c>
      <c r="E2387" t="s">
        <v>190</v>
      </c>
      <c r="F2387" t="s">
        <v>1663</v>
      </c>
    </row>
    <row r="2388" spans="1:6" x14ac:dyDescent="0.3">
      <c r="A2388" t="s">
        <v>4143</v>
      </c>
      <c r="B2388" t="str" cm="1">
        <f t="array" ref="B2388">_xlfn.XLOOKUP(C2388, INDEX([1]!카테고리매핑,,2), INDEX([1]!카테고리매핑,,1), "미등록 카테고리")</f>
        <v>유제품</v>
      </c>
      <c r="C2388" t="s">
        <v>98</v>
      </c>
      <c r="D2388" t="str">
        <f>VLOOKUP(C2388, '[1]VLOOKUP 함수용 카테고리'!$A$1:$B$59, 2, 0)</f>
        <v>DAIRY</v>
      </c>
      <c r="E2388" t="s">
        <v>4144</v>
      </c>
      <c r="F2388" t="s">
        <v>2950</v>
      </c>
    </row>
    <row r="2389" spans="1:6" x14ac:dyDescent="0.3">
      <c r="A2389" t="s">
        <v>4145</v>
      </c>
      <c r="B2389" t="str" cm="1">
        <f t="array" ref="B2389">_xlfn.XLOOKUP(C2389, INDEX([1]!카테고리매핑,,2), INDEX([1]!카테고리매핑,,1), "미등록 카테고리")</f>
        <v>육류/계란</v>
      </c>
      <c r="C2389" t="s">
        <v>428</v>
      </c>
      <c r="D2389" t="str">
        <f>VLOOKUP(C2389, '[1]VLOOKUP 함수용 카테고리'!$A$1:$B$59, 2, 0)</f>
        <v>PROCESSED_MEAT</v>
      </c>
      <c r="E2389" t="s">
        <v>4146</v>
      </c>
      <c r="F2389" t="s">
        <v>4146</v>
      </c>
    </row>
    <row r="2390" spans="1:6" x14ac:dyDescent="0.3">
      <c r="A2390" t="s">
        <v>4147</v>
      </c>
      <c r="B2390" t="str" cm="1">
        <f t="array" ref="B2390">_xlfn.XLOOKUP(C2390, INDEX([1]!카테고리매핑,,2), INDEX([1]!카테고리매핑,,1), "미등록 카테고리")</f>
        <v>간편식</v>
      </c>
      <c r="C2390" t="s">
        <v>256</v>
      </c>
      <c r="D2390" t="str">
        <f>VLOOKUP(C2390, '[1]VLOOKUP 함수용 카테고리'!$A$1:$B$59, 2, 0)</f>
        <v>RTC_MEAL</v>
      </c>
      <c r="E2390" t="s">
        <v>256</v>
      </c>
      <c r="F2390" t="s">
        <v>7767</v>
      </c>
    </row>
    <row r="2391" spans="1:6" x14ac:dyDescent="0.3">
      <c r="A2391" t="s">
        <v>4148</v>
      </c>
      <c r="B2391" t="str" cm="1">
        <f t="array" ref="B2391">_xlfn.XLOOKUP(C2391, INDEX([1]!카테고리매핑,,2), INDEX([1]!카테고리매핑,,1), "미등록 카테고리")</f>
        <v>술</v>
      </c>
      <c r="C2391" t="s">
        <v>411</v>
      </c>
      <c r="D2391" t="str">
        <f>VLOOKUP(C2391, '[1]VLOOKUP 함수용 카테고리'!$A$1:$B$59, 2, 0)</f>
        <v>ALCOHOL</v>
      </c>
      <c r="E2391" t="s">
        <v>1159</v>
      </c>
      <c r="F2391" t="s">
        <v>411</v>
      </c>
    </row>
    <row r="2392" spans="1:6" x14ac:dyDescent="0.3">
      <c r="A2392" t="s">
        <v>4149</v>
      </c>
      <c r="B2392" t="str" cm="1">
        <f t="array" ref="B2392">_xlfn.XLOOKUP(C2392, INDEX([1]!카테고리매핑,,2), INDEX([1]!카테고리매핑,,1), "미등록 카테고리")</f>
        <v>간식류</v>
      </c>
      <c r="C2392" t="s">
        <v>15</v>
      </c>
      <c r="D2392" t="str">
        <f>VLOOKUP(C2392, '[1]VLOOKUP 함수용 카테고리'!$A$1:$B$59, 2, 0)</f>
        <v>BAKERY</v>
      </c>
      <c r="E2392" t="s">
        <v>793</v>
      </c>
      <c r="F2392" t="s">
        <v>4150</v>
      </c>
    </row>
    <row r="2393" spans="1:6" x14ac:dyDescent="0.3">
      <c r="A2393" t="s">
        <v>4151</v>
      </c>
      <c r="B2393" t="str" cm="1">
        <f t="array" ref="B2393">_xlfn.XLOOKUP(C2393, INDEX([1]!카테고리매핑,,2), INDEX([1]!카테고리매핑,,1), "미등록 카테고리")</f>
        <v>간식류</v>
      </c>
      <c r="C2393" t="s">
        <v>15</v>
      </c>
      <c r="D2393" t="str">
        <f>VLOOKUP(C2393, '[1]VLOOKUP 함수용 카테고리'!$A$1:$B$59, 2, 0)</f>
        <v>BAKERY</v>
      </c>
      <c r="E2393" t="s">
        <v>4152</v>
      </c>
      <c r="F2393" t="s">
        <v>7839</v>
      </c>
    </row>
    <row r="2394" spans="1:6" x14ac:dyDescent="0.3">
      <c r="A2394" t="s">
        <v>4153</v>
      </c>
      <c r="B2394" t="str" cm="1">
        <f t="array" ref="B2394">_xlfn.XLOOKUP(C2394, INDEX([1]!카테고리매핑,,2), INDEX([1]!카테고리매핑,,1), "미등록 카테고리")</f>
        <v>유제품</v>
      </c>
      <c r="C2394" t="s">
        <v>123</v>
      </c>
      <c r="D2394" t="str">
        <f>VLOOKUP(C2394, '[1]VLOOKUP 함수용 카테고리'!$A$1:$B$59, 2, 0)</f>
        <v>DAIRY</v>
      </c>
      <c r="E2394" t="s">
        <v>239</v>
      </c>
    </row>
    <row r="2395" spans="1:6" x14ac:dyDescent="0.3">
      <c r="A2395" t="s">
        <v>4154</v>
      </c>
      <c r="B2395" t="str" cm="1">
        <f t="array" ref="B2395">_xlfn.XLOOKUP(C2395, INDEX([1]!카테고리매핑,,2), INDEX([1]!카테고리매핑,,1), "미등록 카테고리")</f>
        <v>간편식</v>
      </c>
      <c r="C2395" t="s">
        <v>46</v>
      </c>
      <c r="D2395" t="str">
        <f>VLOOKUP(C2395, '[1]VLOOKUP 함수용 카테고리'!$A$1:$B$59, 2, 0)</f>
        <v>RTC_MEAL</v>
      </c>
      <c r="E2395" t="s">
        <v>46</v>
      </c>
      <c r="F2395" t="s">
        <v>2831</v>
      </c>
    </row>
    <row r="2396" spans="1:6" x14ac:dyDescent="0.3">
      <c r="A2396" t="s">
        <v>4155</v>
      </c>
      <c r="B2396" t="str" cm="1">
        <f t="array" ref="B2396">_xlfn.XLOOKUP(C2396, INDEX([1]!카테고리매핑,,2), INDEX([1]!카테고리매핑,,1), "미등록 카테고리")</f>
        <v>유제품</v>
      </c>
      <c r="C2396" t="s">
        <v>123</v>
      </c>
      <c r="D2396" t="str">
        <f>VLOOKUP(C2396, '[1]VLOOKUP 함수용 카테고리'!$A$1:$B$59, 2, 0)</f>
        <v>DAIRY</v>
      </c>
      <c r="E2396" t="s">
        <v>190</v>
      </c>
      <c r="F2396" t="s">
        <v>543</v>
      </c>
    </row>
    <row r="2397" spans="1:6" x14ac:dyDescent="0.3">
      <c r="A2397" t="s">
        <v>4156</v>
      </c>
      <c r="B2397" t="str" cm="1">
        <f t="array" ref="B2397">_xlfn.XLOOKUP(C2397, INDEX([1]!카테고리매핑,,2), INDEX([1]!카테고리매핑,,1), "미등록 카테고리")</f>
        <v>수산물</v>
      </c>
      <c r="C2397" t="s">
        <v>140</v>
      </c>
      <c r="D2397" t="str">
        <f>VLOOKUP(C2397, '[1]VLOOKUP 함수용 카테고리'!$A$1:$B$59, 2, 0)</f>
        <v>SIMPLE_PROCESSED</v>
      </c>
      <c r="E2397" t="s">
        <v>141</v>
      </c>
      <c r="F2397" t="s">
        <v>1490</v>
      </c>
    </row>
    <row r="2398" spans="1:6" x14ac:dyDescent="0.3">
      <c r="A2398" t="s">
        <v>4157</v>
      </c>
      <c r="B2398" t="str" cm="1">
        <f t="array" ref="B2398">_xlfn.XLOOKUP(C2398, INDEX([1]!카테고리매핑,,2), INDEX([1]!카테고리매핑,,1), "미등록 카테고리")</f>
        <v>간편식</v>
      </c>
      <c r="C2398" t="s">
        <v>131</v>
      </c>
      <c r="D2398" t="str">
        <f>VLOOKUP(C2398, '[1]VLOOKUP 함수용 카테고리'!$A$1:$B$59, 2, 0)</f>
        <v>SIMPLE_PROCESSED</v>
      </c>
      <c r="E2398" t="s">
        <v>386</v>
      </c>
      <c r="F2398" t="s">
        <v>387</v>
      </c>
    </row>
    <row r="2399" spans="1:6" x14ac:dyDescent="0.3">
      <c r="A2399" t="s">
        <v>4158</v>
      </c>
      <c r="B2399" t="str" cm="1">
        <f t="array" ref="B2399">_xlfn.XLOOKUP(C2399, INDEX([1]!카테고리매핑,,2), INDEX([1]!카테고리매핑,,1), "미등록 카테고리")</f>
        <v>간편식</v>
      </c>
      <c r="C2399" t="s">
        <v>158</v>
      </c>
      <c r="D2399" t="str">
        <f>VLOOKUP(C2399, '[1]VLOOKUP 함수용 카테고리'!$A$1:$B$59, 2, 0)</f>
        <v>INSTANT</v>
      </c>
      <c r="E2399" t="s">
        <v>4159</v>
      </c>
      <c r="F2399" t="s">
        <v>821</v>
      </c>
    </row>
    <row r="2400" spans="1:6" x14ac:dyDescent="0.3">
      <c r="A2400" t="s">
        <v>4160</v>
      </c>
      <c r="B2400" t="str" cm="1">
        <f t="array" ref="B2400">_xlfn.XLOOKUP(C2400, INDEX([1]!카테고리매핑,,2), INDEX([1]!카테고리매핑,,1), "미등록 카테고리")</f>
        <v>음료</v>
      </c>
      <c r="C2400" t="s">
        <v>23</v>
      </c>
      <c r="D2400" t="str">
        <f>VLOOKUP(C2400, '[1]VLOOKUP 함수용 카테고리'!$A$1:$B$59, 2, 0)</f>
        <v>BEVERAGE</v>
      </c>
      <c r="E2400" t="s">
        <v>24</v>
      </c>
      <c r="F2400" t="s">
        <v>324</v>
      </c>
    </row>
    <row r="2401" spans="1:6" x14ac:dyDescent="0.3">
      <c r="A2401" t="s">
        <v>4161</v>
      </c>
      <c r="B2401" t="str" cm="1">
        <f t="array" ref="B2401">_xlfn.XLOOKUP(C2401, INDEX([1]!카테고리매핑,,2), INDEX([1]!카테고리매핑,,1), "미등록 카테고리")</f>
        <v>수산물</v>
      </c>
      <c r="C2401" t="s">
        <v>183</v>
      </c>
      <c r="D2401" t="str">
        <f>VLOOKUP(C2401, '[1]VLOOKUP 함수용 카테고리'!$A$1:$B$59, 2, 0)</f>
        <v>DRIED_SEAFOOD</v>
      </c>
      <c r="E2401" t="s">
        <v>466</v>
      </c>
      <c r="F2401" t="s">
        <v>3735</v>
      </c>
    </row>
    <row r="2402" spans="1:6" x14ac:dyDescent="0.3">
      <c r="A2402" t="s">
        <v>4162</v>
      </c>
      <c r="B2402" t="str" cm="1">
        <f t="array" ref="B2402">_xlfn.XLOOKUP(C2402, INDEX([1]!카테고리매핑,,2), INDEX([1]!카테고리매핑,,1), "미등록 카테고리")</f>
        <v>수산물</v>
      </c>
      <c r="C2402" t="s">
        <v>203</v>
      </c>
      <c r="D2402" t="str">
        <f>VLOOKUP(C2402, '[1]VLOOKUP 함수용 카테고리'!$A$1:$B$59, 2, 0)</f>
        <v>RAW_SEAFOOD</v>
      </c>
      <c r="E2402" t="s">
        <v>2043</v>
      </c>
      <c r="F2402" t="s">
        <v>1399</v>
      </c>
    </row>
    <row r="2403" spans="1:6" x14ac:dyDescent="0.3">
      <c r="A2403" t="s">
        <v>4163</v>
      </c>
      <c r="B2403" t="str" cm="1">
        <f t="array" ref="B2403">_xlfn.XLOOKUP(C2403, INDEX([1]!카테고리매핑,,2), INDEX([1]!카테고리매핑,,1), "미등록 카테고리")</f>
        <v>간편식</v>
      </c>
      <c r="C2403" t="s">
        <v>256</v>
      </c>
      <c r="D2403" t="str">
        <f>VLOOKUP(C2403, '[1]VLOOKUP 함수용 카테고리'!$A$1:$B$59, 2, 0)</f>
        <v>RTC_MEAL</v>
      </c>
      <c r="E2403" t="s">
        <v>256</v>
      </c>
      <c r="F2403" t="s">
        <v>1332</v>
      </c>
    </row>
    <row r="2404" spans="1:6" x14ac:dyDescent="0.3">
      <c r="A2404" t="s">
        <v>4164</v>
      </c>
      <c r="B2404" t="str" cm="1">
        <f t="array" ref="B2404">_xlfn.XLOOKUP(C2404, INDEX([1]!카테고리매핑,,2), INDEX([1]!카테고리매핑,,1), "미등록 카테고리")</f>
        <v>조미료</v>
      </c>
      <c r="C2404" t="s">
        <v>127</v>
      </c>
      <c r="D2404" t="str">
        <f>VLOOKUP(C2404, '[1]VLOOKUP 함수용 카테고리'!$A$1:$B$59, 2, 0)</f>
        <v>SAUCE_SEASONING</v>
      </c>
      <c r="E2404" t="s">
        <v>3334</v>
      </c>
      <c r="F2404" t="s">
        <v>3335</v>
      </c>
    </row>
    <row r="2405" spans="1:6" x14ac:dyDescent="0.3">
      <c r="A2405" t="s">
        <v>4165</v>
      </c>
      <c r="B2405" t="str" cm="1">
        <f t="array" ref="B2405">_xlfn.XLOOKUP(C2405, INDEX([1]!카테고리매핑,,2), INDEX([1]!카테고리매핑,,1), "미등록 카테고리")</f>
        <v>수산물</v>
      </c>
      <c r="C2405" t="s">
        <v>229</v>
      </c>
      <c r="D2405" t="str">
        <f>VLOOKUP(C2405, '[1]VLOOKUP 함수용 카테고리'!$A$1:$B$59, 2, 0)</f>
        <v>RAW_SEAFOOD</v>
      </c>
      <c r="E2405" t="s">
        <v>230</v>
      </c>
      <c r="F2405" t="s">
        <v>909</v>
      </c>
    </row>
    <row r="2406" spans="1:6" x14ac:dyDescent="0.3">
      <c r="A2406" t="s">
        <v>4166</v>
      </c>
      <c r="B2406" t="str" cm="1">
        <f t="array" ref="B2406">_xlfn.XLOOKUP(C2406, INDEX([1]!카테고리매핑,,2), INDEX([1]!카테고리매핑,,1), "미등록 카테고리")</f>
        <v>상온식품</v>
      </c>
      <c r="C2406" t="s">
        <v>276</v>
      </c>
      <c r="D2406" t="str">
        <f>VLOOKUP(C2406, '[1]VLOOKUP 함수용 카테고리'!$A$1:$B$59, 2, 0)</f>
        <v>DRIED_SEAFOOD</v>
      </c>
      <c r="E2406" t="s">
        <v>277</v>
      </c>
      <c r="F2406" t="s">
        <v>704</v>
      </c>
    </row>
    <row r="2407" spans="1:6" x14ac:dyDescent="0.3">
      <c r="A2407" t="s">
        <v>4167</v>
      </c>
      <c r="B2407" t="str" cm="1">
        <f t="array" ref="B2407">_xlfn.XLOOKUP(C2407, INDEX([1]!카테고리매핑,,2), INDEX([1]!카테고리매핑,,1), "미등록 카테고리")</f>
        <v>과일/견과류</v>
      </c>
      <c r="C2407" t="s">
        <v>654</v>
      </c>
      <c r="D2407" t="str">
        <f>VLOOKUP(C2407, '[1]VLOOKUP 함수용 카테고리'!$A$1:$B$59, 2, 0)</f>
        <v>RAW_FRUIT</v>
      </c>
      <c r="E2407" t="s">
        <v>4138</v>
      </c>
    </row>
    <row r="2408" spans="1:6" x14ac:dyDescent="0.3">
      <c r="A2408" t="s">
        <v>4168</v>
      </c>
      <c r="B2408" t="str" cm="1">
        <f t="array" ref="B2408">_xlfn.XLOOKUP(C2408, INDEX([1]!카테고리매핑,,2), INDEX([1]!카테고리매핑,,1), "미등록 카테고리")</f>
        <v>유제품</v>
      </c>
      <c r="C2408" t="s">
        <v>123</v>
      </c>
      <c r="D2408" t="str">
        <f>VLOOKUP(C2408, '[1]VLOOKUP 함수용 카테고리'!$A$1:$B$59, 2, 0)</f>
        <v>DAIRY</v>
      </c>
      <c r="E2408" t="s">
        <v>367</v>
      </c>
      <c r="F2408" t="s">
        <v>191</v>
      </c>
    </row>
    <row r="2409" spans="1:6" x14ac:dyDescent="0.3">
      <c r="A2409" t="s">
        <v>4169</v>
      </c>
      <c r="B2409" t="str" cm="1">
        <f t="array" ref="B2409">_xlfn.XLOOKUP(C2409, INDEX([1]!카테고리매핑,,2), INDEX([1]!카테고리매핑,,1), "미등록 카테고리")</f>
        <v>간편식</v>
      </c>
      <c r="C2409" t="s">
        <v>158</v>
      </c>
      <c r="D2409" t="str">
        <f>VLOOKUP(C2409, '[1]VLOOKUP 함수용 카테고리'!$A$1:$B$59, 2, 0)</f>
        <v>INSTANT</v>
      </c>
      <c r="E2409" t="s">
        <v>2153</v>
      </c>
      <c r="F2409" t="s">
        <v>129</v>
      </c>
    </row>
    <row r="2410" spans="1:6" x14ac:dyDescent="0.3">
      <c r="A2410" t="s">
        <v>4170</v>
      </c>
      <c r="B2410" t="str" cm="1">
        <f t="array" ref="B2410">_xlfn.XLOOKUP(C2410, INDEX([1]!카테고리매핑,,2), INDEX([1]!카테고리매핑,,1), "미등록 카테고리")</f>
        <v>채소/곡물류</v>
      </c>
      <c r="C2410" t="s">
        <v>301</v>
      </c>
      <c r="D2410" t="str">
        <f>VLOOKUP(C2410, '[1]VLOOKUP 함수용 카테고리'!$A$1:$B$59, 2, 0)</f>
        <v>GRAIN</v>
      </c>
      <c r="E2410" t="s">
        <v>611</v>
      </c>
      <c r="F2410" t="s">
        <v>941</v>
      </c>
    </row>
    <row r="2411" spans="1:6" x14ac:dyDescent="0.3">
      <c r="A2411" t="s">
        <v>4171</v>
      </c>
      <c r="B2411" t="str" cm="1">
        <f t="array" ref="B2411">_xlfn.XLOOKUP(C2411, INDEX([1]!카테고리매핑,,2), INDEX([1]!카테고리매핑,,1), "미등록 카테고리")</f>
        <v>과일/견과류</v>
      </c>
      <c r="C2411" t="s">
        <v>654</v>
      </c>
      <c r="D2411" t="str">
        <f>VLOOKUP(C2411, '[1]VLOOKUP 함수용 카테고리'!$A$1:$B$59, 2, 0)</f>
        <v>RAW_FRUIT</v>
      </c>
      <c r="E2411" t="s">
        <v>4138</v>
      </c>
    </row>
    <row r="2412" spans="1:6" x14ac:dyDescent="0.3">
      <c r="A2412" t="s">
        <v>4172</v>
      </c>
      <c r="B2412" t="str" cm="1">
        <f t="array" ref="B2412">_xlfn.XLOOKUP(C2412, INDEX([1]!카테고리매핑,,2), INDEX([1]!카테고리매핑,,1), "미등록 카테고리")</f>
        <v>술</v>
      </c>
      <c r="C2412" t="s">
        <v>56</v>
      </c>
      <c r="D2412" t="str">
        <f>VLOOKUP(C2412, '[1]VLOOKUP 함수용 카테고리'!$A$1:$B$59, 2, 0)</f>
        <v>ALCOHOL</v>
      </c>
      <c r="E2412" t="s">
        <v>57</v>
      </c>
    </row>
    <row r="2413" spans="1:6" x14ac:dyDescent="0.3">
      <c r="A2413" t="s">
        <v>4173</v>
      </c>
      <c r="B2413" t="str" cm="1">
        <f t="array" ref="B2413">_xlfn.XLOOKUP(C2413, INDEX([1]!카테고리매핑,,2), INDEX([1]!카테고리매핑,,1), "미등록 카테고리")</f>
        <v>수산물</v>
      </c>
      <c r="C2413" t="s">
        <v>229</v>
      </c>
      <c r="D2413" t="str">
        <f>VLOOKUP(C2413, '[1]VLOOKUP 함수용 카테고리'!$A$1:$B$59, 2, 0)</f>
        <v>RAW_SEAFOOD</v>
      </c>
      <c r="E2413" t="s">
        <v>230</v>
      </c>
      <c r="F2413" t="s">
        <v>1070</v>
      </c>
    </row>
    <row r="2414" spans="1:6" x14ac:dyDescent="0.3">
      <c r="A2414" t="s">
        <v>4174</v>
      </c>
      <c r="B2414" t="str" cm="1">
        <f t="array" ref="B2414">_xlfn.XLOOKUP(C2414, INDEX([1]!카테고리매핑,,2), INDEX([1]!카테고리매핑,,1), "미등록 카테고리")</f>
        <v>미등록 카테고리</v>
      </c>
      <c r="C2414" t="s">
        <v>334</v>
      </c>
      <c r="D2414" t="str">
        <f>VLOOKUP(C2414, '[1]VLOOKUP 함수용 카테고리'!$A$1:$B$59, 2, 0)</f>
        <v>UNKNOWN</v>
      </c>
      <c r="E2414" t="s">
        <v>334</v>
      </c>
      <c r="F2414" t="s">
        <v>4175</v>
      </c>
    </row>
    <row r="2415" spans="1:6" x14ac:dyDescent="0.3">
      <c r="A2415" t="s">
        <v>4176</v>
      </c>
      <c r="B2415" t="str" cm="1">
        <f t="array" ref="B2415">_xlfn.XLOOKUP(C2415, INDEX([1]!카테고리매핑,,2), INDEX([1]!카테고리매핑,,1), "미등록 카테고리")</f>
        <v>조미료</v>
      </c>
      <c r="C2415" t="s">
        <v>84</v>
      </c>
      <c r="D2415" t="str">
        <f>VLOOKUP(C2415, '[1]VLOOKUP 함수용 카테고리'!$A$1:$B$59, 2, 0)</f>
        <v>SAUCE_SEASONING</v>
      </c>
      <c r="E2415" t="s">
        <v>2451</v>
      </c>
      <c r="F2415" t="s">
        <v>269</v>
      </c>
    </row>
    <row r="2416" spans="1:6" x14ac:dyDescent="0.3">
      <c r="A2416" t="s">
        <v>4177</v>
      </c>
      <c r="B2416" t="str" cm="1">
        <f t="array" ref="B2416">_xlfn.XLOOKUP(C2416, INDEX([1]!카테고리매핑,,2), INDEX([1]!카테고리매핑,,1), "미등록 카테고리")</f>
        <v>육류/계란</v>
      </c>
      <c r="C2416" t="s">
        <v>298</v>
      </c>
      <c r="D2416" t="str">
        <f>VLOOKUP(C2416, '[1]VLOOKUP 함수용 카테고리'!$A$1:$B$59, 2, 0)</f>
        <v>RAW_MEAT</v>
      </c>
      <c r="E2416" t="s">
        <v>537</v>
      </c>
      <c r="F2416" t="s">
        <v>538</v>
      </c>
    </row>
    <row r="2417" spans="1:6" x14ac:dyDescent="0.3">
      <c r="A2417" t="s">
        <v>4178</v>
      </c>
      <c r="B2417" t="str" cm="1">
        <f t="array" ref="B2417">_xlfn.XLOOKUP(C2417, INDEX([1]!카테고리매핑,,2), INDEX([1]!카테고리매핑,,1), "미등록 카테고리")</f>
        <v>음료</v>
      </c>
      <c r="C2417" t="s">
        <v>23</v>
      </c>
      <c r="D2417" t="str">
        <f>VLOOKUP(C2417, '[1]VLOOKUP 함수용 카테고리'!$A$1:$B$59, 2, 0)</f>
        <v>BEVERAGE</v>
      </c>
      <c r="E2417" t="s">
        <v>355</v>
      </c>
      <c r="F2417" t="s">
        <v>356</v>
      </c>
    </row>
    <row r="2418" spans="1:6" x14ac:dyDescent="0.3">
      <c r="A2418" t="s">
        <v>4179</v>
      </c>
      <c r="B2418" t="str" cm="1">
        <f t="array" ref="B2418">_xlfn.XLOOKUP(C2418, INDEX([1]!카테고리매핑,,2), INDEX([1]!카테고리매핑,,1), "미등록 카테고리")</f>
        <v>간식류</v>
      </c>
      <c r="C2418" t="s">
        <v>15</v>
      </c>
      <c r="D2418" t="str">
        <f>VLOOKUP(C2418, '[1]VLOOKUP 함수용 카테고리'!$A$1:$B$59, 2, 0)</f>
        <v>BAKERY</v>
      </c>
      <c r="E2418" t="s">
        <v>3699</v>
      </c>
      <c r="F2418" t="s">
        <v>1019</v>
      </c>
    </row>
    <row r="2419" spans="1:6" x14ac:dyDescent="0.3">
      <c r="A2419" t="s">
        <v>4180</v>
      </c>
      <c r="B2419" t="str" cm="1">
        <f t="array" ref="B2419">_xlfn.XLOOKUP(C2419, INDEX([1]!카테고리매핑,,2), INDEX([1]!카테고리매핑,,1), "미등록 카테고리")</f>
        <v>간식류</v>
      </c>
      <c r="C2419" t="s">
        <v>63</v>
      </c>
      <c r="D2419" t="str">
        <f>VLOOKUP(C2419, '[1]VLOOKUP 함수용 카테고리'!$A$1:$B$59, 2, 0)</f>
        <v>BAKERY</v>
      </c>
      <c r="E2419" t="s">
        <v>496</v>
      </c>
      <c r="F2419" t="s">
        <v>3604</v>
      </c>
    </row>
    <row r="2420" spans="1:6" x14ac:dyDescent="0.3">
      <c r="A2420" t="s">
        <v>4181</v>
      </c>
      <c r="B2420" t="str" cm="1">
        <f t="array" ref="B2420">_xlfn.XLOOKUP(C2420, INDEX([1]!카테고리매핑,,2), INDEX([1]!카테고리매핑,,1), "미등록 카테고리")</f>
        <v>간편식</v>
      </c>
      <c r="C2420" t="s">
        <v>19</v>
      </c>
      <c r="D2420" t="str">
        <f>VLOOKUP(C2420, '[1]VLOOKUP 함수용 카테고리'!$A$1:$B$59, 2, 0)</f>
        <v>FROZEN_MEAL</v>
      </c>
      <c r="E2420" t="s">
        <v>763</v>
      </c>
      <c r="F2420" t="s">
        <v>369</v>
      </c>
    </row>
    <row r="2421" spans="1:6" x14ac:dyDescent="0.3">
      <c r="A2421" t="s">
        <v>4182</v>
      </c>
      <c r="B2421" t="str" cm="1">
        <f t="array" ref="B2421">_xlfn.XLOOKUP(C2421, INDEX([1]!카테고리매핑,,2), INDEX([1]!카테고리매핑,,1), "미등록 카테고리")</f>
        <v>채소/곡물류</v>
      </c>
      <c r="C2421" t="s">
        <v>27</v>
      </c>
      <c r="D2421" t="str">
        <f>VLOOKUP(C2421, '[1]VLOOKUP 함수용 카테고리'!$A$1:$B$59, 2, 0)</f>
        <v>SIMPLE_PROCESSED</v>
      </c>
      <c r="E2421" t="s">
        <v>28</v>
      </c>
      <c r="F2421" t="s">
        <v>156</v>
      </c>
    </row>
    <row r="2422" spans="1:6" x14ac:dyDescent="0.3">
      <c r="A2422" t="s">
        <v>4183</v>
      </c>
      <c r="B2422" t="str" cm="1">
        <f t="array" ref="B2422">_xlfn.XLOOKUP(C2422, INDEX([1]!카테고리매핑,,2), INDEX([1]!카테고리매핑,,1), "미등록 카테고리")</f>
        <v>채소/곡물류</v>
      </c>
      <c r="C2422" t="s">
        <v>301</v>
      </c>
      <c r="D2422" t="str">
        <f>VLOOKUP(C2422, '[1]VLOOKUP 함수용 카테고리'!$A$1:$B$59, 2, 0)</f>
        <v>GRAIN</v>
      </c>
      <c r="E2422" t="s">
        <v>611</v>
      </c>
      <c r="F2422" t="s">
        <v>4184</v>
      </c>
    </row>
    <row r="2423" spans="1:6" x14ac:dyDescent="0.3">
      <c r="A2423" t="s">
        <v>4185</v>
      </c>
      <c r="B2423" t="str" cm="1">
        <f t="array" ref="B2423">_xlfn.XLOOKUP(C2423, INDEX([1]!카테고리매핑,,2), INDEX([1]!카테고리매핑,,1), "미등록 카테고리")</f>
        <v>술</v>
      </c>
      <c r="C2423" t="s">
        <v>411</v>
      </c>
      <c r="D2423" t="str">
        <f>VLOOKUP(C2423, '[1]VLOOKUP 함수용 카테고리'!$A$1:$B$59, 2, 0)</f>
        <v>ALCOHOL</v>
      </c>
      <c r="E2423" t="s">
        <v>1159</v>
      </c>
      <c r="F2423" t="s">
        <v>7762</v>
      </c>
    </row>
    <row r="2424" spans="1:6" x14ac:dyDescent="0.3">
      <c r="A2424" t="s">
        <v>4186</v>
      </c>
      <c r="B2424" t="str" cm="1">
        <f t="array" ref="B2424">_xlfn.XLOOKUP(C2424, INDEX([1]!카테고리매핑,,2), INDEX([1]!카테고리매핑,,1), "미등록 카테고리")</f>
        <v>유제품</v>
      </c>
      <c r="C2424" t="s">
        <v>98</v>
      </c>
      <c r="D2424" t="str">
        <f>VLOOKUP(C2424, '[1]VLOOKUP 함수용 카테고리'!$A$1:$B$59, 2, 0)</f>
        <v>DAIRY</v>
      </c>
      <c r="E2424" t="s">
        <v>98</v>
      </c>
      <c r="F2424" t="s">
        <v>1161</v>
      </c>
    </row>
    <row r="2425" spans="1:6" x14ac:dyDescent="0.3">
      <c r="A2425" t="s">
        <v>4187</v>
      </c>
      <c r="B2425" t="str" cm="1">
        <f t="array" ref="B2425">_xlfn.XLOOKUP(C2425, INDEX([1]!카테고리매핑,,2), INDEX([1]!카테고리매핑,,1), "미등록 카테고리")</f>
        <v>육류/계란</v>
      </c>
      <c r="C2425" t="s">
        <v>298</v>
      </c>
      <c r="D2425" t="str">
        <f>VLOOKUP(C2425, '[1]VLOOKUP 함수용 카테고리'!$A$1:$B$59, 2, 0)</f>
        <v>RAW_MEAT</v>
      </c>
      <c r="E2425" t="s">
        <v>298</v>
      </c>
      <c r="F2425" t="s">
        <v>151</v>
      </c>
    </row>
    <row r="2426" spans="1:6" x14ac:dyDescent="0.3">
      <c r="A2426" t="s">
        <v>4188</v>
      </c>
      <c r="B2426" t="str" cm="1">
        <f t="array" ref="B2426">_xlfn.XLOOKUP(C2426, INDEX([1]!카테고리매핑,,2), INDEX([1]!카테고리매핑,,1), "미등록 카테고리")</f>
        <v>유제품</v>
      </c>
      <c r="C2426" t="s">
        <v>123</v>
      </c>
      <c r="D2426" t="str">
        <f>VLOOKUP(C2426, '[1]VLOOKUP 함수용 카테고리'!$A$1:$B$59, 2, 0)</f>
        <v>DAIRY</v>
      </c>
      <c r="E2426" t="s">
        <v>190</v>
      </c>
      <c r="F2426" t="s">
        <v>543</v>
      </c>
    </row>
    <row r="2427" spans="1:6" x14ac:dyDescent="0.3">
      <c r="A2427" t="s">
        <v>4189</v>
      </c>
      <c r="B2427" t="str" cm="1">
        <f t="array" ref="B2427">_xlfn.XLOOKUP(C2427, INDEX([1]!카테고리매핑,,2), INDEX([1]!카테고리매핑,,1), "미등록 카테고리")</f>
        <v>수산물</v>
      </c>
      <c r="C2427" t="s">
        <v>1397</v>
      </c>
      <c r="D2427" t="str">
        <f>VLOOKUP(C2427, '[1]VLOOKUP 함수용 카테고리'!$A$1:$B$59, 2, 0)</f>
        <v>RAW_SEAFOOD</v>
      </c>
      <c r="E2427" t="s">
        <v>4190</v>
      </c>
      <c r="F2427" t="s">
        <v>4191</v>
      </c>
    </row>
    <row r="2428" spans="1:6" x14ac:dyDescent="0.3">
      <c r="A2428" t="s">
        <v>4192</v>
      </c>
      <c r="B2428" t="str" cm="1">
        <f t="array" ref="B2428">_xlfn.XLOOKUP(C2428, INDEX([1]!카테고리매핑,,2), INDEX([1]!카테고리매핑,,1), "미등록 카테고리")</f>
        <v>음료</v>
      </c>
      <c r="C2428" t="s">
        <v>23</v>
      </c>
      <c r="D2428" t="str">
        <f>VLOOKUP(C2428, '[1]VLOOKUP 함수용 카테고리'!$A$1:$B$59, 2, 0)</f>
        <v>BEVERAGE</v>
      </c>
      <c r="E2428" t="s">
        <v>1156</v>
      </c>
      <c r="F2428" t="s">
        <v>1157</v>
      </c>
    </row>
    <row r="2429" spans="1:6" x14ac:dyDescent="0.3">
      <c r="A2429" t="s">
        <v>4193</v>
      </c>
      <c r="B2429" t="str" cm="1">
        <f t="array" ref="B2429">_xlfn.XLOOKUP(C2429, INDEX([1]!카테고리매핑,,2), INDEX([1]!카테고리매핑,,1), "미등록 카테고리")</f>
        <v>술</v>
      </c>
      <c r="C2429" t="s">
        <v>411</v>
      </c>
      <c r="D2429" t="str">
        <f>VLOOKUP(C2429, '[1]VLOOKUP 함수용 카테고리'!$A$1:$B$59, 2, 0)</f>
        <v>ALCOHOL</v>
      </c>
      <c r="E2429" t="s">
        <v>1159</v>
      </c>
      <c r="F2429" t="s">
        <v>411</v>
      </c>
    </row>
    <row r="2430" spans="1:6" x14ac:dyDescent="0.3">
      <c r="A2430" t="s">
        <v>4194</v>
      </c>
      <c r="B2430" t="str" cm="1">
        <f t="array" ref="B2430">_xlfn.XLOOKUP(C2430, INDEX([1]!카테고리매핑,,2), INDEX([1]!카테고리매핑,,1), "미등록 카테고리")</f>
        <v>간식류</v>
      </c>
      <c r="C2430" t="s">
        <v>15</v>
      </c>
      <c r="D2430" t="str">
        <f>VLOOKUP(C2430, '[1]VLOOKUP 함수용 카테고리'!$A$1:$B$59, 2, 0)</f>
        <v>BAKERY</v>
      </c>
      <c r="E2430" t="s">
        <v>3699</v>
      </c>
      <c r="F2430" t="s">
        <v>1969</v>
      </c>
    </row>
    <row r="2431" spans="1:6" x14ac:dyDescent="0.3">
      <c r="A2431" t="s">
        <v>4195</v>
      </c>
      <c r="B2431" t="str" cm="1">
        <f t="array" ref="B2431">_xlfn.XLOOKUP(C2431, INDEX([1]!카테고리매핑,,2), INDEX([1]!카테고리매핑,,1), "미등록 카테고리")</f>
        <v>간식류</v>
      </c>
      <c r="C2431" t="s">
        <v>63</v>
      </c>
      <c r="D2431" t="str">
        <f>VLOOKUP(C2431, '[1]VLOOKUP 함수용 카테고리'!$A$1:$B$59, 2, 0)</f>
        <v>BAKERY</v>
      </c>
      <c r="E2431" t="s">
        <v>2040</v>
      </c>
      <c r="F2431" t="s">
        <v>3023</v>
      </c>
    </row>
    <row r="2432" spans="1:6" x14ac:dyDescent="0.3">
      <c r="A2432" t="s">
        <v>4196</v>
      </c>
      <c r="B2432" t="str" cm="1">
        <f t="array" ref="B2432">_xlfn.XLOOKUP(C2432, INDEX([1]!카테고리매핑,,2), INDEX([1]!카테고리매핑,,1), "미등록 카테고리")</f>
        <v>육류/계란</v>
      </c>
      <c r="C2432" t="s">
        <v>34</v>
      </c>
      <c r="D2432" t="str">
        <f>VLOOKUP(C2432, '[1]VLOOKUP 함수용 카테고리'!$A$1:$B$59, 2, 0)</f>
        <v>RAW_MEAT</v>
      </c>
      <c r="E2432" t="s">
        <v>35</v>
      </c>
      <c r="F2432" t="s">
        <v>1554</v>
      </c>
    </row>
    <row r="2433" spans="1:6" x14ac:dyDescent="0.3">
      <c r="A2433" t="s">
        <v>4197</v>
      </c>
      <c r="B2433" t="str" cm="1">
        <f t="array" ref="B2433">_xlfn.XLOOKUP(C2433, INDEX([1]!카테고리매핑,,2), INDEX([1]!카테고리매핑,,1), "미등록 카테고리")</f>
        <v>육류/계란</v>
      </c>
      <c r="C2433" t="s">
        <v>149</v>
      </c>
      <c r="D2433" t="str">
        <f>VLOOKUP(C2433, '[1]VLOOKUP 함수용 카테고리'!$A$1:$B$59, 2, 0)</f>
        <v>RAW_MEAT</v>
      </c>
      <c r="E2433" t="s">
        <v>1151</v>
      </c>
      <c r="F2433" t="s">
        <v>1006</v>
      </c>
    </row>
    <row r="2434" spans="1:6" x14ac:dyDescent="0.3">
      <c r="A2434" t="s">
        <v>4198</v>
      </c>
      <c r="B2434" t="str" cm="1">
        <f t="array" ref="B2434">_xlfn.XLOOKUP(C2434, INDEX([1]!카테고리매핑,,2), INDEX([1]!카테고리매핑,,1), "미등록 카테고리")</f>
        <v>유제품</v>
      </c>
      <c r="C2434" t="s">
        <v>123</v>
      </c>
      <c r="D2434" t="str">
        <f>VLOOKUP(C2434, '[1]VLOOKUP 함수용 카테고리'!$A$1:$B$59, 2, 0)</f>
        <v>DAIRY</v>
      </c>
      <c r="E2434" t="s">
        <v>190</v>
      </c>
      <c r="F2434" t="s">
        <v>4199</v>
      </c>
    </row>
    <row r="2435" spans="1:6" x14ac:dyDescent="0.3">
      <c r="A2435" t="s">
        <v>4200</v>
      </c>
      <c r="B2435" t="str" cm="1">
        <f t="array" ref="B2435">_xlfn.XLOOKUP(C2435, INDEX([1]!카테고리매핑,,2), INDEX([1]!카테고리매핑,,1), "미등록 카테고리")</f>
        <v>간편식</v>
      </c>
      <c r="C2435" t="s">
        <v>161</v>
      </c>
      <c r="D2435" t="str">
        <f>VLOOKUP(C2435, '[1]VLOOKUP 함수용 카테고리'!$A$1:$B$59, 2, 0)</f>
        <v>RTC_MEAL</v>
      </c>
      <c r="E2435" t="s">
        <v>4201</v>
      </c>
      <c r="F2435" t="s">
        <v>1625</v>
      </c>
    </row>
    <row r="2436" spans="1:6" x14ac:dyDescent="0.3">
      <c r="A2436" t="s">
        <v>4202</v>
      </c>
      <c r="B2436" t="str" cm="1">
        <f t="array" ref="B2436">_xlfn.XLOOKUP(C2436, INDEX([1]!카테고리매핑,,2), INDEX([1]!카테고리매핑,,1), "미등록 카테고리")</f>
        <v>간편식</v>
      </c>
      <c r="C2436" t="s">
        <v>256</v>
      </c>
      <c r="D2436" t="str">
        <f>VLOOKUP(C2436, '[1]VLOOKUP 함수용 카테고리'!$A$1:$B$59, 2, 0)</f>
        <v>RTC_MEAL</v>
      </c>
      <c r="E2436" t="s">
        <v>256</v>
      </c>
      <c r="F2436" t="s">
        <v>4203</v>
      </c>
    </row>
    <row r="2437" spans="1:6" x14ac:dyDescent="0.3">
      <c r="A2437" t="s">
        <v>4204</v>
      </c>
      <c r="B2437" t="str" cm="1">
        <f t="array" ref="B2437">_xlfn.XLOOKUP(C2437, INDEX([1]!카테고리매핑,,2), INDEX([1]!카테고리매핑,,1), "미등록 카테고리")</f>
        <v>채소/곡물류</v>
      </c>
      <c r="C2437" t="s">
        <v>7</v>
      </c>
      <c r="D2437" t="str">
        <f>VLOOKUP(C2437, '[1]VLOOKUP 함수용 카테고리'!$A$1:$B$59, 2, 0)</f>
        <v>RAW_PRODUCE</v>
      </c>
      <c r="E2437" t="s">
        <v>2053</v>
      </c>
      <c r="F2437" t="s">
        <v>151</v>
      </c>
    </row>
    <row r="2438" spans="1:6" x14ac:dyDescent="0.3">
      <c r="A2438" t="s">
        <v>4205</v>
      </c>
      <c r="B2438" t="str" cm="1">
        <f t="array" ref="B2438">_xlfn.XLOOKUP(C2438, INDEX([1]!카테고리매핑,,2), INDEX([1]!카테고리매핑,,1), "미등록 카테고리")</f>
        <v>술</v>
      </c>
      <c r="C2438" t="s">
        <v>42</v>
      </c>
      <c r="D2438" t="str">
        <f>VLOOKUP(C2438, '[1]VLOOKUP 함수용 카테고리'!$A$1:$B$59, 2, 0)</f>
        <v>ALCOHOL</v>
      </c>
      <c r="E2438" t="s">
        <v>4206</v>
      </c>
    </row>
    <row r="2439" spans="1:6" x14ac:dyDescent="0.3">
      <c r="A2439" t="s">
        <v>4207</v>
      </c>
      <c r="B2439" t="str" cm="1">
        <f t="array" ref="B2439">_xlfn.XLOOKUP(C2439, INDEX([1]!카테고리매핑,,2), INDEX([1]!카테고리매핑,,1), "미등록 카테고리")</f>
        <v>유제품</v>
      </c>
      <c r="C2439" t="s">
        <v>98</v>
      </c>
      <c r="D2439" t="str">
        <f>VLOOKUP(C2439, '[1]VLOOKUP 함수용 카테고리'!$A$1:$B$59, 2, 0)</f>
        <v>DAIRY</v>
      </c>
      <c r="E2439" t="s">
        <v>98</v>
      </c>
      <c r="F2439" t="s">
        <v>475</v>
      </c>
    </row>
    <row r="2440" spans="1:6" x14ac:dyDescent="0.3">
      <c r="A2440" t="s">
        <v>4208</v>
      </c>
      <c r="B2440" t="str" cm="1">
        <f t="array" ref="B2440">_xlfn.XLOOKUP(C2440, INDEX([1]!카테고리매핑,,2), INDEX([1]!카테고리매핑,,1), "미등록 카테고리")</f>
        <v>조미료</v>
      </c>
      <c r="C2440" t="s">
        <v>83</v>
      </c>
      <c r="D2440" t="str">
        <f>VLOOKUP(C2440, '[1]VLOOKUP 함수용 카테고리'!$A$1:$B$59, 2, 0)</f>
        <v>SAUCE_SEASONING</v>
      </c>
      <c r="E2440" t="s">
        <v>1372</v>
      </c>
      <c r="F2440" t="s">
        <v>4209</v>
      </c>
    </row>
    <row r="2441" spans="1:6" x14ac:dyDescent="0.3">
      <c r="A2441" t="s">
        <v>4210</v>
      </c>
      <c r="B2441" t="str" cm="1">
        <f t="array" ref="B2441">_xlfn.XLOOKUP(C2441, INDEX([1]!카테고리매핑,,2), INDEX([1]!카테고리매핑,,1), "미등록 카테고리")</f>
        <v>간편식</v>
      </c>
      <c r="C2441" t="s">
        <v>161</v>
      </c>
      <c r="D2441" t="str">
        <f>VLOOKUP(C2441, '[1]VLOOKUP 함수용 카테고리'!$A$1:$B$59, 2, 0)</f>
        <v>RTC_MEAL</v>
      </c>
      <c r="E2441" t="s">
        <v>4211</v>
      </c>
      <c r="F2441" t="s">
        <v>4212</v>
      </c>
    </row>
    <row r="2442" spans="1:6" x14ac:dyDescent="0.3">
      <c r="A2442" t="s">
        <v>4213</v>
      </c>
      <c r="B2442" t="str" cm="1">
        <f t="array" ref="B2442">_xlfn.XLOOKUP(C2442, INDEX([1]!카테고리매핑,,2), INDEX([1]!카테고리매핑,,1), "미등록 카테고리")</f>
        <v>수산물</v>
      </c>
      <c r="C2442" t="s">
        <v>229</v>
      </c>
      <c r="D2442" t="str">
        <f>VLOOKUP(C2442, '[1]VLOOKUP 함수용 카테고리'!$A$1:$B$59, 2, 0)</f>
        <v>RAW_SEAFOOD</v>
      </c>
      <c r="E2442" t="s">
        <v>230</v>
      </c>
      <c r="F2442" t="s">
        <v>4214</v>
      </c>
    </row>
    <row r="2443" spans="1:6" x14ac:dyDescent="0.3">
      <c r="A2443" t="s">
        <v>4215</v>
      </c>
      <c r="B2443" t="str" cm="1">
        <f t="array" ref="B2443">_xlfn.XLOOKUP(C2443, INDEX([1]!카테고리매핑,,2), INDEX([1]!카테고리매핑,,1), "미등록 카테고리")</f>
        <v>간식류</v>
      </c>
      <c r="C2443" t="s">
        <v>63</v>
      </c>
      <c r="D2443" t="str">
        <f>VLOOKUP(C2443, '[1]VLOOKUP 함수용 카테고리'!$A$1:$B$59, 2, 0)</f>
        <v>BAKERY</v>
      </c>
      <c r="E2443" t="s">
        <v>496</v>
      </c>
      <c r="F2443" t="s">
        <v>497</v>
      </c>
    </row>
    <row r="2444" spans="1:6" x14ac:dyDescent="0.3">
      <c r="A2444" t="s">
        <v>4216</v>
      </c>
      <c r="B2444" t="str" cm="1">
        <f t="array" ref="B2444">_xlfn.XLOOKUP(C2444, INDEX([1]!카테고리매핑,,2), INDEX([1]!카테고리매핑,,1), "미등록 카테고리")</f>
        <v>음료</v>
      </c>
      <c r="C2444" t="s">
        <v>23</v>
      </c>
      <c r="D2444" t="str">
        <f>VLOOKUP(C2444, '[1]VLOOKUP 함수용 카테고리'!$A$1:$B$59, 2, 0)</f>
        <v>BEVERAGE</v>
      </c>
      <c r="E2444" t="s">
        <v>4217</v>
      </c>
      <c r="F2444" t="s">
        <v>4036</v>
      </c>
    </row>
    <row r="2445" spans="1:6" x14ac:dyDescent="0.3">
      <c r="A2445" t="s">
        <v>4218</v>
      </c>
      <c r="B2445" t="str" cm="1">
        <f t="array" ref="B2445">_xlfn.XLOOKUP(C2445, INDEX([1]!카테고리매핑,,2), INDEX([1]!카테고리매핑,,1), "미등록 카테고리")</f>
        <v>미등록 카테고리</v>
      </c>
      <c r="C2445" t="s">
        <v>334</v>
      </c>
      <c r="D2445" t="str">
        <f>VLOOKUP(C2445, '[1]VLOOKUP 함수용 카테고리'!$A$1:$B$59, 2, 0)</f>
        <v>UNKNOWN</v>
      </c>
      <c r="E2445" t="s">
        <v>334</v>
      </c>
      <c r="F2445" t="s">
        <v>2552</v>
      </c>
    </row>
    <row r="2446" spans="1:6" x14ac:dyDescent="0.3">
      <c r="A2446" t="s">
        <v>4219</v>
      </c>
      <c r="B2446" t="str" cm="1">
        <f t="array" ref="B2446">_xlfn.XLOOKUP(C2446, INDEX([1]!카테고리매핑,,2), INDEX([1]!카테고리매핑,,1), "미등록 카테고리")</f>
        <v>간편식</v>
      </c>
      <c r="C2446" t="s">
        <v>19</v>
      </c>
      <c r="D2446" t="str">
        <f>VLOOKUP(C2446, '[1]VLOOKUP 함수용 카테고리'!$A$1:$B$59, 2, 0)</f>
        <v>FROZEN_MEAL</v>
      </c>
      <c r="E2446" t="s">
        <v>1430</v>
      </c>
      <c r="F2446" t="s">
        <v>4220</v>
      </c>
    </row>
    <row r="2447" spans="1:6" x14ac:dyDescent="0.3">
      <c r="A2447" t="s">
        <v>4221</v>
      </c>
      <c r="B2447" t="str" cm="1">
        <f t="array" ref="B2447">_xlfn.XLOOKUP(C2447, INDEX([1]!카테고리매핑,,2), INDEX([1]!카테고리매핑,,1), "미등록 카테고리")</f>
        <v>간편식</v>
      </c>
      <c r="C2447" t="s">
        <v>131</v>
      </c>
      <c r="D2447" t="str">
        <f>VLOOKUP(C2447, '[1]VLOOKUP 함수용 카테고리'!$A$1:$B$59, 2, 0)</f>
        <v>SIMPLE_PROCESSED</v>
      </c>
      <c r="E2447" t="s">
        <v>4222</v>
      </c>
      <c r="F2447" t="s">
        <v>928</v>
      </c>
    </row>
    <row r="2448" spans="1:6" x14ac:dyDescent="0.3">
      <c r="A2448" t="s">
        <v>4223</v>
      </c>
      <c r="B2448" t="str" cm="1">
        <f t="array" ref="B2448">_xlfn.XLOOKUP(C2448, INDEX([1]!카테고리매핑,,2), INDEX([1]!카테고리매핑,,1), "미등록 카테고리")</f>
        <v>음료</v>
      </c>
      <c r="C2448" t="s">
        <v>23</v>
      </c>
      <c r="D2448" t="str">
        <f>VLOOKUP(C2448, '[1]VLOOKUP 함수용 카테고리'!$A$1:$B$59, 2, 0)</f>
        <v>BEVERAGE</v>
      </c>
      <c r="E2448" t="s">
        <v>4224</v>
      </c>
      <c r="F2448" t="s">
        <v>353</v>
      </c>
    </row>
    <row r="2449" spans="1:6" x14ac:dyDescent="0.3">
      <c r="A2449" t="s">
        <v>4225</v>
      </c>
      <c r="B2449" t="str" cm="1">
        <f t="array" ref="B2449">_xlfn.XLOOKUP(C2449, INDEX([1]!카테고리매핑,,2), INDEX([1]!카테고리매핑,,1), "미등록 카테고리")</f>
        <v>간편식</v>
      </c>
      <c r="C2449" t="s">
        <v>256</v>
      </c>
      <c r="D2449" t="str">
        <f>VLOOKUP(C2449, '[1]VLOOKUP 함수용 카테고리'!$A$1:$B$59, 2, 0)</f>
        <v>RTC_MEAL</v>
      </c>
      <c r="E2449" t="s">
        <v>256</v>
      </c>
      <c r="F2449" t="s">
        <v>4226</v>
      </c>
    </row>
    <row r="2450" spans="1:6" x14ac:dyDescent="0.3">
      <c r="A2450" t="s">
        <v>4227</v>
      </c>
      <c r="B2450" t="str" cm="1">
        <f t="array" ref="B2450">_xlfn.XLOOKUP(C2450, INDEX([1]!카테고리매핑,,2), INDEX([1]!카테고리매핑,,1), "미등록 카테고리")</f>
        <v>간편식</v>
      </c>
      <c r="C2450" t="s">
        <v>256</v>
      </c>
      <c r="D2450" t="str">
        <f>VLOOKUP(C2450, '[1]VLOOKUP 함수용 카테고리'!$A$1:$B$59, 2, 0)</f>
        <v>RTC_MEAL</v>
      </c>
      <c r="E2450" t="s">
        <v>256</v>
      </c>
      <c r="F2450" t="s">
        <v>2356</v>
      </c>
    </row>
    <row r="2451" spans="1:6" x14ac:dyDescent="0.3">
      <c r="A2451" t="s">
        <v>4228</v>
      </c>
      <c r="B2451" t="str" cm="1">
        <f t="array" ref="B2451">_xlfn.XLOOKUP(C2451, INDEX([1]!카테고리매핑,,2), INDEX([1]!카테고리매핑,,1), "미등록 카테고리")</f>
        <v>채소/곡물류</v>
      </c>
      <c r="C2451" t="s">
        <v>7</v>
      </c>
      <c r="D2451" t="str">
        <f>VLOOKUP(C2451, '[1]VLOOKUP 함수용 카테고리'!$A$1:$B$59, 2, 0)</f>
        <v>RAW_PRODUCE</v>
      </c>
      <c r="E2451" t="s">
        <v>1177</v>
      </c>
    </row>
    <row r="2452" spans="1:6" x14ac:dyDescent="0.3">
      <c r="A2452" t="s">
        <v>4229</v>
      </c>
      <c r="B2452" t="str" cm="1">
        <f t="array" ref="B2452">_xlfn.XLOOKUP(C2452, INDEX([1]!카테고리매핑,,2), INDEX([1]!카테고리매핑,,1), "미등록 카테고리")</f>
        <v>간식류</v>
      </c>
      <c r="C2452" t="s">
        <v>38</v>
      </c>
      <c r="D2452" t="str">
        <f>VLOOKUP(C2452, '[1]VLOOKUP 함수용 카테고리'!$A$1:$B$59, 2, 0)</f>
        <v>SNACK</v>
      </c>
      <c r="E2452" t="s">
        <v>1291</v>
      </c>
      <c r="F2452" t="s">
        <v>4230</v>
      </c>
    </row>
    <row r="2453" spans="1:6" x14ac:dyDescent="0.3">
      <c r="A2453" t="s">
        <v>4231</v>
      </c>
      <c r="B2453" t="str" cm="1">
        <f t="array" ref="B2453">_xlfn.XLOOKUP(C2453, INDEX([1]!카테고리매핑,,2), INDEX([1]!카테고리매핑,,1), "미등록 카테고리")</f>
        <v>조미료</v>
      </c>
      <c r="C2453" t="s">
        <v>117</v>
      </c>
      <c r="D2453" t="str">
        <f>VLOOKUP(C2453, '[1]VLOOKUP 함수용 카테고리'!$A$1:$B$59, 2, 0)</f>
        <v>SAUCE_SEASONING</v>
      </c>
      <c r="E2453" t="s">
        <v>4232</v>
      </c>
      <c r="F2453" t="s">
        <v>65</v>
      </c>
    </row>
    <row r="2454" spans="1:6" x14ac:dyDescent="0.3">
      <c r="A2454" t="s">
        <v>4233</v>
      </c>
      <c r="B2454" t="str" cm="1">
        <f t="array" ref="B2454">_xlfn.XLOOKUP(C2454, INDEX([1]!카테고리매핑,,2), INDEX([1]!카테고리매핑,,1), "미등록 카테고리")</f>
        <v>채소/곡물류</v>
      </c>
      <c r="C2454" t="s">
        <v>7</v>
      </c>
      <c r="D2454" t="str">
        <f>VLOOKUP(C2454, '[1]VLOOKUP 함수용 카테고리'!$A$1:$B$59, 2, 0)</f>
        <v>RAW_PRODUCE</v>
      </c>
      <c r="E2454" t="s">
        <v>4234</v>
      </c>
    </row>
    <row r="2455" spans="1:6" x14ac:dyDescent="0.3">
      <c r="A2455" t="s">
        <v>4235</v>
      </c>
      <c r="B2455" t="str" cm="1">
        <f t="array" ref="B2455">_xlfn.XLOOKUP(C2455, INDEX([1]!카테고리매핑,,2), INDEX([1]!카테고리매핑,,1), "미등록 카테고리")</f>
        <v>미등록 카테고리</v>
      </c>
      <c r="C2455" t="s">
        <v>334</v>
      </c>
      <c r="D2455" t="str">
        <f>VLOOKUP(C2455, '[1]VLOOKUP 함수용 카테고리'!$A$1:$B$59, 2, 0)</f>
        <v>UNKNOWN</v>
      </c>
      <c r="E2455" t="s">
        <v>334</v>
      </c>
      <c r="F2455" t="s">
        <v>4236</v>
      </c>
    </row>
    <row r="2456" spans="1:6" x14ac:dyDescent="0.3">
      <c r="A2456" t="s">
        <v>4237</v>
      </c>
      <c r="B2456" t="str" cm="1">
        <f t="array" ref="B2456">_xlfn.XLOOKUP(C2456, INDEX([1]!카테고리매핑,,2), INDEX([1]!카테고리매핑,,1), "미등록 카테고리")</f>
        <v>육류/계란</v>
      </c>
      <c r="C2456" t="s">
        <v>298</v>
      </c>
      <c r="D2456" t="str">
        <f>VLOOKUP(C2456, '[1]VLOOKUP 함수용 카테고리'!$A$1:$B$59, 2, 0)</f>
        <v>RAW_MEAT</v>
      </c>
      <c r="E2456" t="s">
        <v>570</v>
      </c>
      <c r="F2456" t="s">
        <v>571</v>
      </c>
    </row>
    <row r="2457" spans="1:6" x14ac:dyDescent="0.3">
      <c r="A2457" t="s">
        <v>4238</v>
      </c>
      <c r="B2457" t="str" cm="1">
        <f t="array" ref="B2457">_xlfn.XLOOKUP(C2457, INDEX([1]!카테고리매핑,,2), INDEX([1]!카테고리매핑,,1), "미등록 카테고리")</f>
        <v>유제품</v>
      </c>
      <c r="C2457" t="s">
        <v>123</v>
      </c>
      <c r="D2457" t="str">
        <f>VLOOKUP(C2457, '[1]VLOOKUP 함수용 카테고리'!$A$1:$B$59, 2, 0)</f>
        <v>DAIRY</v>
      </c>
      <c r="E2457" t="s">
        <v>190</v>
      </c>
      <c r="F2457" t="s">
        <v>3444</v>
      </c>
    </row>
    <row r="2458" spans="1:6" x14ac:dyDescent="0.3">
      <c r="A2458" t="s">
        <v>4239</v>
      </c>
      <c r="B2458" t="str" cm="1">
        <f t="array" ref="B2458">_xlfn.XLOOKUP(C2458, INDEX([1]!카테고리매핑,,2), INDEX([1]!카테고리매핑,,1), "미등록 카테고리")</f>
        <v>유제품</v>
      </c>
      <c r="C2458" t="s">
        <v>123</v>
      </c>
      <c r="D2458" t="str">
        <f>VLOOKUP(C2458, '[1]VLOOKUP 함수용 카테고리'!$A$1:$B$59, 2, 0)</f>
        <v>DAIRY</v>
      </c>
      <c r="E2458" t="s">
        <v>239</v>
      </c>
      <c r="F2458" t="s">
        <v>240</v>
      </c>
    </row>
    <row r="2459" spans="1:6" x14ac:dyDescent="0.3">
      <c r="A2459" t="s">
        <v>4240</v>
      </c>
      <c r="B2459" t="str" cm="1">
        <f t="array" ref="B2459">_xlfn.XLOOKUP(C2459, INDEX([1]!카테고리매핑,,2), INDEX([1]!카테고리매핑,,1), "미등록 카테고리")</f>
        <v>술</v>
      </c>
      <c r="C2459" t="s">
        <v>974</v>
      </c>
      <c r="D2459" t="str">
        <f>VLOOKUP(C2459, '[1]VLOOKUP 함수용 카테고리'!$A$1:$B$59, 2, 0)</f>
        <v>ALCOHOL</v>
      </c>
      <c r="E2459" t="s">
        <v>974</v>
      </c>
    </row>
    <row r="2460" spans="1:6" x14ac:dyDescent="0.3">
      <c r="A2460" t="s">
        <v>4241</v>
      </c>
      <c r="B2460" t="str" cm="1">
        <f t="array" ref="B2460">_xlfn.XLOOKUP(C2460, INDEX([1]!카테고리매핑,,2), INDEX([1]!카테고리매핑,,1), "미등록 카테고리")</f>
        <v>술</v>
      </c>
      <c r="C2460" t="s">
        <v>411</v>
      </c>
      <c r="D2460" t="str">
        <f>VLOOKUP(C2460, '[1]VLOOKUP 함수용 카테고리'!$A$1:$B$59, 2, 0)</f>
        <v>ALCOHOL</v>
      </c>
      <c r="E2460" t="s">
        <v>1159</v>
      </c>
      <c r="F2460" t="s">
        <v>411</v>
      </c>
    </row>
    <row r="2461" spans="1:6" x14ac:dyDescent="0.3">
      <c r="A2461" t="s">
        <v>4242</v>
      </c>
      <c r="B2461" t="str" cm="1">
        <f t="array" ref="B2461">_xlfn.XLOOKUP(C2461, INDEX([1]!카테고리매핑,,2), INDEX([1]!카테고리매핑,,1), "미등록 카테고리")</f>
        <v>간식류</v>
      </c>
      <c r="C2461" t="s">
        <v>38</v>
      </c>
      <c r="D2461" t="str">
        <f>VLOOKUP(C2461, '[1]VLOOKUP 함수용 카테고리'!$A$1:$B$59, 2, 0)</f>
        <v>SNACK</v>
      </c>
      <c r="E2461" t="s">
        <v>179</v>
      </c>
      <c r="F2461" t="s">
        <v>3292</v>
      </c>
    </row>
    <row r="2462" spans="1:6" x14ac:dyDescent="0.3">
      <c r="A2462" t="s">
        <v>4243</v>
      </c>
      <c r="B2462" t="str" cm="1">
        <f t="array" ref="B2462">_xlfn.XLOOKUP(C2462, INDEX([1]!카테고리매핑,,2), INDEX([1]!카테고리매핑,,1), "미등록 카테고리")</f>
        <v>간식류</v>
      </c>
      <c r="C2462" t="s">
        <v>38</v>
      </c>
      <c r="D2462" t="str">
        <f>VLOOKUP(C2462, '[1]VLOOKUP 함수용 카테고리'!$A$1:$B$59, 2, 0)</f>
        <v>SNACK</v>
      </c>
      <c r="E2462" t="s">
        <v>4244</v>
      </c>
      <c r="F2462" t="s">
        <v>2200</v>
      </c>
    </row>
    <row r="2463" spans="1:6" x14ac:dyDescent="0.3">
      <c r="A2463" t="s">
        <v>4245</v>
      </c>
      <c r="B2463" t="str" cm="1">
        <f t="array" ref="B2463">_xlfn.XLOOKUP(C2463, INDEX([1]!카테고리매핑,,2), INDEX([1]!카테고리매핑,,1), "미등록 카테고리")</f>
        <v>간편식</v>
      </c>
      <c r="C2463" t="s">
        <v>46</v>
      </c>
      <c r="D2463" t="str">
        <f>VLOOKUP(C2463, '[1]VLOOKUP 함수용 카테고리'!$A$1:$B$59, 2, 0)</f>
        <v>RTC_MEAL</v>
      </c>
      <c r="E2463" t="s">
        <v>46</v>
      </c>
      <c r="F2463" t="s">
        <v>760</v>
      </c>
    </row>
    <row r="2464" spans="1:6" x14ac:dyDescent="0.3">
      <c r="A2464" t="s">
        <v>4246</v>
      </c>
      <c r="B2464" t="str" cm="1">
        <f t="array" ref="B2464">_xlfn.XLOOKUP(C2464, INDEX([1]!카테고리매핑,,2), INDEX([1]!카테고리매핑,,1), "미등록 카테고리")</f>
        <v>수산물</v>
      </c>
      <c r="C2464" t="s">
        <v>1397</v>
      </c>
      <c r="D2464" t="str">
        <f>VLOOKUP(C2464, '[1]VLOOKUP 함수용 카테고리'!$A$1:$B$59, 2, 0)</f>
        <v>RAW_SEAFOOD</v>
      </c>
      <c r="E2464" t="s">
        <v>4247</v>
      </c>
      <c r="F2464" t="s">
        <v>1361</v>
      </c>
    </row>
    <row r="2465" spans="1:6" x14ac:dyDescent="0.3">
      <c r="A2465" t="s">
        <v>4248</v>
      </c>
      <c r="B2465" t="str" cm="1">
        <f t="array" ref="B2465">_xlfn.XLOOKUP(C2465, INDEX([1]!카테고리매핑,,2), INDEX([1]!카테고리매핑,,1), "미등록 카테고리")</f>
        <v>간식류</v>
      </c>
      <c r="C2465" t="s">
        <v>63</v>
      </c>
      <c r="D2465" t="str">
        <f>VLOOKUP(C2465, '[1]VLOOKUP 함수용 카테고리'!$A$1:$B$59, 2, 0)</f>
        <v>BAKERY</v>
      </c>
      <c r="E2465" t="s">
        <v>4249</v>
      </c>
      <c r="F2465" t="s">
        <v>4250</v>
      </c>
    </row>
    <row r="2466" spans="1:6" x14ac:dyDescent="0.3">
      <c r="A2466" t="s">
        <v>4251</v>
      </c>
      <c r="B2466" t="str" cm="1">
        <f t="array" ref="B2466">_xlfn.XLOOKUP(C2466, INDEX([1]!카테고리매핑,,2), INDEX([1]!카테고리매핑,,1), "미등록 카테고리")</f>
        <v>유제품</v>
      </c>
      <c r="C2466" t="s">
        <v>98</v>
      </c>
      <c r="D2466" t="str">
        <f>VLOOKUP(C2466, '[1]VLOOKUP 함수용 카테고리'!$A$1:$B$59, 2, 0)</f>
        <v>DAIRY</v>
      </c>
      <c r="E2466" t="s">
        <v>4144</v>
      </c>
      <c r="F2466" t="s">
        <v>3911</v>
      </c>
    </row>
    <row r="2467" spans="1:6" x14ac:dyDescent="0.3">
      <c r="A2467" t="s">
        <v>4252</v>
      </c>
      <c r="B2467" t="str" cm="1">
        <f t="array" ref="B2467">_xlfn.XLOOKUP(C2467, INDEX([1]!카테고리매핑,,2), INDEX([1]!카테고리매핑,,1), "미등록 카테고리")</f>
        <v>간식류</v>
      </c>
      <c r="C2467" t="s">
        <v>15</v>
      </c>
      <c r="D2467" t="str">
        <f>VLOOKUP(C2467, '[1]VLOOKUP 함수용 카테고리'!$A$1:$B$59, 2, 0)</f>
        <v>BAKERY</v>
      </c>
      <c r="E2467" t="s">
        <v>200</v>
      </c>
      <c r="F2467" t="s">
        <v>13</v>
      </c>
    </row>
    <row r="2468" spans="1:6" x14ac:dyDescent="0.3">
      <c r="A2468" t="s">
        <v>4253</v>
      </c>
      <c r="B2468" t="str" cm="1">
        <f t="array" ref="B2468">_xlfn.XLOOKUP(C2468, INDEX([1]!카테고리매핑,,2), INDEX([1]!카테고리매핑,,1), "미등록 카테고리")</f>
        <v>채소/곡물류</v>
      </c>
      <c r="C2468" t="s">
        <v>7</v>
      </c>
      <c r="D2468" t="str">
        <f>VLOOKUP(C2468, '[1]VLOOKUP 함수용 카테고리'!$A$1:$B$59, 2, 0)</f>
        <v>RAW_PRODUCE</v>
      </c>
      <c r="E2468" t="s">
        <v>2053</v>
      </c>
      <c r="F2468" t="s">
        <v>4254</v>
      </c>
    </row>
    <row r="2469" spans="1:6" x14ac:dyDescent="0.3">
      <c r="A2469" t="s">
        <v>4255</v>
      </c>
      <c r="B2469" t="str" cm="1">
        <f t="array" ref="B2469">_xlfn.XLOOKUP(C2469, INDEX([1]!카테고리매핑,,2), INDEX([1]!카테고리매핑,,1), "미등록 카테고리")</f>
        <v>간식류</v>
      </c>
      <c r="C2469" t="s">
        <v>11</v>
      </c>
      <c r="D2469" t="str">
        <f>VLOOKUP(C2469, '[1]VLOOKUP 함수용 카테고리'!$A$1:$B$59, 2, 0)</f>
        <v>SNACK</v>
      </c>
      <c r="E2469" t="s">
        <v>371</v>
      </c>
      <c r="F2469" t="s">
        <v>4256</v>
      </c>
    </row>
    <row r="2470" spans="1:6" x14ac:dyDescent="0.3">
      <c r="A2470" t="s">
        <v>4257</v>
      </c>
      <c r="B2470" t="str" cm="1">
        <f t="array" ref="B2470">_xlfn.XLOOKUP(C2470, INDEX([1]!카테고리매핑,,2), INDEX([1]!카테고리매핑,,1), "미등록 카테고리")</f>
        <v>음료</v>
      </c>
      <c r="C2470" t="s">
        <v>23</v>
      </c>
      <c r="D2470" t="str">
        <f>VLOOKUP(C2470, '[1]VLOOKUP 함수용 카테고리'!$A$1:$B$59, 2, 0)</f>
        <v>BEVERAGE</v>
      </c>
      <c r="E2470" t="s">
        <v>74</v>
      </c>
      <c r="F2470" t="s">
        <v>65</v>
      </c>
    </row>
    <row r="2471" spans="1:6" x14ac:dyDescent="0.3">
      <c r="A2471" t="s">
        <v>4258</v>
      </c>
      <c r="B2471" t="str" cm="1">
        <f t="array" ref="B2471">_xlfn.XLOOKUP(C2471, INDEX([1]!카테고리매핑,,2), INDEX([1]!카테고리매핑,,1), "미등록 카테고리")</f>
        <v>상온식품</v>
      </c>
      <c r="C2471" t="s">
        <v>835</v>
      </c>
      <c r="D2471" t="str">
        <f>VLOOKUP(C2471, '[1]VLOOKUP 함수용 카테고리'!$A$1:$B$59, 2, 0)</f>
        <v>SAUCE_SEASONING</v>
      </c>
      <c r="E2471" t="s">
        <v>2266</v>
      </c>
      <c r="F2471" t="s">
        <v>383</v>
      </c>
    </row>
    <row r="2472" spans="1:6" x14ac:dyDescent="0.3">
      <c r="A2472" t="s">
        <v>4259</v>
      </c>
      <c r="B2472" t="str" cm="1">
        <f t="array" ref="B2472">_xlfn.XLOOKUP(C2472, INDEX([1]!카테고리매핑,,2), INDEX([1]!카테고리매핑,,1), "미등록 카테고리")</f>
        <v>음료</v>
      </c>
      <c r="C2472" t="s">
        <v>23</v>
      </c>
      <c r="D2472" t="str">
        <f>VLOOKUP(C2472, '[1]VLOOKUP 함수용 카테고리'!$A$1:$B$59, 2, 0)</f>
        <v>BEVERAGE</v>
      </c>
      <c r="E2472" t="s">
        <v>4260</v>
      </c>
      <c r="F2472" t="s">
        <v>4261</v>
      </c>
    </row>
    <row r="2473" spans="1:6" x14ac:dyDescent="0.3">
      <c r="A2473" t="s">
        <v>4262</v>
      </c>
      <c r="B2473" t="str" cm="1">
        <f t="array" ref="B2473">_xlfn.XLOOKUP(C2473, INDEX([1]!카테고리매핑,,2), INDEX([1]!카테고리매핑,,1), "미등록 카테고리")</f>
        <v>음료</v>
      </c>
      <c r="C2473" t="s">
        <v>23</v>
      </c>
      <c r="D2473" t="str">
        <f>VLOOKUP(C2473, '[1]VLOOKUP 함수용 카테고리'!$A$1:$B$59, 2, 0)</f>
        <v>BEVERAGE</v>
      </c>
      <c r="E2473" t="s">
        <v>355</v>
      </c>
      <c r="F2473" t="s">
        <v>1600</v>
      </c>
    </row>
    <row r="2474" spans="1:6" x14ac:dyDescent="0.3">
      <c r="A2474" t="s">
        <v>4263</v>
      </c>
      <c r="B2474" t="str" cm="1">
        <f t="array" ref="B2474">_xlfn.XLOOKUP(C2474, INDEX([1]!카테고리매핑,,2), INDEX([1]!카테고리매핑,,1), "미등록 카테고리")</f>
        <v>술</v>
      </c>
      <c r="C2474" t="s">
        <v>411</v>
      </c>
      <c r="D2474" t="str">
        <f>VLOOKUP(C2474, '[1]VLOOKUP 함수용 카테고리'!$A$1:$B$59, 2, 0)</f>
        <v>ALCOHOL</v>
      </c>
      <c r="E2474" t="s">
        <v>1159</v>
      </c>
      <c r="F2474" t="s">
        <v>411</v>
      </c>
    </row>
    <row r="2475" spans="1:6" x14ac:dyDescent="0.3">
      <c r="A2475" t="s">
        <v>4264</v>
      </c>
      <c r="B2475" t="str" cm="1">
        <f t="array" ref="B2475">_xlfn.XLOOKUP(C2475, INDEX([1]!카테고리매핑,,2), INDEX([1]!카테고리매핑,,1), "미등록 카테고리")</f>
        <v>간편식</v>
      </c>
      <c r="C2475" t="s">
        <v>158</v>
      </c>
      <c r="D2475" t="str">
        <f>VLOOKUP(C2475, '[1]VLOOKUP 함수용 카테고리'!$A$1:$B$59, 2, 0)</f>
        <v>INSTANT</v>
      </c>
      <c r="E2475" t="s">
        <v>1512</v>
      </c>
      <c r="F2475" t="s">
        <v>154</v>
      </c>
    </row>
    <row r="2476" spans="1:6" x14ac:dyDescent="0.3">
      <c r="A2476" t="s">
        <v>4265</v>
      </c>
      <c r="B2476" t="str" cm="1">
        <f t="array" ref="B2476">_xlfn.XLOOKUP(C2476, INDEX([1]!카테고리매핑,,2), INDEX([1]!카테고리매핑,,1), "미등록 카테고리")</f>
        <v>미등록 카테고리</v>
      </c>
      <c r="C2476" t="s">
        <v>334</v>
      </c>
      <c r="D2476" t="str">
        <f>VLOOKUP(C2476, '[1]VLOOKUP 함수용 카테고리'!$A$1:$B$59, 2, 0)</f>
        <v>UNKNOWN</v>
      </c>
      <c r="E2476" t="s">
        <v>334</v>
      </c>
      <c r="F2476" t="s">
        <v>3097</v>
      </c>
    </row>
    <row r="2477" spans="1:6" x14ac:dyDescent="0.3">
      <c r="A2477" t="s">
        <v>4266</v>
      </c>
      <c r="B2477" t="str" cm="1">
        <f t="array" ref="B2477">_xlfn.XLOOKUP(C2477, INDEX([1]!카테고리매핑,,2), INDEX([1]!카테고리매핑,,1), "미등록 카테고리")</f>
        <v>채소/곡물류</v>
      </c>
      <c r="C2477" t="s">
        <v>301</v>
      </c>
      <c r="D2477" t="str">
        <f>VLOOKUP(C2477, '[1]VLOOKUP 함수용 카테고리'!$A$1:$B$59, 2, 0)</f>
        <v>GRAIN</v>
      </c>
      <c r="E2477" t="s">
        <v>611</v>
      </c>
      <c r="F2477" t="s">
        <v>4267</v>
      </c>
    </row>
    <row r="2478" spans="1:6" x14ac:dyDescent="0.3">
      <c r="A2478" t="s">
        <v>4268</v>
      </c>
      <c r="B2478" t="str" cm="1">
        <f t="array" ref="B2478">_xlfn.XLOOKUP(C2478, INDEX([1]!카테고리매핑,,2), INDEX([1]!카테고리매핑,,1), "미등록 카테고리")</f>
        <v>간식류</v>
      </c>
      <c r="C2478" t="s">
        <v>11</v>
      </c>
      <c r="D2478" t="str">
        <f>VLOOKUP(C2478, '[1]VLOOKUP 함수용 카테고리'!$A$1:$B$59, 2, 0)</f>
        <v>SNACK</v>
      </c>
      <c r="E2478" t="s">
        <v>4269</v>
      </c>
    </row>
    <row r="2479" spans="1:6" x14ac:dyDescent="0.3">
      <c r="A2479" t="s">
        <v>4270</v>
      </c>
      <c r="B2479" t="str" cm="1">
        <f t="array" ref="B2479">_xlfn.XLOOKUP(C2479, INDEX([1]!카테고리매핑,,2), INDEX([1]!카테고리매핑,,1), "미등록 카테고리")</f>
        <v>술</v>
      </c>
      <c r="C2479" t="s">
        <v>56</v>
      </c>
      <c r="D2479" t="str">
        <f>VLOOKUP(C2479, '[1]VLOOKUP 함수용 카테고리'!$A$1:$B$59, 2, 0)</f>
        <v>ALCOHOL</v>
      </c>
      <c r="E2479" t="s">
        <v>57</v>
      </c>
      <c r="F2479" t="s">
        <v>675</v>
      </c>
    </row>
    <row r="2480" spans="1:6" x14ac:dyDescent="0.3">
      <c r="A2480" t="s">
        <v>4271</v>
      </c>
      <c r="B2480" t="str" cm="1">
        <f t="array" ref="B2480">_xlfn.XLOOKUP(C2480, INDEX([1]!카테고리매핑,,2), INDEX([1]!카테고리매핑,,1), "미등록 카테고리")</f>
        <v>간식류</v>
      </c>
      <c r="C2480" t="s">
        <v>11</v>
      </c>
      <c r="D2480" t="str">
        <f>VLOOKUP(C2480, '[1]VLOOKUP 함수용 카테고리'!$A$1:$B$59, 2, 0)</f>
        <v>SNACK</v>
      </c>
      <c r="E2480" t="s">
        <v>2426</v>
      </c>
      <c r="F2480" t="s">
        <v>2049</v>
      </c>
    </row>
    <row r="2481" spans="1:6" x14ac:dyDescent="0.3">
      <c r="A2481" t="s">
        <v>4272</v>
      </c>
      <c r="B2481" t="str" cm="1">
        <f t="array" ref="B2481">_xlfn.XLOOKUP(C2481, INDEX([1]!카테고리매핑,,2), INDEX([1]!카테고리매핑,,1), "미등록 카테고리")</f>
        <v>간편식</v>
      </c>
      <c r="C2481" t="s">
        <v>131</v>
      </c>
      <c r="D2481" t="str">
        <f>VLOOKUP(C2481, '[1]VLOOKUP 함수용 카테고리'!$A$1:$B$59, 2, 0)</f>
        <v>SIMPLE_PROCESSED</v>
      </c>
      <c r="E2481" t="s">
        <v>4273</v>
      </c>
      <c r="F2481" t="s">
        <v>3240</v>
      </c>
    </row>
    <row r="2482" spans="1:6" x14ac:dyDescent="0.3">
      <c r="A2482" t="s">
        <v>4274</v>
      </c>
      <c r="B2482" t="str" cm="1">
        <f t="array" ref="B2482">_xlfn.XLOOKUP(C2482, INDEX([1]!카테고리매핑,,2), INDEX([1]!카테고리매핑,,1), "미등록 카테고리")</f>
        <v>육류/계란</v>
      </c>
      <c r="C2482" t="s">
        <v>428</v>
      </c>
      <c r="D2482" t="str">
        <f>VLOOKUP(C2482, '[1]VLOOKUP 함수용 카테고리'!$A$1:$B$59, 2, 0)</f>
        <v>PROCESSED_MEAT</v>
      </c>
      <c r="E2482" t="s">
        <v>943</v>
      </c>
      <c r="F2482" t="s">
        <v>246</v>
      </c>
    </row>
    <row r="2483" spans="1:6" x14ac:dyDescent="0.3">
      <c r="A2483" t="s">
        <v>4275</v>
      </c>
      <c r="B2483" t="str" cm="1">
        <f t="array" ref="B2483">_xlfn.XLOOKUP(C2483, INDEX([1]!카테고리매핑,,2), INDEX([1]!카테고리매핑,,1), "미등록 카테고리")</f>
        <v>음료</v>
      </c>
      <c r="C2483" t="s">
        <v>23</v>
      </c>
      <c r="D2483" t="str">
        <f>VLOOKUP(C2483, '[1]VLOOKUP 함수용 카테고리'!$A$1:$B$59, 2, 0)</f>
        <v>BEVERAGE</v>
      </c>
      <c r="E2483" t="s">
        <v>24</v>
      </c>
      <c r="F2483" t="s">
        <v>4276</v>
      </c>
    </row>
    <row r="2484" spans="1:6" x14ac:dyDescent="0.3">
      <c r="A2484" t="s">
        <v>4277</v>
      </c>
      <c r="B2484" t="str" cm="1">
        <f t="array" ref="B2484">_xlfn.XLOOKUP(C2484, INDEX([1]!카테고리매핑,,2), INDEX([1]!카테고리매핑,,1), "미등록 카테고리")</f>
        <v>술</v>
      </c>
      <c r="C2484" t="s">
        <v>411</v>
      </c>
      <c r="D2484" t="str">
        <f>VLOOKUP(C2484, '[1]VLOOKUP 함수용 카테고리'!$A$1:$B$59, 2, 0)</f>
        <v>ALCOHOL</v>
      </c>
      <c r="E2484" t="s">
        <v>1159</v>
      </c>
      <c r="F2484" t="s">
        <v>411</v>
      </c>
    </row>
    <row r="2485" spans="1:6" x14ac:dyDescent="0.3">
      <c r="A2485" t="s">
        <v>4278</v>
      </c>
      <c r="B2485" t="str" cm="1">
        <f t="array" ref="B2485">_xlfn.XLOOKUP(C2485, INDEX([1]!카테고리매핑,,2), INDEX([1]!카테고리매핑,,1), "미등록 카테고리")</f>
        <v>조미료</v>
      </c>
      <c r="C2485" t="s">
        <v>83</v>
      </c>
      <c r="D2485" t="str">
        <f>VLOOKUP(C2485, '[1]VLOOKUP 함수용 카테고리'!$A$1:$B$59, 2, 0)</f>
        <v>SAUCE_SEASONING</v>
      </c>
      <c r="E2485" t="s">
        <v>4279</v>
      </c>
      <c r="F2485" t="s">
        <v>269</v>
      </c>
    </row>
    <row r="2486" spans="1:6" x14ac:dyDescent="0.3">
      <c r="A2486" t="s">
        <v>4280</v>
      </c>
      <c r="B2486" t="str" cm="1">
        <f t="array" ref="B2486">_xlfn.XLOOKUP(C2486, INDEX([1]!카테고리매핑,,2), INDEX([1]!카테고리매핑,,1), "미등록 카테고리")</f>
        <v>유제품</v>
      </c>
      <c r="C2486" t="s">
        <v>211</v>
      </c>
      <c r="D2486" t="str">
        <f>VLOOKUP(C2486, '[1]VLOOKUP 함수용 카테고리'!$A$1:$B$59, 2, 0)</f>
        <v>DAIRY</v>
      </c>
      <c r="E2486" t="s">
        <v>212</v>
      </c>
      <c r="F2486" t="s">
        <v>1663</v>
      </c>
    </row>
    <row r="2487" spans="1:6" x14ac:dyDescent="0.3">
      <c r="A2487" t="s">
        <v>4281</v>
      </c>
      <c r="B2487" t="str" cm="1">
        <f t="array" ref="B2487">_xlfn.XLOOKUP(C2487, INDEX([1]!카테고리매핑,,2), INDEX([1]!카테고리매핑,,1), "미등록 카테고리")</f>
        <v>육류/계란</v>
      </c>
      <c r="C2487" t="s">
        <v>298</v>
      </c>
      <c r="D2487" t="str">
        <f>VLOOKUP(C2487, '[1]VLOOKUP 함수용 카테고리'!$A$1:$B$59, 2, 0)</f>
        <v>RAW_MEAT</v>
      </c>
      <c r="E2487" t="s">
        <v>298</v>
      </c>
      <c r="F2487" t="s">
        <v>299</v>
      </c>
    </row>
    <row r="2488" spans="1:6" x14ac:dyDescent="0.3">
      <c r="A2488" t="s">
        <v>4282</v>
      </c>
      <c r="B2488" t="str" cm="1">
        <f t="array" ref="B2488">_xlfn.XLOOKUP(C2488, INDEX([1]!카테고리매핑,,2), INDEX([1]!카테고리매핑,,1), "미등록 카테고리")</f>
        <v>수산물</v>
      </c>
      <c r="C2488" t="s">
        <v>140</v>
      </c>
      <c r="D2488" t="str">
        <f>VLOOKUP(C2488, '[1]VLOOKUP 함수용 카테고리'!$A$1:$B$59, 2, 0)</f>
        <v>SIMPLE_PROCESSED</v>
      </c>
      <c r="E2488" t="s">
        <v>141</v>
      </c>
      <c r="F2488" t="s">
        <v>1244</v>
      </c>
    </row>
    <row r="2489" spans="1:6" x14ac:dyDescent="0.3">
      <c r="A2489" t="s">
        <v>4283</v>
      </c>
      <c r="B2489" t="str" cm="1">
        <f t="array" ref="B2489">_xlfn.XLOOKUP(C2489, INDEX([1]!카테고리매핑,,2), INDEX([1]!카테고리매핑,,1), "미등록 카테고리")</f>
        <v>간편식</v>
      </c>
      <c r="C2489" t="s">
        <v>131</v>
      </c>
      <c r="D2489" t="str">
        <f>VLOOKUP(C2489, '[1]VLOOKUP 함수용 카테고리'!$A$1:$B$59, 2, 0)</f>
        <v>SIMPLE_PROCESSED</v>
      </c>
      <c r="E2489" t="s">
        <v>2618</v>
      </c>
      <c r="F2489" t="s">
        <v>416</v>
      </c>
    </row>
    <row r="2490" spans="1:6" x14ac:dyDescent="0.3">
      <c r="A2490" t="s">
        <v>4284</v>
      </c>
      <c r="B2490" t="str" cm="1">
        <f t="array" ref="B2490">_xlfn.XLOOKUP(C2490, INDEX([1]!카테고리매핑,,2), INDEX([1]!카테고리매핑,,1), "미등록 카테고리")</f>
        <v>채소/곡물류</v>
      </c>
      <c r="C2490" t="s">
        <v>7</v>
      </c>
      <c r="D2490" t="str">
        <f>VLOOKUP(C2490, '[1]VLOOKUP 함수용 카테고리'!$A$1:$B$59, 2, 0)</f>
        <v>RAW_PRODUCE</v>
      </c>
      <c r="E2490" t="s">
        <v>2884</v>
      </c>
    </row>
    <row r="2491" spans="1:6" x14ac:dyDescent="0.3">
      <c r="A2491" t="s">
        <v>4285</v>
      </c>
      <c r="B2491" t="str" cm="1">
        <f t="array" ref="B2491">_xlfn.XLOOKUP(C2491, INDEX([1]!카테고리매핑,,2), INDEX([1]!카테고리매핑,,1), "미등록 카테고리")</f>
        <v>조미료</v>
      </c>
      <c r="C2491" t="s">
        <v>558</v>
      </c>
      <c r="D2491" t="str">
        <f>VLOOKUP(C2491, '[1]VLOOKUP 함수용 카테고리'!$A$1:$B$59, 2, 0)</f>
        <v>SAUCE_SEASONING</v>
      </c>
      <c r="E2491" t="s">
        <v>559</v>
      </c>
      <c r="F2491" t="s">
        <v>350</v>
      </c>
    </row>
    <row r="2492" spans="1:6" x14ac:dyDescent="0.3">
      <c r="A2492" t="s">
        <v>4286</v>
      </c>
      <c r="B2492" t="str" cm="1">
        <f t="array" ref="B2492">_xlfn.XLOOKUP(C2492, INDEX([1]!카테고리매핑,,2), INDEX([1]!카테고리매핑,,1), "미등록 카테고리")</f>
        <v>과일/견과류</v>
      </c>
      <c r="C2492" t="s">
        <v>654</v>
      </c>
      <c r="D2492" t="str">
        <f>VLOOKUP(C2492, '[1]VLOOKUP 함수용 카테고리'!$A$1:$B$59, 2, 0)</f>
        <v>RAW_FRUIT</v>
      </c>
      <c r="E2492" t="s">
        <v>1008</v>
      </c>
      <c r="F2492" t="s">
        <v>7775</v>
      </c>
    </row>
    <row r="2493" spans="1:6" x14ac:dyDescent="0.3">
      <c r="A2493" t="s">
        <v>4287</v>
      </c>
      <c r="B2493" t="str" cm="1">
        <f t="array" ref="B2493">_xlfn.XLOOKUP(C2493, INDEX([1]!카테고리매핑,,2), INDEX([1]!카테고리매핑,,1), "미등록 카테고리")</f>
        <v>미등록 카테고리</v>
      </c>
      <c r="C2493" t="s">
        <v>334</v>
      </c>
      <c r="D2493" t="str">
        <f>VLOOKUP(C2493, '[1]VLOOKUP 함수용 카테고리'!$A$1:$B$59, 2, 0)</f>
        <v>UNKNOWN</v>
      </c>
      <c r="E2493" t="s">
        <v>334</v>
      </c>
      <c r="F2493" t="s">
        <v>1215</v>
      </c>
    </row>
    <row r="2494" spans="1:6" x14ac:dyDescent="0.3">
      <c r="A2494" t="s">
        <v>4288</v>
      </c>
      <c r="B2494" t="str" cm="1">
        <f t="array" ref="B2494">_xlfn.XLOOKUP(C2494, INDEX([1]!카테고리매핑,,2), INDEX([1]!카테고리매핑,,1), "미등록 카테고리")</f>
        <v>간편식</v>
      </c>
      <c r="C2494" t="s">
        <v>46</v>
      </c>
      <c r="D2494" t="str">
        <f>VLOOKUP(C2494, '[1]VLOOKUP 함수용 카테고리'!$A$1:$B$59, 2, 0)</f>
        <v>RTC_MEAL</v>
      </c>
      <c r="E2494" t="s">
        <v>46</v>
      </c>
      <c r="F2494" t="s">
        <v>785</v>
      </c>
    </row>
    <row r="2495" spans="1:6" x14ac:dyDescent="0.3">
      <c r="A2495" t="s">
        <v>4289</v>
      </c>
      <c r="B2495" t="str" cm="1">
        <f t="array" ref="B2495">_xlfn.XLOOKUP(C2495, INDEX([1]!카테고리매핑,,2), INDEX([1]!카테고리매핑,,1), "미등록 카테고리")</f>
        <v>육류/계란</v>
      </c>
      <c r="C2495" t="s">
        <v>149</v>
      </c>
      <c r="D2495" t="str">
        <f>VLOOKUP(C2495, '[1]VLOOKUP 함수용 카테고리'!$A$1:$B$59, 2, 0)</f>
        <v>RAW_MEAT</v>
      </c>
      <c r="E2495" t="s">
        <v>1151</v>
      </c>
      <c r="F2495" t="s">
        <v>1006</v>
      </c>
    </row>
    <row r="2496" spans="1:6" x14ac:dyDescent="0.3">
      <c r="A2496" t="s">
        <v>4290</v>
      </c>
      <c r="B2496" t="str" cm="1">
        <f t="array" ref="B2496">_xlfn.XLOOKUP(C2496, INDEX([1]!카테고리매핑,,2), INDEX([1]!카테고리매핑,,1), "미등록 카테고리")</f>
        <v>조미료</v>
      </c>
      <c r="C2496" t="s">
        <v>127</v>
      </c>
      <c r="D2496" t="str">
        <f>VLOOKUP(C2496, '[1]VLOOKUP 함수용 카테고리'!$A$1:$B$59, 2, 0)</f>
        <v>SAUCE_SEASONING</v>
      </c>
      <c r="E2496" t="s">
        <v>1263</v>
      </c>
      <c r="F2496" t="s">
        <v>4291</v>
      </c>
    </row>
    <row r="2497" spans="1:6" x14ac:dyDescent="0.3">
      <c r="A2497" t="s">
        <v>4292</v>
      </c>
      <c r="B2497" t="str" cm="1">
        <f t="array" ref="B2497">_xlfn.XLOOKUP(C2497, INDEX([1]!카테고리매핑,,2), INDEX([1]!카테고리매핑,,1), "미등록 카테고리")</f>
        <v>미등록 카테고리</v>
      </c>
      <c r="C2497" t="s">
        <v>334</v>
      </c>
      <c r="D2497" t="str">
        <f>VLOOKUP(C2497, '[1]VLOOKUP 함수용 카테고리'!$A$1:$B$59, 2, 0)</f>
        <v>UNKNOWN</v>
      </c>
      <c r="E2497" t="s">
        <v>334</v>
      </c>
      <c r="F2497" t="s">
        <v>4293</v>
      </c>
    </row>
    <row r="2498" spans="1:6" x14ac:dyDescent="0.3">
      <c r="A2498" t="s">
        <v>4294</v>
      </c>
      <c r="B2498" t="str" cm="1">
        <f t="array" ref="B2498">_xlfn.XLOOKUP(C2498, INDEX([1]!카테고리매핑,,2), INDEX([1]!카테고리매핑,,1), "미등록 카테고리")</f>
        <v>간식류</v>
      </c>
      <c r="C2498" t="s">
        <v>11</v>
      </c>
      <c r="D2498" t="str">
        <f>VLOOKUP(C2498, '[1]VLOOKUP 함수용 카테고리'!$A$1:$B$59, 2, 0)</f>
        <v>SNACK</v>
      </c>
      <c r="E2498" t="s">
        <v>2698</v>
      </c>
      <c r="F2498" t="s">
        <v>1723</v>
      </c>
    </row>
    <row r="2499" spans="1:6" x14ac:dyDescent="0.3">
      <c r="A2499" t="s">
        <v>4295</v>
      </c>
      <c r="B2499" t="str" cm="1">
        <f t="array" ref="B2499">_xlfn.XLOOKUP(C2499, INDEX([1]!카테고리매핑,,2), INDEX([1]!카테고리매핑,,1), "미등록 카테고리")</f>
        <v>육류/계란</v>
      </c>
      <c r="C2499" t="s">
        <v>34</v>
      </c>
      <c r="D2499" t="str">
        <f>VLOOKUP(C2499, '[1]VLOOKUP 함수용 카테고리'!$A$1:$B$59, 2, 0)</f>
        <v>RAW_MEAT</v>
      </c>
      <c r="E2499" t="s">
        <v>2294</v>
      </c>
      <c r="F2499" t="s">
        <v>1982</v>
      </c>
    </row>
    <row r="2500" spans="1:6" x14ac:dyDescent="0.3">
      <c r="A2500" t="s">
        <v>4296</v>
      </c>
      <c r="B2500" t="str" cm="1">
        <f t="array" ref="B2500">_xlfn.XLOOKUP(C2500, INDEX([1]!카테고리매핑,,2), INDEX([1]!카테고리매핑,,1), "미등록 카테고리")</f>
        <v>간식류</v>
      </c>
      <c r="C2500" t="s">
        <v>38</v>
      </c>
      <c r="D2500" t="str">
        <f>VLOOKUP(C2500, '[1]VLOOKUP 함수용 카테고리'!$A$1:$B$59, 2, 0)</f>
        <v>SNACK</v>
      </c>
      <c r="E2500" t="s">
        <v>179</v>
      </c>
      <c r="F2500" t="s">
        <v>7776</v>
      </c>
    </row>
    <row r="2501" spans="1:6" x14ac:dyDescent="0.3">
      <c r="A2501" t="s">
        <v>4297</v>
      </c>
      <c r="B2501" t="str" cm="1">
        <f t="array" ref="B2501">_xlfn.XLOOKUP(C2501, INDEX([1]!카테고리매핑,,2), INDEX([1]!카테고리매핑,,1), "미등록 카테고리")</f>
        <v>간식류</v>
      </c>
      <c r="C2501" t="s">
        <v>38</v>
      </c>
      <c r="D2501" t="str">
        <f>VLOOKUP(C2501, '[1]VLOOKUP 함수용 카테고리'!$A$1:$B$59, 2, 0)</f>
        <v>SNACK</v>
      </c>
      <c r="E2501" t="s">
        <v>4298</v>
      </c>
      <c r="F2501" t="s">
        <v>2115</v>
      </c>
    </row>
    <row r="2502" spans="1:6" x14ac:dyDescent="0.3">
      <c r="A2502" t="s">
        <v>4299</v>
      </c>
      <c r="B2502" t="str" cm="1">
        <f t="array" ref="B2502">_xlfn.XLOOKUP(C2502, INDEX([1]!카테고리매핑,,2), INDEX([1]!카테고리매핑,,1), "미등록 카테고리")</f>
        <v>간식류</v>
      </c>
      <c r="C2502" t="s">
        <v>11</v>
      </c>
      <c r="D2502" t="str">
        <f>VLOOKUP(C2502, '[1]VLOOKUP 함수용 카테고리'!$A$1:$B$59, 2, 0)</f>
        <v>SNACK</v>
      </c>
      <c r="E2502" t="s">
        <v>701</v>
      </c>
      <c r="F2502" t="s">
        <v>246</v>
      </c>
    </row>
    <row r="2503" spans="1:6" x14ac:dyDescent="0.3">
      <c r="A2503" t="s">
        <v>4300</v>
      </c>
      <c r="B2503" t="str" cm="1">
        <f t="array" ref="B2503">_xlfn.XLOOKUP(C2503, INDEX([1]!카테고리매핑,,2), INDEX([1]!카테고리매핑,,1), "미등록 카테고리")</f>
        <v>육류/계란</v>
      </c>
      <c r="C2503" t="s">
        <v>149</v>
      </c>
      <c r="D2503" t="str">
        <f>VLOOKUP(C2503, '[1]VLOOKUP 함수용 카테고리'!$A$1:$B$59, 2, 0)</f>
        <v>RAW_MEAT</v>
      </c>
      <c r="E2503" t="s">
        <v>4301</v>
      </c>
      <c r="F2503" t="s">
        <v>4302</v>
      </c>
    </row>
    <row r="2504" spans="1:6" x14ac:dyDescent="0.3">
      <c r="A2504" t="s">
        <v>4303</v>
      </c>
      <c r="B2504" t="str" cm="1">
        <f t="array" ref="B2504">_xlfn.XLOOKUP(C2504, INDEX([1]!카테고리매핑,,2), INDEX([1]!카테고리매핑,,1), "미등록 카테고리")</f>
        <v>미등록 카테고리</v>
      </c>
      <c r="C2504" t="s">
        <v>334</v>
      </c>
      <c r="D2504" t="str">
        <f>VLOOKUP(C2504, '[1]VLOOKUP 함수용 카테고리'!$A$1:$B$59, 2, 0)</f>
        <v>UNKNOWN</v>
      </c>
      <c r="E2504" t="s">
        <v>334</v>
      </c>
    </row>
    <row r="2505" spans="1:6" x14ac:dyDescent="0.3">
      <c r="A2505" t="s">
        <v>4304</v>
      </c>
      <c r="B2505" t="str" cm="1">
        <f t="array" ref="B2505">_xlfn.XLOOKUP(C2505, INDEX([1]!카테고리매핑,,2), INDEX([1]!카테고리매핑,,1), "미등록 카테고리")</f>
        <v>과일/견과류</v>
      </c>
      <c r="C2505" t="s">
        <v>654</v>
      </c>
      <c r="D2505" t="str">
        <f>VLOOKUP(C2505, '[1]VLOOKUP 함수용 카테고리'!$A$1:$B$59, 2, 0)</f>
        <v>RAW_FRUIT</v>
      </c>
      <c r="E2505" t="s">
        <v>1008</v>
      </c>
    </row>
    <row r="2506" spans="1:6" x14ac:dyDescent="0.3">
      <c r="A2506" t="s">
        <v>4305</v>
      </c>
      <c r="B2506" t="str" cm="1">
        <f t="array" ref="B2506">_xlfn.XLOOKUP(C2506, INDEX([1]!카테고리매핑,,2), INDEX([1]!카테고리매핑,,1), "미등록 카테고리")</f>
        <v>간식류</v>
      </c>
      <c r="C2506" t="s">
        <v>15</v>
      </c>
      <c r="D2506" t="str">
        <f>VLOOKUP(C2506, '[1]VLOOKUP 함수용 카테고리'!$A$1:$B$59, 2, 0)</f>
        <v>BAKERY</v>
      </c>
      <c r="E2506" t="s">
        <v>16</v>
      </c>
      <c r="F2506" t="s">
        <v>3700</v>
      </c>
    </row>
    <row r="2507" spans="1:6" x14ac:dyDescent="0.3">
      <c r="A2507" t="s">
        <v>4306</v>
      </c>
      <c r="B2507" t="str" cm="1">
        <f t="array" ref="B2507">_xlfn.XLOOKUP(C2507, INDEX([1]!카테고리매핑,,2), INDEX([1]!카테고리매핑,,1), "미등록 카테고리")</f>
        <v>수산물</v>
      </c>
      <c r="C2507" t="s">
        <v>1673</v>
      </c>
      <c r="D2507" t="str">
        <f>VLOOKUP(C2507, '[1]VLOOKUP 함수용 카테고리'!$A$1:$B$59, 2, 0)</f>
        <v>RAW_SEAFOOD</v>
      </c>
      <c r="E2507" t="s">
        <v>1674</v>
      </c>
      <c r="F2507" t="s">
        <v>1675</v>
      </c>
    </row>
    <row r="2508" spans="1:6" x14ac:dyDescent="0.3">
      <c r="A2508" t="s">
        <v>4307</v>
      </c>
      <c r="B2508" t="str" cm="1">
        <f t="array" ref="B2508">_xlfn.XLOOKUP(C2508, INDEX([1]!카테고리매핑,,2), INDEX([1]!카테고리매핑,,1), "미등록 카테고리")</f>
        <v>간편식</v>
      </c>
      <c r="C2508" t="s">
        <v>46</v>
      </c>
      <c r="D2508" t="str">
        <f>VLOOKUP(C2508, '[1]VLOOKUP 함수용 카테고리'!$A$1:$B$59, 2, 0)</f>
        <v>RTC_MEAL</v>
      </c>
      <c r="E2508" t="s">
        <v>46</v>
      </c>
      <c r="F2508" t="s">
        <v>4308</v>
      </c>
    </row>
    <row r="2509" spans="1:6" x14ac:dyDescent="0.3">
      <c r="A2509" t="s">
        <v>4309</v>
      </c>
      <c r="B2509" t="str" cm="1">
        <f t="array" ref="B2509">_xlfn.XLOOKUP(C2509, INDEX([1]!카테고리매핑,,2), INDEX([1]!카테고리매핑,,1), "미등록 카테고리")</f>
        <v>채소/곡물류</v>
      </c>
      <c r="C2509" t="s">
        <v>7</v>
      </c>
      <c r="D2509" t="str">
        <f>VLOOKUP(C2509, '[1]VLOOKUP 함수용 카테고리'!$A$1:$B$59, 2, 0)</f>
        <v>RAW_PRODUCE</v>
      </c>
      <c r="E2509" t="s">
        <v>4310</v>
      </c>
    </row>
    <row r="2510" spans="1:6" x14ac:dyDescent="0.3">
      <c r="A2510" t="s">
        <v>4311</v>
      </c>
      <c r="B2510" t="str" cm="1">
        <f t="array" ref="B2510">_xlfn.XLOOKUP(C2510, INDEX([1]!카테고리매핑,,2), INDEX([1]!카테고리매핑,,1), "미등록 카테고리")</f>
        <v>간편식</v>
      </c>
      <c r="C2510" t="s">
        <v>256</v>
      </c>
      <c r="D2510" t="str">
        <f>VLOOKUP(C2510, '[1]VLOOKUP 함수용 카테고리'!$A$1:$B$59, 2, 0)</f>
        <v>RTC_MEAL</v>
      </c>
      <c r="E2510" t="s">
        <v>256</v>
      </c>
      <c r="F2510" t="s">
        <v>577</v>
      </c>
    </row>
    <row r="2511" spans="1:6" x14ac:dyDescent="0.3">
      <c r="A2511" t="s">
        <v>4312</v>
      </c>
      <c r="B2511" t="str" cm="1">
        <f t="array" ref="B2511">_xlfn.XLOOKUP(C2511, INDEX([1]!카테고리매핑,,2), INDEX([1]!카테고리매핑,,1), "미등록 카테고리")</f>
        <v>육류/계란</v>
      </c>
      <c r="C2511" t="s">
        <v>298</v>
      </c>
      <c r="D2511" t="str">
        <f>VLOOKUP(C2511, '[1]VLOOKUP 함수용 카테고리'!$A$1:$B$59, 2, 0)</f>
        <v>RAW_MEAT</v>
      </c>
      <c r="E2511" t="s">
        <v>298</v>
      </c>
      <c r="F2511" t="s">
        <v>2797</v>
      </c>
    </row>
    <row r="2512" spans="1:6" x14ac:dyDescent="0.3">
      <c r="A2512" t="s">
        <v>4313</v>
      </c>
      <c r="B2512" t="str" cm="1">
        <f t="array" ref="B2512">_xlfn.XLOOKUP(C2512, INDEX([1]!카테고리매핑,,2), INDEX([1]!카테고리매핑,,1), "미등록 카테고리")</f>
        <v>과일/견과류</v>
      </c>
      <c r="C2512" t="s">
        <v>654</v>
      </c>
      <c r="D2512" t="str">
        <f>VLOOKUP(C2512, '[1]VLOOKUP 함수용 카테고리'!$A$1:$B$59, 2, 0)</f>
        <v>RAW_FRUIT</v>
      </c>
      <c r="E2512" t="s">
        <v>1201</v>
      </c>
    </row>
    <row r="2513" spans="1:6" x14ac:dyDescent="0.3">
      <c r="A2513" t="s">
        <v>4314</v>
      </c>
      <c r="B2513" t="str" cm="1">
        <f t="array" ref="B2513">_xlfn.XLOOKUP(C2513, INDEX([1]!카테고리매핑,,2), INDEX([1]!카테고리매핑,,1), "미등록 카테고리")</f>
        <v>간식류</v>
      </c>
      <c r="C2513" t="s">
        <v>15</v>
      </c>
      <c r="D2513" t="str">
        <f>VLOOKUP(C2513, '[1]VLOOKUP 함수용 카테고리'!$A$1:$B$59, 2, 0)</f>
        <v>BAKERY</v>
      </c>
      <c r="E2513" t="s">
        <v>4315</v>
      </c>
      <c r="F2513" t="s">
        <v>174</v>
      </c>
    </row>
    <row r="2514" spans="1:6" x14ac:dyDescent="0.3">
      <c r="A2514" t="s">
        <v>4316</v>
      </c>
      <c r="B2514" t="str" cm="1">
        <f t="array" ref="B2514">_xlfn.XLOOKUP(C2514, INDEX([1]!카테고리매핑,,2), INDEX([1]!카테고리매핑,,1), "미등록 카테고리")</f>
        <v>채소/곡물류</v>
      </c>
      <c r="C2514" t="s">
        <v>7</v>
      </c>
      <c r="D2514" t="str">
        <f>VLOOKUP(C2514, '[1]VLOOKUP 함수용 카테고리'!$A$1:$B$59, 2, 0)</f>
        <v>RAW_PRODUCE</v>
      </c>
      <c r="E2514" t="s">
        <v>960</v>
      </c>
      <c r="F2514" t="s">
        <v>7752</v>
      </c>
    </row>
    <row r="2515" spans="1:6" x14ac:dyDescent="0.3">
      <c r="A2515" t="s">
        <v>4317</v>
      </c>
      <c r="B2515" t="str" cm="1">
        <f t="array" ref="B2515">_xlfn.XLOOKUP(C2515, INDEX([1]!카테고리매핑,,2), INDEX([1]!카테고리매핑,,1), "미등록 카테고리")</f>
        <v>미등록 카테고리</v>
      </c>
      <c r="C2515" t="s">
        <v>334</v>
      </c>
      <c r="D2515" t="str">
        <f>VLOOKUP(C2515, '[1]VLOOKUP 함수용 카테고리'!$A$1:$B$59, 2, 0)</f>
        <v>UNKNOWN</v>
      </c>
      <c r="E2515" t="s">
        <v>334</v>
      </c>
      <c r="F2515" t="s">
        <v>4318</v>
      </c>
    </row>
    <row r="2516" spans="1:6" x14ac:dyDescent="0.3">
      <c r="A2516" t="s">
        <v>4319</v>
      </c>
      <c r="B2516" t="str" cm="1">
        <f t="array" ref="B2516">_xlfn.XLOOKUP(C2516, INDEX([1]!카테고리매핑,,2), INDEX([1]!카테고리매핑,,1), "미등록 카테고리")</f>
        <v>조미료</v>
      </c>
      <c r="C2516" t="s">
        <v>558</v>
      </c>
      <c r="D2516" t="str">
        <f>VLOOKUP(C2516, '[1]VLOOKUP 함수용 카테고리'!$A$1:$B$59, 2, 0)</f>
        <v>SAUCE_SEASONING</v>
      </c>
      <c r="E2516" t="s">
        <v>956</v>
      </c>
      <c r="F2516" t="s">
        <v>4320</v>
      </c>
    </row>
    <row r="2517" spans="1:6" x14ac:dyDescent="0.3">
      <c r="A2517" t="s">
        <v>4321</v>
      </c>
      <c r="B2517" t="str" cm="1">
        <f t="array" ref="B2517">_xlfn.XLOOKUP(C2517, INDEX([1]!카테고리매핑,,2), INDEX([1]!카테고리매핑,,1), "미등록 카테고리")</f>
        <v>수산물</v>
      </c>
      <c r="C2517" t="s">
        <v>183</v>
      </c>
      <c r="D2517" t="str">
        <f>VLOOKUP(C2517, '[1]VLOOKUP 함수용 카테고리'!$A$1:$B$59, 2, 0)</f>
        <v>DRIED_SEAFOOD</v>
      </c>
      <c r="E2517" t="s">
        <v>466</v>
      </c>
      <c r="F2517" t="s">
        <v>269</v>
      </c>
    </row>
    <row r="2518" spans="1:6" x14ac:dyDescent="0.3">
      <c r="A2518" t="s">
        <v>4322</v>
      </c>
      <c r="B2518" t="str" cm="1">
        <f t="array" ref="B2518">_xlfn.XLOOKUP(C2518, INDEX([1]!카테고리매핑,,2), INDEX([1]!카테고리매핑,,1), "미등록 카테고리")</f>
        <v>채소/곡물류</v>
      </c>
      <c r="C2518" t="s">
        <v>7</v>
      </c>
      <c r="D2518" t="str">
        <f>VLOOKUP(C2518, '[1]VLOOKUP 함수용 카테고리'!$A$1:$B$59, 2, 0)</f>
        <v>RAW_PRODUCE</v>
      </c>
      <c r="E2518" t="s">
        <v>4323</v>
      </c>
      <c r="F2518" t="s">
        <v>2983</v>
      </c>
    </row>
    <row r="2519" spans="1:6" x14ac:dyDescent="0.3">
      <c r="A2519" t="s">
        <v>4324</v>
      </c>
      <c r="B2519" t="str" cm="1">
        <f t="array" ref="B2519">_xlfn.XLOOKUP(C2519, INDEX([1]!카테고리매핑,,2), INDEX([1]!카테고리매핑,,1), "미등록 카테고리")</f>
        <v>조미료</v>
      </c>
      <c r="C2519" t="s">
        <v>127</v>
      </c>
      <c r="D2519" t="str">
        <f>VLOOKUP(C2519, '[1]VLOOKUP 함수용 카테고리'!$A$1:$B$59, 2, 0)</f>
        <v>SAUCE_SEASONING</v>
      </c>
      <c r="E2519" t="s">
        <v>1441</v>
      </c>
      <c r="F2519" t="s">
        <v>1442</v>
      </c>
    </row>
    <row r="2520" spans="1:6" x14ac:dyDescent="0.3">
      <c r="A2520" t="s">
        <v>4325</v>
      </c>
      <c r="B2520" t="str" cm="1">
        <f t="array" ref="B2520">_xlfn.XLOOKUP(C2520, INDEX([1]!카테고리매핑,,2), INDEX([1]!카테고리매핑,,1), "미등록 카테고리")</f>
        <v>간편식</v>
      </c>
      <c r="C2520" t="s">
        <v>19</v>
      </c>
      <c r="D2520" t="str">
        <f>VLOOKUP(C2520, '[1]VLOOKUP 함수용 카테고리'!$A$1:$B$59, 2, 0)</f>
        <v>FROZEN_MEAL</v>
      </c>
      <c r="E2520" t="s">
        <v>832</v>
      </c>
      <c r="F2520" t="s">
        <v>1515</v>
      </c>
    </row>
    <row r="2521" spans="1:6" x14ac:dyDescent="0.3">
      <c r="A2521" t="s">
        <v>4326</v>
      </c>
      <c r="B2521" t="str" cm="1">
        <f t="array" ref="B2521">_xlfn.XLOOKUP(C2521, INDEX([1]!카테고리매핑,,2), INDEX([1]!카테고리매핑,,1), "미등록 카테고리")</f>
        <v>육류/계란</v>
      </c>
      <c r="C2521" t="s">
        <v>105</v>
      </c>
      <c r="D2521" t="str">
        <f>VLOOKUP(C2521, '[1]VLOOKUP 함수용 카테고리'!$A$1:$B$59, 2, 0)</f>
        <v>RAW_MEAT</v>
      </c>
      <c r="E2521" t="s">
        <v>1475</v>
      </c>
      <c r="F2521" t="s">
        <v>254</v>
      </c>
    </row>
    <row r="2522" spans="1:6" x14ac:dyDescent="0.3">
      <c r="A2522" t="s">
        <v>4327</v>
      </c>
      <c r="B2522" t="str" cm="1">
        <f t="array" ref="B2522">_xlfn.XLOOKUP(C2522, INDEX([1]!카테고리매핑,,2), INDEX([1]!카테고리매핑,,1), "미등록 카테고리")</f>
        <v>육류/계란</v>
      </c>
      <c r="C2522" t="s">
        <v>149</v>
      </c>
      <c r="D2522" t="str">
        <f>VLOOKUP(C2522, '[1]VLOOKUP 함수용 카테고리'!$A$1:$B$59, 2, 0)</f>
        <v>RAW_MEAT</v>
      </c>
      <c r="E2522" t="s">
        <v>4328</v>
      </c>
      <c r="F2522" t="s">
        <v>303</v>
      </c>
    </row>
    <row r="2523" spans="1:6" x14ac:dyDescent="0.3">
      <c r="A2523" t="s">
        <v>4329</v>
      </c>
      <c r="B2523" t="str" cm="1">
        <f t="array" ref="B2523">_xlfn.XLOOKUP(C2523, INDEX([1]!카테고리매핑,,2), INDEX([1]!카테고리매핑,,1), "미등록 카테고리")</f>
        <v>간식류</v>
      </c>
      <c r="C2523" t="s">
        <v>63</v>
      </c>
      <c r="D2523" t="str">
        <f>VLOOKUP(C2523, '[1]VLOOKUP 함수용 카테고리'!$A$1:$B$59, 2, 0)</f>
        <v>BAKERY</v>
      </c>
      <c r="E2523" t="s">
        <v>513</v>
      </c>
      <c r="F2523" t="s">
        <v>401</v>
      </c>
    </row>
    <row r="2524" spans="1:6" x14ac:dyDescent="0.3">
      <c r="A2524" t="s">
        <v>4330</v>
      </c>
      <c r="B2524" t="str" cm="1">
        <f t="array" ref="B2524">_xlfn.XLOOKUP(C2524, INDEX([1]!카테고리매핑,,2), INDEX([1]!카테고리매핑,,1), "미등록 카테고리")</f>
        <v>간편식</v>
      </c>
      <c r="C2524" t="s">
        <v>158</v>
      </c>
      <c r="D2524" t="str">
        <f>VLOOKUP(C2524, '[1]VLOOKUP 함수용 카테고리'!$A$1:$B$59, 2, 0)</f>
        <v>INSTANT</v>
      </c>
      <c r="E2524" t="s">
        <v>2153</v>
      </c>
      <c r="F2524" t="s">
        <v>129</v>
      </c>
    </row>
    <row r="2525" spans="1:6" x14ac:dyDescent="0.3">
      <c r="A2525" t="s">
        <v>4331</v>
      </c>
      <c r="B2525" t="str" cm="1">
        <f t="array" ref="B2525">_xlfn.XLOOKUP(C2525, INDEX([1]!카테고리매핑,,2), INDEX([1]!카테고리매핑,,1), "미등록 카테고리")</f>
        <v>간식류</v>
      </c>
      <c r="C2525" t="s">
        <v>63</v>
      </c>
      <c r="D2525" t="str">
        <f>VLOOKUP(C2525, '[1]VLOOKUP 함수용 카테고리'!$A$1:$B$59, 2, 0)</f>
        <v>BAKERY</v>
      </c>
      <c r="E2525" t="s">
        <v>4332</v>
      </c>
      <c r="F2525" t="s">
        <v>1552</v>
      </c>
    </row>
    <row r="2526" spans="1:6" x14ac:dyDescent="0.3">
      <c r="A2526" t="s">
        <v>4333</v>
      </c>
      <c r="B2526" t="str" cm="1">
        <f t="array" ref="B2526">_xlfn.XLOOKUP(C2526, INDEX([1]!카테고리매핑,,2), INDEX([1]!카테고리매핑,,1), "미등록 카테고리")</f>
        <v>간편식</v>
      </c>
      <c r="C2526" t="s">
        <v>167</v>
      </c>
      <c r="D2526" t="str">
        <f>VLOOKUP(C2526, '[1]VLOOKUP 함수용 카테고리'!$A$1:$B$59, 2, 0)</f>
        <v>INSTANT</v>
      </c>
      <c r="E2526" t="s">
        <v>1949</v>
      </c>
      <c r="F2526" t="s">
        <v>129</v>
      </c>
    </row>
    <row r="2527" spans="1:6" x14ac:dyDescent="0.3">
      <c r="A2527" t="s">
        <v>4334</v>
      </c>
      <c r="B2527" t="str" cm="1">
        <f t="array" ref="B2527">_xlfn.XLOOKUP(C2527, INDEX([1]!카테고리매핑,,2), INDEX([1]!카테고리매핑,,1), "미등록 카테고리")</f>
        <v>육류/계란</v>
      </c>
      <c r="C2527" t="s">
        <v>298</v>
      </c>
      <c r="D2527" t="str">
        <f>VLOOKUP(C2527, '[1]VLOOKUP 함수용 카테고리'!$A$1:$B$59, 2, 0)</f>
        <v>RAW_MEAT</v>
      </c>
      <c r="E2527" t="s">
        <v>570</v>
      </c>
      <c r="F2527" t="s">
        <v>760</v>
      </c>
    </row>
    <row r="2528" spans="1:6" x14ac:dyDescent="0.3">
      <c r="A2528" t="s">
        <v>4335</v>
      </c>
      <c r="B2528" t="str" cm="1">
        <f t="array" ref="B2528">_xlfn.XLOOKUP(C2528, INDEX([1]!카테고리매핑,,2), INDEX([1]!카테고리매핑,,1), "미등록 카테고리")</f>
        <v>간편식</v>
      </c>
      <c r="C2528" t="s">
        <v>131</v>
      </c>
      <c r="D2528" t="str">
        <f>VLOOKUP(C2528, '[1]VLOOKUP 함수용 카테고리'!$A$1:$B$59, 2, 0)</f>
        <v>SIMPLE_PROCESSED</v>
      </c>
      <c r="E2528" t="s">
        <v>2239</v>
      </c>
      <c r="F2528" t="s">
        <v>133</v>
      </c>
    </row>
    <row r="2529" spans="1:6" x14ac:dyDescent="0.3">
      <c r="A2529" t="s">
        <v>4336</v>
      </c>
      <c r="B2529" t="str" cm="1">
        <f t="array" ref="B2529">_xlfn.XLOOKUP(C2529, INDEX([1]!카테고리매핑,,2), INDEX([1]!카테고리매핑,,1), "미등록 카테고리")</f>
        <v>미등록 카테고리</v>
      </c>
      <c r="C2529" t="s">
        <v>334</v>
      </c>
      <c r="D2529" t="str">
        <f>VLOOKUP(C2529, '[1]VLOOKUP 함수용 카테고리'!$A$1:$B$59, 2, 0)</f>
        <v>UNKNOWN</v>
      </c>
      <c r="E2529" t="s">
        <v>334</v>
      </c>
      <c r="F2529" t="s">
        <v>3201</v>
      </c>
    </row>
    <row r="2530" spans="1:6" x14ac:dyDescent="0.3">
      <c r="A2530" t="s">
        <v>4337</v>
      </c>
      <c r="B2530" t="str" cm="1">
        <f t="array" ref="B2530">_xlfn.XLOOKUP(C2530, INDEX([1]!카테고리매핑,,2), INDEX([1]!카테고리매핑,,1), "미등록 카테고리")</f>
        <v>채소/곡물류</v>
      </c>
      <c r="C2530" t="s">
        <v>207</v>
      </c>
      <c r="D2530" t="str">
        <f>VLOOKUP(C2530, '[1]VLOOKUP 함수용 카테고리'!$A$1:$B$59, 2, 0)</f>
        <v>GRAIN</v>
      </c>
      <c r="E2530" t="s">
        <v>2588</v>
      </c>
      <c r="F2530" t="s">
        <v>381</v>
      </c>
    </row>
    <row r="2531" spans="1:6" x14ac:dyDescent="0.3">
      <c r="A2531" t="s">
        <v>4338</v>
      </c>
      <c r="B2531" t="str" cm="1">
        <f t="array" ref="B2531">_xlfn.XLOOKUP(C2531, INDEX([1]!카테고리매핑,,2), INDEX([1]!카테고리매핑,,1), "미등록 카테고리")</f>
        <v>미등록 카테고리</v>
      </c>
      <c r="C2531" t="s">
        <v>334</v>
      </c>
      <c r="D2531" t="str">
        <f>VLOOKUP(C2531, '[1]VLOOKUP 함수용 카테고리'!$A$1:$B$59, 2, 0)</f>
        <v>UNKNOWN</v>
      </c>
      <c r="E2531" t="s">
        <v>334</v>
      </c>
    </row>
    <row r="2532" spans="1:6" x14ac:dyDescent="0.3">
      <c r="A2532" t="s">
        <v>4339</v>
      </c>
      <c r="B2532" t="str" cm="1">
        <f t="array" ref="B2532">_xlfn.XLOOKUP(C2532, INDEX([1]!카테고리매핑,,2), INDEX([1]!카테고리매핑,,1), "미등록 카테고리")</f>
        <v>수산물</v>
      </c>
      <c r="C2532" t="s">
        <v>140</v>
      </c>
      <c r="D2532" t="str">
        <f>VLOOKUP(C2532, '[1]VLOOKUP 함수용 카테고리'!$A$1:$B$59, 2, 0)</f>
        <v>SIMPLE_PROCESSED</v>
      </c>
      <c r="E2532" t="s">
        <v>141</v>
      </c>
      <c r="F2532" t="s">
        <v>1490</v>
      </c>
    </row>
    <row r="2533" spans="1:6" x14ac:dyDescent="0.3">
      <c r="A2533" t="s">
        <v>4340</v>
      </c>
      <c r="B2533" t="str" cm="1">
        <f t="array" ref="B2533">_xlfn.XLOOKUP(C2533, INDEX([1]!카테고리매핑,,2), INDEX([1]!카테고리매핑,,1), "미등록 카테고리")</f>
        <v>조미료</v>
      </c>
      <c r="C2533" t="s">
        <v>558</v>
      </c>
      <c r="D2533" t="str">
        <f>VLOOKUP(C2533, '[1]VLOOKUP 함수용 카테고리'!$A$1:$B$59, 2, 0)</f>
        <v>SAUCE_SEASONING</v>
      </c>
      <c r="E2533" t="s">
        <v>559</v>
      </c>
      <c r="F2533" t="s">
        <v>4341</v>
      </c>
    </row>
    <row r="2534" spans="1:6" x14ac:dyDescent="0.3">
      <c r="A2534" t="s">
        <v>4342</v>
      </c>
      <c r="B2534" t="str" cm="1">
        <f t="array" ref="B2534">_xlfn.XLOOKUP(C2534, INDEX([1]!카테고리매핑,,2), INDEX([1]!카테고리매핑,,1), "미등록 카테고리")</f>
        <v>조미료</v>
      </c>
      <c r="C2534" t="s">
        <v>127</v>
      </c>
      <c r="D2534" t="str">
        <f>VLOOKUP(C2534, '[1]VLOOKUP 함수용 카테고리'!$A$1:$B$59, 2, 0)</f>
        <v>SAUCE_SEASONING</v>
      </c>
      <c r="E2534" t="s">
        <v>248</v>
      </c>
      <c r="F2534" t="s">
        <v>7777</v>
      </c>
    </row>
    <row r="2535" spans="1:6" x14ac:dyDescent="0.3">
      <c r="A2535" t="s">
        <v>4343</v>
      </c>
      <c r="B2535" t="str" cm="1">
        <f t="array" ref="B2535">_xlfn.XLOOKUP(C2535, INDEX([1]!카테고리매핑,,2), INDEX([1]!카테고리매핑,,1), "미등록 카테고리")</f>
        <v>술</v>
      </c>
      <c r="C2535" t="s">
        <v>42</v>
      </c>
      <c r="D2535" t="str">
        <f>VLOOKUP(C2535, '[1]VLOOKUP 함수용 카테고리'!$A$1:$B$59, 2, 0)</f>
        <v>ALCOHOL</v>
      </c>
      <c r="E2535" t="s">
        <v>43</v>
      </c>
    </row>
    <row r="2536" spans="1:6" x14ac:dyDescent="0.3">
      <c r="A2536" t="s">
        <v>4344</v>
      </c>
      <c r="B2536" t="str" cm="1">
        <f t="array" ref="B2536">_xlfn.XLOOKUP(C2536, INDEX([1]!카테고리매핑,,2), INDEX([1]!카테고리매핑,,1), "미등록 카테고리")</f>
        <v>술</v>
      </c>
      <c r="C2536" t="s">
        <v>42</v>
      </c>
      <c r="D2536" t="str">
        <f>VLOOKUP(C2536, '[1]VLOOKUP 함수용 카테고리'!$A$1:$B$59, 2, 0)</f>
        <v>ALCOHOL</v>
      </c>
      <c r="E2536" t="s">
        <v>43</v>
      </c>
    </row>
    <row r="2537" spans="1:6" x14ac:dyDescent="0.3">
      <c r="A2537" t="s">
        <v>4345</v>
      </c>
      <c r="B2537" t="str" cm="1">
        <f t="array" ref="B2537">_xlfn.XLOOKUP(C2537, INDEX([1]!카테고리매핑,,2), INDEX([1]!카테고리매핑,,1), "미등록 카테고리")</f>
        <v>술</v>
      </c>
      <c r="C2537" t="s">
        <v>411</v>
      </c>
      <c r="D2537" t="str">
        <f>VLOOKUP(C2537, '[1]VLOOKUP 함수용 카테고리'!$A$1:$B$59, 2, 0)</f>
        <v>ALCOHOL</v>
      </c>
      <c r="E2537" t="s">
        <v>1159</v>
      </c>
      <c r="F2537" t="s">
        <v>411</v>
      </c>
    </row>
    <row r="2538" spans="1:6" x14ac:dyDescent="0.3">
      <c r="A2538" t="s">
        <v>4346</v>
      </c>
      <c r="B2538" t="str" cm="1">
        <f t="array" ref="B2538">_xlfn.XLOOKUP(C2538, INDEX([1]!카테고리매핑,,2), INDEX([1]!카테고리매핑,,1), "미등록 카테고리")</f>
        <v>간식류</v>
      </c>
      <c r="C2538" t="s">
        <v>11</v>
      </c>
      <c r="D2538" t="str">
        <f>VLOOKUP(C2538, '[1]VLOOKUP 함수용 카테고리'!$A$1:$B$59, 2, 0)</f>
        <v>SNACK</v>
      </c>
      <c r="E2538" t="s">
        <v>371</v>
      </c>
      <c r="F2538" t="s">
        <v>7778</v>
      </c>
    </row>
    <row r="2539" spans="1:6" x14ac:dyDescent="0.3">
      <c r="A2539" t="s">
        <v>4347</v>
      </c>
      <c r="B2539" t="str" cm="1">
        <f t="array" ref="B2539">_xlfn.XLOOKUP(C2539, INDEX([1]!카테고리매핑,,2), INDEX([1]!카테고리매핑,,1), "미등록 카테고리")</f>
        <v>간편식</v>
      </c>
      <c r="C2539" t="s">
        <v>131</v>
      </c>
      <c r="D2539" t="str">
        <f>VLOOKUP(C2539, '[1]VLOOKUP 함수용 카테고리'!$A$1:$B$59, 2, 0)</f>
        <v>SIMPLE_PROCESSED</v>
      </c>
      <c r="E2539" t="s">
        <v>418</v>
      </c>
      <c r="F2539" t="s">
        <v>1529</v>
      </c>
    </row>
    <row r="2540" spans="1:6" x14ac:dyDescent="0.3">
      <c r="A2540" t="s">
        <v>4348</v>
      </c>
      <c r="B2540" t="str" cm="1">
        <f t="array" ref="B2540">_xlfn.XLOOKUP(C2540, INDEX([1]!카테고리매핑,,2), INDEX([1]!카테고리매핑,,1), "미등록 카테고리")</f>
        <v>채소/곡물류</v>
      </c>
      <c r="C2540" t="s">
        <v>207</v>
      </c>
      <c r="D2540" t="str">
        <f>VLOOKUP(C2540, '[1]VLOOKUP 함수용 카테고리'!$A$1:$B$59, 2, 0)</f>
        <v>GRAIN</v>
      </c>
      <c r="E2540" t="s">
        <v>3049</v>
      </c>
      <c r="F2540" t="s">
        <v>4349</v>
      </c>
    </row>
    <row r="2541" spans="1:6" x14ac:dyDescent="0.3">
      <c r="A2541" t="s">
        <v>4350</v>
      </c>
      <c r="B2541" t="str" cm="1">
        <f t="array" ref="B2541">_xlfn.XLOOKUP(C2541, INDEX([1]!카테고리매핑,,2), INDEX([1]!카테고리매핑,,1), "미등록 카테고리")</f>
        <v>육류/계란</v>
      </c>
      <c r="C2541" t="s">
        <v>34</v>
      </c>
      <c r="D2541" t="str">
        <f>VLOOKUP(C2541, '[1]VLOOKUP 함수용 카테고리'!$A$1:$B$59, 2, 0)</f>
        <v>RAW_MEAT</v>
      </c>
      <c r="E2541" t="s">
        <v>35</v>
      </c>
      <c r="F2541" t="s">
        <v>4351</v>
      </c>
    </row>
    <row r="2542" spans="1:6" x14ac:dyDescent="0.3">
      <c r="A2542" t="s">
        <v>4352</v>
      </c>
      <c r="B2542" t="str" cm="1">
        <f t="array" ref="B2542">_xlfn.XLOOKUP(C2542, INDEX([1]!카테고리매핑,,2), INDEX([1]!카테고리매핑,,1), "미등록 카테고리")</f>
        <v>채소/곡물류</v>
      </c>
      <c r="C2542" t="s">
        <v>27</v>
      </c>
      <c r="D2542" t="str">
        <f>VLOOKUP(C2542, '[1]VLOOKUP 함수용 카테고리'!$A$1:$B$59, 2, 0)</f>
        <v>SIMPLE_PROCESSED</v>
      </c>
      <c r="E2542" t="s">
        <v>28</v>
      </c>
      <c r="F2542" t="s">
        <v>51</v>
      </c>
    </row>
    <row r="2543" spans="1:6" x14ac:dyDescent="0.3">
      <c r="A2543" t="s">
        <v>4353</v>
      </c>
      <c r="B2543" t="str" cm="1">
        <f t="array" ref="B2543">_xlfn.XLOOKUP(C2543, INDEX([1]!카테고리매핑,,2), INDEX([1]!카테고리매핑,,1), "미등록 카테고리")</f>
        <v>간식류</v>
      </c>
      <c r="C2543" t="s">
        <v>15</v>
      </c>
      <c r="D2543" t="str">
        <f>VLOOKUP(C2543, '[1]VLOOKUP 함수용 카테고리'!$A$1:$B$59, 2, 0)</f>
        <v>BAKERY</v>
      </c>
      <c r="E2543" t="s">
        <v>793</v>
      </c>
      <c r="F2543" t="s">
        <v>7779</v>
      </c>
    </row>
    <row r="2544" spans="1:6" x14ac:dyDescent="0.3">
      <c r="A2544" t="s">
        <v>4354</v>
      </c>
      <c r="B2544" t="str" cm="1">
        <f t="array" ref="B2544">_xlfn.XLOOKUP(C2544, INDEX([1]!카테고리매핑,,2), INDEX([1]!카테고리매핑,,1), "미등록 카테고리")</f>
        <v>육류/계란</v>
      </c>
      <c r="C2544" t="s">
        <v>298</v>
      </c>
      <c r="D2544" t="str">
        <f>VLOOKUP(C2544, '[1]VLOOKUP 함수용 카테고리'!$A$1:$B$59, 2, 0)</f>
        <v>RAW_MEAT</v>
      </c>
      <c r="E2544" t="s">
        <v>298</v>
      </c>
      <c r="F2544" t="s">
        <v>151</v>
      </c>
    </row>
    <row r="2545" spans="1:6" x14ac:dyDescent="0.3">
      <c r="A2545" t="s">
        <v>4355</v>
      </c>
      <c r="B2545" t="str" cm="1">
        <f t="array" ref="B2545">_xlfn.XLOOKUP(C2545, INDEX([1]!카테고리매핑,,2), INDEX([1]!카테고리매핑,,1), "미등록 카테고리")</f>
        <v>간편식</v>
      </c>
      <c r="C2545" t="s">
        <v>131</v>
      </c>
      <c r="D2545" t="str">
        <f>VLOOKUP(C2545, '[1]VLOOKUP 함수용 카테고리'!$A$1:$B$59, 2, 0)</f>
        <v>SIMPLE_PROCESSED</v>
      </c>
      <c r="E2545" t="s">
        <v>3216</v>
      </c>
      <c r="F2545" t="s">
        <v>2803</v>
      </c>
    </row>
    <row r="2546" spans="1:6" x14ac:dyDescent="0.3">
      <c r="A2546" t="s">
        <v>4356</v>
      </c>
      <c r="B2546" t="str" cm="1">
        <f t="array" ref="B2546">_xlfn.XLOOKUP(C2546, INDEX([1]!카테고리매핑,,2), INDEX([1]!카테고리매핑,,1), "미등록 카테고리")</f>
        <v>술</v>
      </c>
      <c r="C2546" t="s">
        <v>42</v>
      </c>
      <c r="D2546" t="str">
        <f>VLOOKUP(C2546, '[1]VLOOKUP 함수용 카테고리'!$A$1:$B$59, 2, 0)</f>
        <v>ALCOHOL</v>
      </c>
      <c r="E2546" t="s">
        <v>1334</v>
      </c>
      <c r="F2546" t="s">
        <v>4357</v>
      </c>
    </row>
    <row r="2547" spans="1:6" x14ac:dyDescent="0.3">
      <c r="A2547" t="s">
        <v>4358</v>
      </c>
      <c r="B2547" t="str" cm="1">
        <f t="array" ref="B2547">_xlfn.XLOOKUP(C2547, INDEX([1]!카테고리매핑,,2), INDEX([1]!카테고리매핑,,1), "미등록 카테고리")</f>
        <v>미등록 카테고리</v>
      </c>
      <c r="C2547" t="s">
        <v>334</v>
      </c>
      <c r="D2547" t="str">
        <f>VLOOKUP(C2547, '[1]VLOOKUP 함수용 카테고리'!$A$1:$B$59, 2, 0)</f>
        <v>UNKNOWN</v>
      </c>
      <c r="E2547" t="s">
        <v>334</v>
      </c>
      <c r="F2547" t="s">
        <v>4359</v>
      </c>
    </row>
    <row r="2548" spans="1:6" x14ac:dyDescent="0.3">
      <c r="A2548" t="s">
        <v>4360</v>
      </c>
      <c r="B2548" t="str" cm="1">
        <f t="array" ref="B2548">_xlfn.XLOOKUP(C2548, INDEX([1]!카테고리매핑,,2), INDEX([1]!카테고리매핑,,1), "미등록 카테고리")</f>
        <v>육류/계란</v>
      </c>
      <c r="C2548" t="s">
        <v>105</v>
      </c>
      <c r="D2548" t="str">
        <f>VLOOKUP(C2548, '[1]VLOOKUP 함수용 카테고리'!$A$1:$B$59, 2, 0)</f>
        <v>RAW_MEAT</v>
      </c>
      <c r="E2548" t="s">
        <v>469</v>
      </c>
      <c r="F2548" t="s">
        <v>4361</v>
      </c>
    </row>
    <row r="2549" spans="1:6" x14ac:dyDescent="0.3">
      <c r="A2549" t="s">
        <v>4362</v>
      </c>
      <c r="B2549" t="str" cm="1">
        <f t="array" ref="B2549">_xlfn.XLOOKUP(C2549, INDEX([1]!카테고리매핑,,2), INDEX([1]!카테고리매핑,,1), "미등록 카테고리")</f>
        <v>음료</v>
      </c>
      <c r="C2549" t="s">
        <v>23</v>
      </c>
      <c r="D2549" t="str">
        <f>VLOOKUP(C2549, '[1]VLOOKUP 함수용 카테고리'!$A$1:$B$59, 2, 0)</f>
        <v>BEVERAGE</v>
      </c>
      <c r="E2549" t="s">
        <v>24</v>
      </c>
      <c r="F2549" t="s">
        <v>503</v>
      </c>
    </row>
    <row r="2550" spans="1:6" x14ac:dyDescent="0.3">
      <c r="A2550" t="s">
        <v>4363</v>
      </c>
      <c r="B2550" t="str" cm="1">
        <f t="array" ref="B2550">_xlfn.XLOOKUP(C2550, INDEX([1]!카테고리매핑,,2), INDEX([1]!카테고리매핑,,1), "미등록 카테고리")</f>
        <v>간편식</v>
      </c>
      <c r="C2550" t="s">
        <v>131</v>
      </c>
      <c r="D2550" t="str">
        <f>VLOOKUP(C2550, '[1]VLOOKUP 함수용 카테고리'!$A$1:$B$59, 2, 0)</f>
        <v>SIMPLE_PROCESSED</v>
      </c>
      <c r="E2550" t="s">
        <v>4364</v>
      </c>
      <c r="F2550" t="s">
        <v>416</v>
      </c>
    </row>
    <row r="2551" spans="1:6" x14ac:dyDescent="0.3">
      <c r="A2551" t="s">
        <v>4365</v>
      </c>
      <c r="B2551" t="str" cm="1">
        <f t="array" ref="B2551">_xlfn.XLOOKUP(C2551, INDEX([1]!카테고리매핑,,2), INDEX([1]!카테고리매핑,,1), "미등록 카테고리")</f>
        <v>채소/곡물류</v>
      </c>
      <c r="C2551" t="s">
        <v>207</v>
      </c>
      <c r="D2551" t="str">
        <f>VLOOKUP(C2551, '[1]VLOOKUP 함수용 카테고리'!$A$1:$B$59, 2, 0)</f>
        <v>GRAIN</v>
      </c>
      <c r="E2551" t="s">
        <v>642</v>
      </c>
      <c r="F2551" t="s">
        <v>2726</v>
      </c>
    </row>
    <row r="2552" spans="1:6" x14ac:dyDescent="0.3">
      <c r="A2552" t="s">
        <v>4366</v>
      </c>
      <c r="B2552" t="str" cm="1">
        <f t="array" ref="B2552">_xlfn.XLOOKUP(C2552, INDEX([1]!카테고리매핑,,2), INDEX([1]!카테고리매핑,,1), "미등록 카테고리")</f>
        <v>음료</v>
      </c>
      <c r="C2552" t="s">
        <v>584</v>
      </c>
      <c r="D2552" t="str">
        <f>VLOOKUP(C2552, '[1]VLOOKUP 함수용 카테고리'!$A$1:$B$59, 2, 0)</f>
        <v>BEVERAGE</v>
      </c>
      <c r="E2552" t="s">
        <v>4367</v>
      </c>
      <c r="F2552" t="s">
        <v>4368</v>
      </c>
    </row>
    <row r="2553" spans="1:6" x14ac:dyDescent="0.3">
      <c r="A2553" t="s">
        <v>4369</v>
      </c>
      <c r="B2553" t="str" cm="1">
        <f t="array" ref="B2553">_xlfn.XLOOKUP(C2553, INDEX([1]!카테고리매핑,,2), INDEX([1]!카테고리매핑,,1), "미등록 카테고리")</f>
        <v>간편식</v>
      </c>
      <c r="C2553" t="s">
        <v>131</v>
      </c>
      <c r="D2553" t="str">
        <f>VLOOKUP(C2553, '[1]VLOOKUP 함수용 카테고리'!$A$1:$B$59, 2, 0)</f>
        <v>SIMPLE_PROCESSED</v>
      </c>
      <c r="E2553" t="s">
        <v>4370</v>
      </c>
      <c r="F2553" t="s">
        <v>416</v>
      </c>
    </row>
    <row r="2554" spans="1:6" x14ac:dyDescent="0.3">
      <c r="A2554" t="s">
        <v>4371</v>
      </c>
      <c r="B2554" t="str" cm="1">
        <f t="array" ref="B2554">_xlfn.XLOOKUP(C2554, INDEX([1]!카테고리매핑,,2), INDEX([1]!카테고리매핑,,1), "미등록 카테고리")</f>
        <v>수산물</v>
      </c>
      <c r="C2554" t="s">
        <v>203</v>
      </c>
      <c r="D2554" t="str">
        <f>VLOOKUP(C2554, '[1]VLOOKUP 함수용 카테고리'!$A$1:$B$59, 2, 0)</f>
        <v>RAW_SEAFOOD</v>
      </c>
      <c r="E2554" t="s">
        <v>204</v>
      </c>
    </row>
    <row r="2555" spans="1:6" x14ac:dyDescent="0.3">
      <c r="A2555" t="s">
        <v>4372</v>
      </c>
      <c r="B2555" t="str" cm="1">
        <f t="array" ref="B2555">_xlfn.XLOOKUP(C2555, INDEX([1]!카테고리매핑,,2), INDEX([1]!카테고리매핑,,1), "미등록 카테고리")</f>
        <v>조미료</v>
      </c>
      <c r="C2555" t="s">
        <v>117</v>
      </c>
      <c r="D2555" t="str">
        <f>VLOOKUP(C2555, '[1]VLOOKUP 함수용 카테고리'!$A$1:$B$59, 2, 0)</f>
        <v>SAUCE_SEASONING</v>
      </c>
      <c r="E2555" t="s">
        <v>2310</v>
      </c>
      <c r="F2555" t="s">
        <v>1452</v>
      </c>
    </row>
    <row r="2556" spans="1:6" x14ac:dyDescent="0.3">
      <c r="A2556" t="s">
        <v>4373</v>
      </c>
      <c r="B2556" t="str" cm="1">
        <f t="array" ref="B2556">_xlfn.XLOOKUP(C2556, INDEX([1]!카테고리매핑,,2), INDEX([1]!카테고리매핑,,1), "미등록 카테고리")</f>
        <v>유제품</v>
      </c>
      <c r="C2556" t="s">
        <v>98</v>
      </c>
      <c r="D2556" t="str">
        <f>VLOOKUP(C2556, '[1]VLOOKUP 함수용 카테고리'!$A$1:$B$59, 2, 0)</f>
        <v>DAIRY</v>
      </c>
      <c r="E2556" t="s">
        <v>4374</v>
      </c>
      <c r="F2556" t="s">
        <v>4375</v>
      </c>
    </row>
    <row r="2557" spans="1:6" x14ac:dyDescent="0.3">
      <c r="A2557" t="s">
        <v>4376</v>
      </c>
      <c r="B2557" t="str" cm="1">
        <f t="array" ref="B2557">_xlfn.XLOOKUP(C2557, INDEX([1]!카테고리매핑,,2), INDEX([1]!카테고리매핑,,1), "미등록 카테고리")</f>
        <v>조미료</v>
      </c>
      <c r="C2557" t="s">
        <v>84</v>
      </c>
      <c r="D2557" t="str">
        <f>VLOOKUP(C2557, '[1]VLOOKUP 함수용 카테고리'!$A$1:$B$59, 2, 0)</f>
        <v>SAUCE_SEASONING</v>
      </c>
      <c r="E2557" t="s">
        <v>85</v>
      </c>
      <c r="F2557" t="s">
        <v>365</v>
      </c>
    </row>
    <row r="2558" spans="1:6" x14ac:dyDescent="0.3">
      <c r="A2558" t="s">
        <v>4377</v>
      </c>
      <c r="B2558" t="str" cm="1">
        <f t="array" ref="B2558">_xlfn.XLOOKUP(C2558, INDEX([1]!카테고리매핑,,2), INDEX([1]!카테고리매핑,,1), "미등록 카테고리")</f>
        <v>간식류</v>
      </c>
      <c r="C2558" t="s">
        <v>11</v>
      </c>
      <c r="D2558" t="str">
        <f>VLOOKUP(C2558, '[1]VLOOKUP 함수용 카테고리'!$A$1:$B$59, 2, 0)</f>
        <v>SNACK</v>
      </c>
      <c r="E2558" t="s">
        <v>2258</v>
      </c>
      <c r="F2558" t="s">
        <v>2115</v>
      </c>
    </row>
    <row r="2559" spans="1:6" x14ac:dyDescent="0.3">
      <c r="A2559" t="s">
        <v>4378</v>
      </c>
      <c r="B2559" t="str" cm="1">
        <f t="array" ref="B2559">_xlfn.XLOOKUP(C2559, INDEX([1]!카테고리매핑,,2), INDEX([1]!카테고리매핑,,1), "미등록 카테고리")</f>
        <v>조미료</v>
      </c>
      <c r="C2559" t="s">
        <v>83</v>
      </c>
      <c r="D2559" t="str">
        <f>VLOOKUP(C2559, '[1]VLOOKUP 함수용 카테고리'!$A$1:$B$59, 2, 0)</f>
        <v>SAUCE_SEASONING</v>
      </c>
      <c r="E2559" t="s">
        <v>7667</v>
      </c>
      <c r="F2559" t="s">
        <v>4379</v>
      </c>
    </row>
    <row r="2560" spans="1:6" x14ac:dyDescent="0.3">
      <c r="A2560" t="s">
        <v>4380</v>
      </c>
      <c r="B2560" t="str" cm="1">
        <f t="array" ref="B2560">_xlfn.XLOOKUP(C2560, INDEX([1]!카테고리매핑,,2), INDEX([1]!카테고리매핑,,1), "미등록 카테고리")</f>
        <v>조미료</v>
      </c>
      <c r="C2560" t="s">
        <v>127</v>
      </c>
      <c r="D2560" t="str">
        <f>VLOOKUP(C2560, '[1]VLOOKUP 함수용 카테고리'!$A$1:$B$59, 2, 0)</f>
        <v>SAUCE_SEASONING</v>
      </c>
      <c r="E2560" t="s">
        <v>4381</v>
      </c>
      <c r="F2560" t="s">
        <v>615</v>
      </c>
    </row>
    <row r="2561" spans="1:6" x14ac:dyDescent="0.3">
      <c r="A2561" t="s">
        <v>4382</v>
      </c>
      <c r="B2561" t="str" cm="1">
        <f t="array" ref="B2561">_xlfn.XLOOKUP(C2561, INDEX([1]!카테고리매핑,,2), INDEX([1]!카테고리매핑,,1), "미등록 카테고리")</f>
        <v>육류/계란</v>
      </c>
      <c r="C2561" t="s">
        <v>298</v>
      </c>
      <c r="D2561" t="str">
        <f>VLOOKUP(C2561, '[1]VLOOKUP 함수용 카테고리'!$A$1:$B$59, 2, 0)</f>
        <v>RAW_MEAT</v>
      </c>
      <c r="E2561" t="s">
        <v>537</v>
      </c>
      <c r="F2561" t="s">
        <v>299</v>
      </c>
    </row>
    <row r="2562" spans="1:6" x14ac:dyDescent="0.3">
      <c r="A2562" t="s">
        <v>4383</v>
      </c>
      <c r="B2562" t="str" cm="1">
        <f t="array" ref="B2562">_xlfn.XLOOKUP(C2562, INDEX([1]!카테고리매핑,,2), INDEX([1]!카테고리매핑,,1), "미등록 카테고리")</f>
        <v>상온식품</v>
      </c>
      <c r="C2562" t="s">
        <v>835</v>
      </c>
      <c r="D2562" t="str">
        <f>VLOOKUP(C2562, '[1]VLOOKUP 함수용 카테고리'!$A$1:$B$59, 2, 0)</f>
        <v>SAUCE_SEASONING</v>
      </c>
      <c r="E2562" t="s">
        <v>2266</v>
      </c>
      <c r="F2562" t="s">
        <v>383</v>
      </c>
    </row>
    <row r="2563" spans="1:6" x14ac:dyDescent="0.3">
      <c r="A2563" t="s">
        <v>4384</v>
      </c>
      <c r="B2563" t="str" cm="1">
        <f t="array" ref="B2563">_xlfn.XLOOKUP(C2563, INDEX([1]!카테고리매핑,,2), INDEX([1]!카테고리매핑,,1), "미등록 카테고리")</f>
        <v>유제품</v>
      </c>
      <c r="C2563" t="s">
        <v>98</v>
      </c>
      <c r="D2563" t="str">
        <f>VLOOKUP(C2563, '[1]VLOOKUP 함수용 카테고리'!$A$1:$B$59, 2, 0)</f>
        <v>DAIRY</v>
      </c>
      <c r="E2563" t="s">
        <v>98</v>
      </c>
      <c r="F2563" t="s">
        <v>4385</v>
      </c>
    </row>
    <row r="2564" spans="1:6" x14ac:dyDescent="0.3">
      <c r="A2564" t="s">
        <v>4386</v>
      </c>
      <c r="B2564" t="str" cm="1">
        <f t="array" ref="B2564">_xlfn.XLOOKUP(C2564, INDEX([1]!카테고리매핑,,2), INDEX([1]!카테고리매핑,,1), "미등록 카테고리")</f>
        <v>간식류</v>
      </c>
      <c r="C2564" t="s">
        <v>38</v>
      </c>
      <c r="D2564" t="str">
        <f>VLOOKUP(C2564, '[1]VLOOKUP 함수용 카테고리'!$A$1:$B$59, 2, 0)</f>
        <v>SNACK</v>
      </c>
      <c r="E2564" t="s">
        <v>39</v>
      </c>
      <c r="F2564" t="s">
        <v>4387</v>
      </c>
    </row>
    <row r="2565" spans="1:6" x14ac:dyDescent="0.3">
      <c r="A2565" t="s">
        <v>4388</v>
      </c>
      <c r="B2565" t="str" cm="1">
        <f t="array" ref="B2565">_xlfn.XLOOKUP(C2565, INDEX([1]!카테고리매핑,,2), INDEX([1]!카테고리매핑,,1), "미등록 카테고리")</f>
        <v>간식류</v>
      </c>
      <c r="C2565" t="s">
        <v>38</v>
      </c>
      <c r="D2565" t="str">
        <f>VLOOKUP(C2565, '[1]VLOOKUP 함수용 카테고리'!$A$1:$B$59, 2, 0)</f>
        <v>SNACK</v>
      </c>
      <c r="E2565" t="s">
        <v>179</v>
      </c>
      <c r="F2565" t="s">
        <v>4389</v>
      </c>
    </row>
    <row r="2566" spans="1:6" x14ac:dyDescent="0.3">
      <c r="A2566" t="s">
        <v>4390</v>
      </c>
      <c r="B2566" t="str" cm="1">
        <f t="array" ref="B2566">_xlfn.XLOOKUP(C2566, INDEX([1]!카테고리매핑,,2), INDEX([1]!카테고리매핑,,1), "미등록 카테고리")</f>
        <v>간편식</v>
      </c>
      <c r="C2566" t="s">
        <v>131</v>
      </c>
      <c r="D2566" t="str">
        <f>VLOOKUP(C2566, '[1]VLOOKUP 함수용 카테고리'!$A$1:$B$59, 2, 0)</f>
        <v>SIMPLE_PROCESSED</v>
      </c>
      <c r="E2566" t="s">
        <v>1654</v>
      </c>
      <c r="F2566" t="s">
        <v>2747</v>
      </c>
    </row>
    <row r="2567" spans="1:6" x14ac:dyDescent="0.3">
      <c r="A2567" t="s">
        <v>4391</v>
      </c>
      <c r="B2567" t="str" cm="1">
        <f t="array" ref="B2567">_xlfn.XLOOKUP(C2567, INDEX([1]!카테고리매핑,,2), INDEX([1]!카테고리매핑,,1), "미등록 카테고리")</f>
        <v>상온식품</v>
      </c>
      <c r="C2567" t="s">
        <v>276</v>
      </c>
      <c r="D2567" t="str">
        <f>VLOOKUP(C2567, '[1]VLOOKUP 함수용 카테고리'!$A$1:$B$59, 2, 0)</f>
        <v>DRIED_SEAFOOD</v>
      </c>
      <c r="E2567" t="s">
        <v>277</v>
      </c>
      <c r="F2567" t="s">
        <v>1043</v>
      </c>
    </row>
    <row r="2568" spans="1:6" x14ac:dyDescent="0.3">
      <c r="A2568" t="s">
        <v>4392</v>
      </c>
      <c r="B2568" t="str" cm="1">
        <f t="array" ref="B2568">_xlfn.XLOOKUP(C2568, INDEX([1]!카테고리매핑,,2), INDEX([1]!카테고리매핑,,1), "미등록 카테고리")</f>
        <v>간편식</v>
      </c>
      <c r="C2568" t="s">
        <v>46</v>
      </c>
      <c r="D2568" t="str">
        <f>VLOOKUP(C2568, '[1]VLOOKUP 함수용 카테고리'!$A$1:$B$59, 2, 0)</f>
        <v>RTC_MEAL</v>
      </c>
      <c r="E2568" t="s">
        <v>46</v>
      </c>
      <c r="F2568">
        <v>830</v>
      </c>
    </row>
    <row r="2569" spans="1:6" x14ac:dyDescent="0.3">
      <c r="A2569" t="s">
        <v>4393</v>
      </c>
      <c r="B2569" t="str" cm="1">
        <f t="array" ref="B2569">_xlfn.XLOOKUP(C2569, INDEX([1]!카테고리매핑,,2), INDEX([1]!카테고리매핑,,1), "미등록 카테고리")</f>
        <v>채소/곡물류</v>
      </c>
      <c r="C2569" t="s">
        <v>7</v>
      </c>
      <c r="D2569" t="str">
        <f>VLOOKUP(C2569, '[1]VLOOKUP 함수용 카테고리'!$A$1:$B$59, 2, 0)</f>
        <v>RAW_PRODUCE</v>
      </c>
      <c r="E2569" t="s">
        <v>331</v>
      </c>
      <c r="F2569" t="s">
        <v>4394</v>
      </c>
    </row>
    <row r="2570" spans="1:6" x14ac:dyDescent="0.3">
      <c r="A2570" t="s">
        <v>4395</v>
      </c>
      <c r="B2570" t="str" cm="1">
        <f t="array" ref="B2570">_xlfn.XLOOKUP(C2570, INDEX([1]!카테고리매핑,,2), INDEX([1]!카테고리매핑,,1), "미등록 카테고리")</f>
        <v>유제품</v>
      </c>
      <c r="C2570" t="s">
        <v>98</v>
      </c>
      <c r="D2570" t="str">
        <f>VLOOKUP(C2570, '[1]VLOOKUP 함수용 카테고리'!$A$1:$B$59, 2, 0)</f>
        <v>DAIRY</v>
      </c>
      <c r="E2570" t="s">
        <v>98</v>
      </c>
      <c r="F2570" t="s">
        <v>4396</v>
      </c>
    </row>
    <row r="2571" spans="1:6" x14ac:dyDescent="0.3">
      <c r="A2571" t="s">
        <v>4397</v>
      </c>
      <c r="B2571" t="str" cm="1">
        <f t="array" ref="B2571">_xlfn.XLOOKUP(C2571, INDEX([1]!카테고리매핑,,2), INDEX([1]!카테고리매핑,,1), "미등록 카테고리")</f>
        <v>간식류</v>
      </c>
      <c r="C2571" t="s">
        <v>11</v>
      </c>
      <c r="D2571" t="str">
        <f>VLOOKUP(C2571, '[1]VLOOKUP 함수용 카테고리'!$A$1:$B$59, 2, 0)</f>
        <v>SNACK</v>
      </c>
      <c r="E2571" t="s">
        <v>2426</v>
      </c>
      <c r="F2571" t="s">
        <v>209</v>
      </c>
    </row>
    <row r="2572" spans="1:6" x14ac:dyDescent="0.3">
      <c r="A2572" t="s">
        <v>4398</v>
      </c>
      <c r="B2572" t="str" cm="1">
        <f t="array" ref="B2572">_xlfn.XLOOKUP(C2572, INDEX([1]!카테고리매핑,,2), INDEX([1]!카테고리매핑,,1), "미등록 카테고리")</f>
        <v>간식류</v>
      </c>
      <c r="C2572" t="s">
        <v>15</v>
      </c>
      <c r="D2572" t="str">
        <f>VLOOKUP(C2572, '[1]VLOOKUP 함수용 카테고리'!$A$1:$B$59, 2, 0)</f>
        <v>BAKERY</v>
      </c>
      <c r="E2572" t="s">
        <v>1118</v>
      </c>
      <c r="F2572" t="s">
        <v>4399</v>
      </c>
    </row>
    <row r="2573" spans="1:6" x14ac:dyDescent="0.3">
      <c r="A2573" t="s">
        <v>4400</v>
      </c>
      <c r="B2573" t="str" cm="1">
        <f t="array" ref="B2573">_xlfn.XLOOKUP(C2573, INDEX([1]!카테고리매핑,,2), INDEX([1]!카테고리매핑,,1), "미등록 카테고리")</f>
        <v>간편식</v>
      </c>
      <c r="C2573" t="s">
        <v>131</v>
      </c>
      <c r="D2573" t="str">
        <f>VLOOKUP(C2573, '[1]VLOOKUP 함수용 카테고리'!$A$1:$B$59, 2, 0)</f>
        <v>SIMPLE_PROCESSED</v>
      </c>
      <c r="E2573" t="s">
        <v>4401</v>
      </c>
      <c r="F2573" t="s">
        <v>461</v>
      </c>
    </row>
    <row r="2574" spans="1:6" x14ac:dyDescent="0.3">
      <c r="A2574" t="s">
        <v>4402</v>
      </c>
      <c r="B2574" t="str" cm="1">
        <f t="array" ref="B2574">_xlfn.XLOOKUP(C2574, INDEX([1]!카테고리매핑,,2), INDEX([1]!카테고리매핑,,1), "미등록 카테고리")</f>
        <v>채소/곡물류</v>
      </c>
      <c r="C2574" t="s">
        <v>301</v>
      </c>
      <c r="D2574" t="str">
        <f>VLOOKUP(C2574, '[1]VLOOKUP 함수용 카테고리'!$A$1:$B$59, 2, 0)</f>
        <v>GRAIN</v>
      </c>
      <c r="E2574" t="s">
        <v>490</v>
      </c>
    </row>
    <row r="2575" spans="1:6" x14ac:dyDescent="0.3">
      <c r="A2575" t="s">
        <v>4403</v>
      </c>
      <c r="B2575" t="str" cm="1">
        <f t="array" ref="B2575">_xlfn.XLOOKUP(C2575, INDEX([1]!카테고리매핑,,2), INDEX([1]!카테고리매핑,,1), "미등록 카테고리")</f>
        <v>간식류</v>
      </c>
      <c r="C2575" t="s">
        <v>38</v>
      </c>
      <c r="D2575" t="str">
        <f>VLOOKUP(C2575, '[1]VLOOKUP 함수용 카테고리'!$A$1:$B$59, 2, 0)</f>
        <v>SNACK</v>
      </c>
      <c r="E2575" t="s">
        <v>733</v>
      </c>
      <c r="F2575" t="s">
        <v>734</v>
      </c>
    </row>
    <row r="2576" spans="1:6" x14ac:dyDescent="0.3">
      <c r="A2576" t="s">
        <v>4404</v>
      </c>
      <c r="B2576" t="str" cm="1">
        <f t="array" ref="B2576">_xlfn.XLOOKUP(C2576, INDEX([1]!카테고리매핑,,2), INDEX([1]!카테고리매핑,,1), "미등록 카테고리")</f>
        <v>간편식</v>
      </c>
      <c r="C2576" t="s">
        <v>158</v>
      </c>
      <c r="D2576" t="str">
        <f>VLOOKUP(C2576, '[1]VLOOKUP 함수용 카테고리'!$A$1:$B$59, 2, 0)</f>
        <v>INSTANT</v>
      </c>
      <c r="E2576" t="s">
        <v>3261</v>
      </c>
      <c r="F2576" t="s">
        <v>4405</v>
      </c>
    </row>
    <row r="2577" spans="1:6" x14ac:dyDescent="0.3">
      <c r="A2577" t="s">
        <v>4406</v>
      </c>
      <c r="B2577" t="str" cm="1">
        <f t="array" ref="B2577">_xlfn.XLOOKUP(C2577, INDEX([1]!카테고리매핑,,2), INDEX([1]!카테고리매핑,,1), "미등록 카테고리")</f>
        <v>수산물</v>
      </c>
      <c r="C2577" t="s">
        <v>101</v>
      </c>
      <c r="D2577" t="str">
        <f>VLOOKUP(C2577, '[1]VLOOKUP 함수용 카테고리'!$A$1:$B$59, 2, 0)</f>
        <v>DRIED_SEAFOOD</v>
      </c>
      <c r="E2577" t="s">
        <v>665</v>
      </c>
      <c r="F2577" t="s">
        <v>3268</v>
      </c>
    </row>
    <row r="2578" spans="1:6" x14ac:dyDescent="0.3">
      <c r="A2578" t="s">
        <v>4407</v>
      </c>
      <c r="B2578" t="str" cm="1">
        <f t="array" ref="B2578">_xlfn.XLOOKUP(C2578, INDEX([1]!카테고리매핑,,2), INDEX([1]!카테고리매핑,,1), "미등록 카테고리")</f>
        <v>수산물</v>
      </c>
      <c r="C2578" t="s">
        <v>101</v>
      </c>
      <c r="D2578" t="str">
        <f>VLOOKUP(C2578, '[1]VLOOKUP 함수용 카테고리'!$A$1:$B$59, 2, 0)</f>
        <v>DRIED_SEAFOOD</v>
      </c>
      <c r="E2578" t="s">
        <v>665</v>
      </c>
      <c r="F2578" t="s">
        <v>4408</v>
      </c>
    </row>
    <row r="2579" spans="1:6" x14ac:dyDescent="0.3">
      <c r="A2579" t="s">
        <v>4409</v>
      </c>
      <c r="B2579" t="str" cm="1">
        <f t="array" ref="B2579">_xlfn.XLOOKUP(C2579, INDEX([1]!카테고리매핑,,2), INDEX([1]!카테고리매핑,,1), "미등록 카테고리")</f>
        <v>조미료</v>
      </c>
      <c r="C2579" t="s">
        <v>558</v>
      </c>
      <c r="D2579" t="str">
        <f>VLOOKUP(C2579, '[1]VLOOKUP 함수용 카테고리'!$A$1:$B$59, 2, 0)</f>
        <v>SAUCE_SEASONING</v>
      </c>
      <c r="E2579" t="s">
        <v>956</v>
      </c>
      <c r="F2579" t="s">
        <v>4410</v>
      </c>
    </row>
    <row r="2580" spans="1:6" x14ac:dyDescent="0.3">
      <c r="A2580" t="s">
        <v>4411</v>
      </c>
      <c r="B2580" t="str" cm="1">
        <f t="array" ref="B2580">_xlfn.XLOOKUP(C2580, INDEX([1]!카테고리매핑,,2), INDEX([1]!카테고리매핑,,1), "미등록 카테고리")</f>
        <v>육류/계란</v>
      </c>
      <c r="C2580" t="s">
        <v>149</v>
      </c>
      <c r="D2580" t="str">
        <f>VLOOKUP(C2580, '[1]VLOOKUP 함수용 카테고리'!$A$1:$B$59, 2, 0)</f>
        <v>RAW_MEAT</v>
      </c>
      <c r="E2580" t="s">
        <v>1630</v>
      </c>
      <c r="F2580" t="s">
        <v>1006</v>
      </c>
    </row>
    <row r="2581" spans="1:6" x14ac:dyDescent="0.3">
      <c r="A2581" t="s">
        <v>4412</v>
      </c>
      <c r="B2581" t="str" cm="1">
        <f t="array" ref="B2581">_xlfn.XLOOKUP(C2581, INDEX([1]!카테고리매핑,,2), INDEX([1]!카테고리매핑,,1), "미등록 카테고리")</f>
        <v>육류/계란</v>
      </c>
      <c r="C2581" t="s">
        <v>105</v>
      </c>
      <c r="D2581" t="str">
        <f>VLOOKUP(C2581, '[1]VLOOKUP 함수용 카테고리'!$A$1:$B$59, 2, 0)</f>
        <v>RAW_MEAT</v>
      </c>
      <c r="E2581" t="s">
        <v>524</v>
      </c>
      <c r="F2581" t="s">
        <v>151</v>
      </c>
    </row>
    <row r="2582" spans="1:6" x14ac:dyDescent="0.3">
      <c r="A2582" t="s">
        <v>4413</v>
      </c>
      <c r="B2582" t="str" cm="1">
        <f t="array" ref="B2582">_xlfn.XLOOKUP(C2582, INDEX([1]!카테고리매핑,,2), INDEX([1]!카테고리매핑,,1), "미등록 카테고리")</f>
        <v>간식류</v>
      </c>
      <c r="C2582" t="s">
        <v>15</v>
      </c>
      <c r="D2582" t="str">
        <f>VLOOKUP(C2582, '[1]VLOOKUP 함수용 카테고리'!$A$1:$B$59, 2, 0)</f>
        <v>BAKERY</v>
      </c>
      <c r="E2582" t="s">
        <v>2600</v>
      </c>
      <c r="F2582" t="s">
        <v>4414</v>
      </c>
    </row>
    <row r="2583" spans="1:6" x14ac:dyDescent="0.3">
      <c r="A2583" t="s">
        <v>4415</v>
      </c>
      <c r="B2583" t="str" cm="1">
        <f t="array" ref="B2583">_xlfn.XLOOKUP(C2583, INDEX([1]!카테고리매핑,,2), INDEX([1]!카테고리매핑,,1), "미등록 카테고리")</f>
        <v>수산물</v>
      </c>
      <c r="C2583" t="s">
        <v>1673</v>
      </c>
      <c r="D2583" t="str">
        <f>VLOOKUP(C2583, '[1]VLOOKUP 함수용 카테고리'!$A$1:$B$59, 2, 0)</f>
        <v>RAW_SEAFOOD</v>
      </c>
      <c r="E2583" t="s">
        <v>4416</v>
      </c>
      <c r="F2583" t="s">
        <v>4417</v>
      </c>
    </row>
    <row r="2584" spans="1:6" x14ac:dyDescent="0.3">
      <c r="A2584" t="s">
        <v>4418</v>
      </c>
      <c r="B2584" t="str" cm="1">
        <f t="array" ref="B2584">_xlfn.XLOOKUP(C2584, INDEX([1]!카테고리매핑,,2), INDEX([1]!카테고리매핑,,1), "미등록 카테고리")</f>
        <v>육류/계란</v>
      </c>
      <c r="C2584" t="s">
        <v>149</v>
      </c>
      <c r="D2584" t="str">
        <f>VLOOKUP(C2584, '[1]VLOOKUP 함수용 카테고리'!$A$1:$B$59, 2, 0)</f>
        <v>RAW_MEAT</v>
      </c>
      <c r="E2584" t="s">
        <v>1448</v>
      </c>
      <c r="F2584" t="s">
        <v>4419</v>
      </c>
    </row>
    <row r="2585" spans="1:6" x14ac:dyDescent="0.3">
      <c r="A2585" t="s">
        <v>4420</v>
      </c>
      <c r="B2585" t="str" cm="1">
        <f t="array" ref="B2585">_xlfn.XLOOKUP(C2585, INDEX([1]!카테고리매핑,,2), INDEX([1]!카테고리매핑,,1), "미등록 카테고리")</f>
        <v>수산물</v>
      </c>
      <c r="C2585" t="s">
        <v>1673</v>
      </c>
      <c r="D2585" t="str">
        <f>VLOOKUP(C2585, '[1]VLOOKUP 함수용 카테고리'!$A$1:$B$59, 2, 0)</f>
        <v>RAW_SEAFOOD</v>
      </c>
      <c r="E2585" t="s">
        <v>1674</v>
      </c>
      <c r="F2585" t="s">
        <v>7780</v>
      </c>
    </row>
    <row r="2586" spans="1:6" x14ac:dyDescent="0.3">
      <c r="A2586" t="s">
        <v>4421</v>
      </c>
      <c r="B2586" t="str" cm="1">
        <f t="array" ref="B2586">_xlfn.XLOOKUP(C2586, INDEX([1]!카테고리매핑,,2), INDEX([1]!카테고리매핑,,1), "미등록 카테고리")</f>
        <v>상온식품</v>
      </c>
      <c r="C2586" t="s">
        <v>835</v>
      </c>
      <c r="D2586" t="str">
        <f>VLOOKUP(C2586, '[1]VLOOKUP 함수용 카테고리'!$A$1:$B$59, 2, 0)</f>
        <v>SAUCE_SEASONING</v>
      </c>
      <c r="E2586" t="s">
        <v>2157</v>
      </c>
      <c r="F2586" t="s">
        <v>2844</v>
      </c>
    </row>
    <row r="2587" spans="1:6" x14ac:dyDescent="0.3">
      <c r="A2587" t="s">
        <v>4422</v>
      </c>
      <c r="B2587" t="str" cm="1">
        <f t="array" ref="B2587">_xlfn.XLOOKUP(C2587, INDEX([1]!카테고리매핑,,2), INDEX([1]!카테고리매핑,,1), "미등록 카테고리")</f>
        <v>육류/계란</v>
      </c>
      <c r="C2587" t="s">
        <v>105</v>
      </c>
      <c r="D2587" t="str">
        <f>VLOOKUP(C2587, '[1]VLOOKUP 함수용 카테고리'!$A$1:$B$59, 2, 0)</f>
        <v>RAW_MEAT</v>
      </c>
      <c r="E2587" t="s">
        <v>4423</v>
      </c>
      <c r="F2587" t="s">
        <v>1539</v>
      </c>
    </row>
    <row r="2588" spans="1:6" x14ac:dyDescent="0.3">
      <c r="A2588" t="s">
        <v>4424</v>
      </c>
      <c r="B2588" t="str" cm="1">
        <f t="array" ref="B2588">_xlfn.XLOOKUP(C2588, INDEX([1]!카테고리매핑,,2), INDEX([1]!카테고리매핑,,1), "미등록 카테고리")</f>
        <v>간식류</v>
      </c>
      <c r="C2588" t="s">
        <v>109</v>
      </c>
      <c r="D2588" t="str">
        <f>VLOOKUP(C2588, '[1]VLOOKUP 함수용 카테고리'!$A$1:$B$59, 2, 0)</f>
        <v>SNACK</v>
      </c>
      <c r="E2588" t="s">
        <v>109</v>
      </c>
      <c r="F2588" t="s">
        <v>7781</v>
      </c>
    </row>
    <row r="2589" spans="1:6" x14ac:dyDescent="0.3">
      <c r="A2589" t="s">
        <v>4425</v>
      </c>
      <c r="B2589" t="str" cm="1">
        <f t="array" ref="B2589">_xlfn.XLOOKUP(C2589, INDEX([1]!카테고리매핑,,2), INDEX([1]!카테고리매핑,,1), "미등록 카테고리")</f>
        <v>술</v>
      </c>
      <c r="C2589" t="s">
        <v>411</v>
      </c>
      <c r="D2589" t="str">
        <f>VLOOKUP(C2589, '[1]VLOOKUP 함수용 카테고리'!$A$1:$B$59, 2, 0)</f>
        <v>ALCOHOL</v>
      </c>
      <c r="E2589" t="s">
        <v>1159</v>
      </c>
      <c r="F2589" t="s">
        <v>411</v>
      </c>
    </row>
    <row r="2590" spans="1:6" x14ac:dyDescent="0.3">
      <c r="A2590" t="s">
        <v>4426</v>
      </c>
      <c r="B2590" t="str" cm="1">
        <f t="array" ref="B2590">_xlfn.XLOOKUP(C2590, INDEX([1]!카테고리매핑,,2), INDEX([1]!카테고리매핑,,1), "미등록 카테고리")</f>
        <v>유제품</v>
      </c>
      <c r="C2590" t="s">
        <v>123</v>
      </c>
      <c r="D2590" t="str">
        <f>VLOOKUP(C2590, '[1]VLOOKUP 함수용 카테고리'!$A$1:$B$59, 2, 0)</f>
        <v>DAIRY</v>
      </c>
      <c r="E2590" t="s">
        <v>367</v>
      </c>
      <c r="F2590" t="s">
        <v>191</v>
      </c>
    </row>
    <row r="2591" spans="1:6" x14ac:dyDescent="0.3">
      <c r="A2591" t="s">
        <v>4427</v>
      </c>
      <c r="B2591" t="str" cm="1">
        <f t="array" ref="B2591">_xlfn.XLOOKUP(C2591, INDEX([1]!카테고리매핑,,2), INDEX([1]!카테고리매핑,,1), "미등록 카테고리")</f>
        <v>간식류</v>
      </c>
      <c r="C2591" t="s">
        <v>15</v>
      </c>
      <c r="D2591" t="str">
        <f>VLOOKUP(C2591, '[1]VLOOKUP 함수용 카테고리'!$A$1:$B$59, 2, 0)</f>
        <v>BAKERY</v>
      </c>
      <c r="E2591" t="s">
        <v>16</v>
      </c>
      <c r="F2591" t="s">
        <v>3700</v>
      </c>
    </row>
    <row r="2592" spans="1:6" x14ac:dyDescent="0.3">
      <c r="A2592" t="s">
        <v>4428</v>
      </c>
      <c r="B2592" t="str" cm="1">
        <f t="array" ref="B2592">_xlfn.XLOOKUP(C2592, INDEX([1]!카테고리매핑,,2), INDEX([1]!카테고리매핑,,1), "미등록 카테고리")</f>
        <v>유제품</v>
      </c>
      <c r="C2592" t="s">
        <v>98</v>
      </c>
      <c r="D2592" t="str">
        <f>VLOOKUP(C2592, '[1]VLOOKUP 함수용 카테고리'!$A$1:$B$59, 2, 0)</f>
        <v>DAIRY</v>
      </c>
      <c r="E2592" t="s">
        <v>98</v>
      </c>
      <c r="F2592" t="s">
        <v>623</v>
      </c>
    </row>
    <row r="2593" spans="1:6" x14ac:dyDescent="0.3">
      <c r="A2593" t="s">
        <v>4429</v>
      </c>
      <c r="B2593" t="str" cm="1">
        <f t="array" ref="B2593">_xlfn.XLOOKUP(C2593, INDEX([1]!카테고리매핑,,2), INDEX([1]!카테고리매핑,,1), "미등록 카테고리")</f>
        <v>간편식</v>
      </c>
      <c r="C2593" t="s">
        <v>256</v>
      </c>
      <c r="D2593" t="str">
        <f>VLOOKUP(C2593, '[1]VLOOKUP 함수용 카테고리'!$A$1:$B$59, 2, 0)</f>
        <v>RTC_MEAL</v>
      </c>
      <c r="E2593" t="s">
        <v>256</v>
      </c>
      <c r="F2593" t="s">
        <v>541</v>
      </c>
    </row>
    <row r="2594" spans="1:6" x14ac:dyDescent="0.3">
      <c r="A2594" t="s">
        <v>4430</v>
      </c>
      <c r="B2594" t="str" cm="1">
        <f t="array" ref="B2594">_xlfn.XLOOKUP(C2594, INDEX([1]!카테고리매핑,,2), INDEX([1]!카테고리매핑,,1), "미등록 카테고리")</f>
        <v>간편식</v>
      </c>
      <c r="C2594" t="s">
        <v>256</v>
      </c>
      <c r="D2594" t="str">
        <f>VLOOKUP(C2594, '[1]VLOOKUP 함수용 카테고리'!$A$1:$B$59, 2, 0)</f>
        <v>RTC_MEAL</v>
      </c>
      <c r="E2594" t="s">
        <v>256</v>
      </c>
      <c r="F2594" t="s">
        <v>541</v>
      </c>
    </row>
    <row r="2595" spans="1:6" x14ac:dyDescent="0.3">
      <c r="A2595" t="s">
        <v>4431</v>
      </c>
      <c r="B2595" t="str" cm="1">
        <f t="array" ref="B2595">_xlfn.XLOOKUP(C2595, INDEX([1]!카테고리매핑,,2), INDEX([1]!카테고리매핑,,1), "미등록 카테고리")</f>
        <v>술</v>
      </c>
      <c r="C2595" t="s">
        <v>411</v>
      </c>
      <c r="D2595" t="str">
        <f>VLOOKUP(C2595, '[1]VLOOKUP 함수용 카테고리'!$A$1:$B$59, 2, 0)</f>
        <v>ALCOHOL</v>
      </c>
      <c r="E2595" t="s">
        <v>1159</v>
      </c>
      <c r="F2595" t="s">
        <v>7762</v>
      </c>
    </row>
    <row r="2596" spans="1:6" x14ac:dyDescent="0.3">
      <c r="A2596" t="s">
        <v>4432</v>
      </c>
      <c r="B2596" t="str" cm="1">
        <f t="array" ref="B2596">_xlfn.XLOOKUP(C2596, INDEX([1]!카테고리매핑,,2), INDEX([1]!카테고리매핑,,1), "미등록 카테고리")</f>
        <v>음료</v>
      </c>
      <c r="C2596" t="s">
        <v>23</v>
      </c>
      <c r="D2596" t="str">
        <f>VLOOKUP(C2596, '[1]VLOOKUP 함수용 카테고리'!$A$1:$B$59, 2, 0)</f>
        <v>BEVERAGE</v>
      </c>
      <c r="E2596" t="s">
        <v>323</v>
      </c>
      <c r="F2596" t="s">
        <v>4433</v>
      </c>
    </row>
    <row r="2597" spans="1:6" x14ac:dyDescent="0.3">
      <c r="A2597" t="s">
        <v>4434</v>
      </c>
      <c r="B2597" t="str" cm="1">
        <f t="array" ref="B2597">_xlfn.XLOOKUP(C2597, INDEX([1]!카테고리매핑,,2), INDEX([1]!카테고리매핑,,1), "미등록 카테고리")</f>
        <v>미등록 카테고리</v>
      </c>
      <c r="C2597" t="s">
        <v>334</v>
      </c>
      <c r="D2597" t="str">
        <f>VLOOKUP(C2597, '[1]VLOOKUP 함수용 카테고리'!$A$1:$B$59, 2, 0)</f>
        <v>UNKNOWN</v>
      </c>
      <c r="E2597" t="s">
        <v>334</v>
      </c>
      <c r="F2597" t="s">
        <v>905</v>
      </c>
    </row>
    <row r="2598" spans="1:6" x14ac:dyDescent="0.3">
      <c r="A2598" t="s">
        <v>4435</v>
      </c>
      <c r="B2598" t="str" cm="1">
        <f t="array" ref="B2598">_xlfn.XLOOKUP(C2598, INDEX([1]!카테고리매핑,,2), INDEX([1]!카테고리매핑,,1), "미등록 카테고리")</f>
        <v>채소/곡물류</v>
      </c>
      <c r="C2598" t="s">
        <v>301</v>
      </c>
      <c r="D2598" t="str">
        <f>VLOOKUP(C2598, '[1]VLOOKUP 함수용 카테고리'!$A$1:$B$59, 2, 0)</f>
        <v>GRAIN</v>
      </c>
      <c r="E2598" t="s">
        <v>490</v>
      </c>
      <c r="F2598" t="s">
        <v>3001</v>
      </c>
    </row>
    <row r="2599" spans="1:6" x14ac:dyDescent="0.3">
      <c r="A2599" t="s">
        <v>4436</v>
      </c>
      <c r="B2599" t="str" cm="1">
        <f t="array" ref="B2599">_xlfn.XLOOKUP(C2599, INDEX([1]!카테고리매핑,,2), INDEX([1]!카테고리매핑,,1), "미등록 카테고리")</f>
        <v>상온식품</v>
      </c>
      <c r="C2599" t="s">
        <v>835</v>
      </c>
      <c r="D2599" t="str">
        <f>VLOOKUP(C2599, '[1]VLOOKUP 함수용 카테고리'!$A$1:$B$59, 2, 0)</f>
        <v>SAUCE_SEASONING</v>
      </c>
      <c r="E2599" t="s">
        <v>4437</v>
      </c>
      <c r="F2599" t="s">
        <v>3350</v>
      </c>
    </row>
    <row r="2600" spans="1:6" x14ac:dyDescent="0.3">
      <c r="A2600" t="s">
        <v>4438</v>
      </c>
      <c r="B2600" t="str" cm="1">
        <f t="array" ref="B2600">_xlfn.XLOOKUP(C2600, INDEX([1]!카테고리매핑,,2), INDEX([1]!카테고리매핑,,1), "미등록 카테고리")</f>
        <v>간편식</v>
      </c>
      <c r="C2600" t="s">
        <v>161</v>
      </c>
      <c r="D2600" t="str">
        <f>VLOOKUP(C2600, '[1]VLOOKUP 함수용 카테고리'!$A$1:$B$59, 2, 0)</f>
        <v>RTC_MEAL</v>
      </c>
      <c r="E2600" t="s">
        <v>4439</v>
      </c>
      <c r="F2600" t="s">
        <v>3487</v>
      </c>
    </row>
    <row r="2601" spans="1:6" x14ac:dyDescent="0.3">
      <c r="A2601" t="s">
        <v>4440</v>
      </c>
      <c r="B2601" t="str" cm="1">
        <f t="array" ref="B2601">_xlfn.XLOOKUP(C2601, INDEX([1]!카테고리매핑,,2), INDEX([1]!카테고리매핑,,1), "미등록 카테고리")</f>
        <v>조미료</v>
      </c>
      <c r="C2601" t="s">
        <v>127</v>
      </c>
      <c r="D2601" t="str">
        <f>VLOOKUP(C2601, '[1]VLOOKUP 함수용 카테고리'!$A$1:$B$59, 2, 0)</f>
        <v>SAUCE_SEASONING</v>
      </c>
      <c r="E2601" t="s">
        <v>4441</v>
      </c>
      <c r="F2601" t="s">
        <v>4442</v>
      </c>
    </row>
    <row r="2602" spans="1:6" x14ac:dyDescent="0.3">
      <c r="A2602" t="s">
        <v>4443</v>
      </c>
      <c r="B2602" t="str" cm="1">
        <f t="array" ref="B2602">_xlfn.XLOOKUP(C2602, INDEX([1]!카테고리매핑,,2), INDEX([1]!카테고리매핑,,1), "미등록 카테고리")</f>
        <v>채소/곡물류</v>
      </c>
      <c r="C2602" t="s">
        <v>301</v>
      </c>
      <c r="D2602" t="str">
        <f>VLOOKUP(C2602, '[1]VLOOKUP 함수용 카테고리'!$A$1:$B$59, 2, 0)</f>
        <v>GRAIN</v>
      </c>
      <c r="E2602" t="s">
        <v>611</v>
      </c>
    </row>
    <row r="2603" spans="1:6" x14ac:dyDescent="0.3">
      <c r="A2603" t="s">
        <v>4444</v>
      </c>
      <c r="B2603" t="str" cm="1">
        <f t="array" ref="B2603">_xlfn.XLOOKUP(C2603, INDEX([1]!카테고리매핑,,2), INDEX([1]!카테고리매핑,,1), "미등록 카테고리")</f>
        <v>유제품</v>
      </c>
      <c r="C2603" t="s">
        <v>123</v>
      </c>
      <c r="D2603" t="str">
        <f>VLOOKUP(C2603, '[1]VLOOKUP 함수용 카테고리'!$A$1:$B$59, 2, 0)</f>
        <v>DAIRY</v>
      </c>
      <c r="E2603" t="s">
        <v>239</v>
      </c>
      <c r="F2603" t="s">
        <v>377</v>
      </c>
    </row>
    <row r="2604" spans="1:6" x14ac:dyDescent="0.3">
      <c r="A2604" t="s">
        <v>4445</v>
      </c>
      <c r="B2604" t="str" cm="1">
        <f t="array" ref="B2604">_xlfn.XLOOKUP(C2604, INDEX([1]!카테고리매핑,,2), INDEX([1]!카테고리매핑,,1), "미등록 카테고리")</f>
        <v>조미료</v>
      </c>
      <c r="C2604" t="s">
        <v>117</v>
      </c>
      <c r="D2604" t="str">
        <f>VLOOKUP(C2604, '[1]VLOOKUP 함수용 카테고리'!$A$1:$B$59, 2, 0)</f>
        <v>SAUCE_SEASONING</v>
      </c>
      <c r="E2604" t="s">
        <v>2314</v>
      </c>
      <c r="F2604" t="s">
        <v>4446</v>
      </c>
    </row>
    <row r="2605" spans="1:6" x14ac:dyDescent="0.3">
      <c r="A2605" t="s">
        <v>4447</v>
      </c>
      <c r="B2605" t="str" cm="1">
        <f t="array" ref="B2605">_xlfn.XLOOKUP(C2605, INDEX([1]!카테고리매핑,,2), INDEX([1]!카테고리매핑,,1), "미등록 카테고리")</f>
        <v>조미료</v>
      </c>
      <c r="C2605" t="s">
        <v>127</v>
      </c>
      <c r="D2605" t="str">
        <f>VLOOKUP(C2605, '[1]VLOOKUP 함수용 카테고리'!$A$1:$B$59, 2, 0)</f>
        <v>SAUCE_SEASONING</v>
      </c>
      <c r="E2605" t="s">
        <v>4448</v>
      </c>
      <c r="F2605" t="s">
        <v>4449</v>
      </c>
    </row>
    <row r="2606" spans="1:6" x14ac:dyDescent="0.3">
      <c r="A2606" t="s">
        <v>4450</v>
      </c>
      <c r="B2606" t="str" cm="1">
        <f t="array" ref="B2606">_xlfn.XLOOKUP(C2606, INDEX([1]!카테고리매핑,,2), INDEX([1]!카테고리매핑,,1), "미등록 카테고리")</f>
        <v>채소/곡물류</v>
      </c>
      <c r="C2606" t="s">
        <v>301</v>
      </c>
      <c r="D2606" t="str">
        <f>VLOOKUP(C2606, '[1]VLOOKUP 함수용 카테고리'!$A$1:$B$59, 2, 0)</f>
        <v>GRAIN</v>
      </c>
      <c r="E2606" t="s">
        <v>490</v>
      </c>
      <c r="F2606" t="s">
        <v>303</v>
      </c>
    </row>
    <row r="2607" spans="1:6" x14ac:dyDescent="0.3">
      <c r="A2607" t="s">
        <v>4451</v>
      </c>
      <c r="B2607" t="str" cm="1">
        <f t="array" ref="B2607">_xlfn.XLOOKUP(C2607, INDEX([1]!카테고리매핑,,2), INDEX([1]!카테고리매핑,,1), "미등록 카테고리")</f>
        <v>간식류</v>
      </c>
      <c r="C2607" t="s">
        <v>11</v>
      </c>
      <c r="D2607" t="str">
        <f>VLOOKUP(C2607, '[1]VLOOKUP 함수용 카테고리'!$A$1:$B$59, 2, 0)</f>
        <v>SNACK</v>
      </c>
      <c r="E2607" t="s">
        <v>4269</v>
      </c>
      <c r="F2607" t="s">
        <v>2115</v>
      </c>
    </row>
    <row r="2608" spans="1:6" x14ac:dyDescent="0.3">
      <c r="A2608" t="s">
        <v>4452</v>
      </c>
      <c r="B2608" t="str" cm="1">
        <f t="array" ref="B2608">_xlfn.XLOOKUP(C2608, INDEX([1]!카테고리매핑,,2), INDEX([1]!카테고리매핑,,1), "미등록 카테고리")</f>
        <v>수산물</v>
      </c>
      <c r="C2608" t="s">
        <v>1397</v>
      </c>
      <c r="D2608" t="str">
        <f>VLOOKUP(C2608, '[1]VLOOKUP 함수용 카테고리'!$A$1:$B$59, 2, 0)</f>
        <v>RAW_SEAFOOD</v>
      </c>
      <c r="E2608" t="s">
        <v>1398</v>
      </c>
      <c r="F2608" t="s">
        <v>3167</v>
      </c>
    </row>
    <row r="2609" spans="1:6" x14ac:dyDescent="0.3">
      <c r="A2609" t="s">
        <v>4453</v>
      </c>
      <c r="B2609" t="str" cm="1">
        <f t="array" ref="B2609">_xlfn.XLOOKUP(C2609, INDEX([1]!카테고리매핑,,2), INDEX([1]!카테고리매핑,,1), "미등록 카테고리")</f>
        <v>간식류</v>
      </c>
      <c r="C2609" t="s">
        <v>38</v>
      </c>
      <c r="D2609" t="str">
        <f>VLOOKUP(C2609, '[1]VLOOKUP 함수용 카테고리'!$A$1:$B$59, 2, 0)</f>
        <v>SNACK</v>
      </c>
      <c r="E2609" t="s">
        <v>179</v>
      </c>
      <c r="F2609" t="s">
        <v>4454</v>
      </c>
    </row>
    <row r="2610" spans="1:6" x14ac:dyDescent="0.3">
      <c r="A2610" t="s">
        <v>4455</v>
      </c>
      <c r="B2610" t="str" cm="1">
        <f t="array" ref="B2610">_xlfn.XLOOKUP(C2610, INDEX([1]!카테고리매핑,,2), INDEX([1]!카테고리매핑,,1), "미등록 카테고리")</f>
        <v>유제품</v>
      </c>
      <c r="C2610" t="s">
        <v>432</v>
      </c>
      <c r="D2610" t="str">
        <f>VLOOKUP(C2610, '[1]VLOOKUP 함수용 카테고리'!$A$1:$B$59, 2, 0)</f>
        <v>DAIRY</v>
      </c>
      <c r="E2610" t="s">
        <v>4456</v>
      </c>
      <c r="F2610" t="s">
        <v>129</v>
      </c>
    </row>
    <row r="2611" spans="1:6" x14ac:dyDescent="0.3">
      <c r="A2611" t="s">
        <v>4457</v>
      </c>
      <c r="B2611" t="str" cm="1">
        <f t="array" ref="B2611">_xlfn.XLOOKUP(C2611, INDEX([1]!카테고리매핑,,2), INDEX([1]!카테고리매핑,,1), "미등록 카테고리")</f>
        <v>조미료</v>
      </c>
      <c r="C2611" t="s">
        <v>84</v>
      </c>
      <c r="D2611" t="str">
        <f>VLOOKUP(C2611, '[1]VLOOKUP 함수용 카테고리'!$A$1:$B$59, 2, 0)</f>
        <v>SAUCE_SEASONING</v>
      </c>
      <c r="E2611" t="s">
        <v>85</v>
      </c>
      <c r="F2611" t="s">
        <v>4458</v>
      </c>
    </row>
    <row r="2612" spans="1:6" x14ac:dyDescent="0.3">
      <c r="A2612" t="s">
        <v>4459</v>
      </c>
      <c r="B2612" t="str" cm="1">
        <f t="array" ref="B2612">_xlfn.XLOOKUP(C2612, INDEX([1]!카테고리매핑,,2), INDEX([1]!카테고리매핑,,1), "미등록 카테고리")</f>
        <v>술</v>
      </c>
      <c r="C2612" t="s">
        <v>42</v>
      </c>
      <c r="D2612" t="str">
        <f>VLOOKUP(C2612, '[1]VLOOKUP 함수용 카테고리'!$A$1:$B$59, 2, 0)</f>
        <v>ALCOHOL</v>
      </c>
      <c r="E2612" t="s">
        <v>43</v>
      </c>
      <c r="F2612" t="s">
        <v>59</v>
      </c>
    </row>
    <row r="2613" spans="1:6" x14ac:dyDescent="0.3">
      <c r="A2613" t="s">
        <v>4460</v>
      </c>
      <c r="B2613" t="str" cm="1">
        <f t="array" ref="B2613">_xlfn.XLOOKUP(C2613, INDEX([1]!카테고리매핑,,2), INDEX([1]!카테고리매핑,,1), "미등록 카테고리")</f>
        <v>수산물</v>
      </c>
      <c r="C2613" t="s">
        <v>101</v>
      </c>
      <c r="D2613" t="str">
        <f>VLOOKUP(C2613, '[1]VLOOKUP 함수용 카테고리'!$A$1:$B$59, 2, 0)</f>
        <v>DRIED_SEAFOOD</v>
      </c>
      <c r="E2613" t="s">
        <v>665</v>
      </c>
      <c r="F2613" t="s">
        <v>1723</v>
      </c>
    </row>
    <row r="2614" spans="1:6" x14ac:dyDescent="0.3">
      <c r="A2614" t="s">
        <v>4461</v>
      </c>
      <c r="B2614" t="str" cm="1">
        <f t="array" ref="B2614">_xlfn.XLOOKUP(C2614, INDEX([1]!카테고리매핑,,2), INDEX([1]!카테고리매핑,,1), "미등록 카테고리")</f>
        <v>채소/곡물류</v>
      </c>
      <c r="C2614" t="s">
        <v>7</v>
      </c>
      <c r="D2614" t="str">
        <f>VLOOKUP(C2614, '[1]VLOOKUP 함수용 카테고리'!$A$1:$B$59, 2, 0)</f>
        <v>RAW_PRODUCE</v>
      </c>
      <c r="E2614" t="s">
        <v>1058</v>
      </c>
      <c r="F2614" t="s">
        <v>303</v>
      </c>
    </row>
    <row r="2615" spans="1:6" x14ac:dyDescent="0.3">
      <c r="A2615" t="s">
        <v>4462</v>
      </c>
      <c r="B2615" t="str" cm="1">
        <f t="array" ref="B2615">_xlfn.XLOOKUP(C2615, INDEX([1]!카테고리매핑,,2), INDEX([1]!카테고리매핑,,1), "미등록 카테고리")</f>
        <v>육류/계란</v>
      </c>
      <c r="C2615" t="s">
        <v>870</v>
      </c>
      <c r="D2615" t="str">
        <f>VLOOKUP(C2615, '[1]VLOOKUP 함수용 카테고리'!$A$1:$B$59, 2, 0)</f>
        <v>RAW_MEAT</v>
      </c>
      <c r="E2615" t="s">
        <v>871</v>
      </c>
      <c r="F2615" t="s">
        <v>872</v>
      </c>
    </row>
    <row r="2616" spans="1:6" x14ac:dyDescent="0.3">
      <c r="A2616" t="s">
        <v>4463</v>
      </c>
      <c r="B2616" t="str" cm="1">
        <f t="array" ref="B2616">_xlfn.XLOOKUP(C2616, INDEX([1]!카테고리매핑,,2), INDEX([1]!카테고리매핑,,1), "미등록 카테고리")</f>
        <v>육류/계란</v>
      </c>
      <c r="C2616" t="s">
        <v>149</v>
      </c>
      <c r="D2616" t="str">
        <f>VLOOKUP(C2616, '[1]VLOOKUP 함수용 카테고리'!$A$1:$B$59, 2, 0)</f>
        <v>RAW_MEAT</v>
      </c>
      <c r="E2616" t="s">
        <v>4301</v>
      </c>
      <c r="F2616" t="s">
        <v>4302</v>
      </c>
    </row>
    <row r="2617" spans="1:6" x14ac:dyDescent="0.3">
      <c r="A2617" t="s">
        <v>4464</v>
      </c>
      <c r="B2617" t="str" cm="1">
        <f t="array" ref="B2617">_xlfn.XLOOKUP(C2617, INDEX([1]!카테고리매핑,,2), INDEX([1]!카테고리매핑,,1), "미등록 카테고리")</f>
        <v>유제품</v>
      </c>
      <c r="C2617" t="s">
        <v>98</v>
      </c>
      <c r="D2617" t="str">
        <f>VLOOKUP(C2617, '[1]VLOOKUP 함수용 카테고리'!$A$1:$B$59, 2, 0)</f>
        <v>DAIRY</v>
      </c>
      <c r="E2617" t="s">
        <v>98</v>
      </c>
      <c r="F2617" t="s">
        <v>1755</v>
      </c>
    </row>
    <row r="2618" spans="1:6" x14ac:dyDescent="0.3">
      <c r="A2618" t="s">
        <v>4465</v>
      </c>
      <c r="B2618" t="str" cm="1">
        <f t="array" ref="B2618">_xlfn.XLOOKUP(C2618, INDEX([1]!카테고리매핑,,2), INDEX([1]!카테고리매핑,,1), "미등록 카테고리")</f>
        <v>수산물</v>
      </c>
      <c r="C2618" t="s">
        <v>203</v>
      </c>
      <c r="D2618" t="str">
        <f>VLOOKUP(C2618, '[1]VLOOKUP 함수용 카테고리'!$A$1:$B$59, 2, 0)</f>
        <v>RAW_SEAFOOD</v>
      </c>
      <c r="E2618" t="s">
        <v>204</v>
      </c>
    </row>
    <row r="2619" spans="1:6" x14ac:dyDescent="0.3">
      <c r="A2619" t="s">
        <v>4466</v>
      </c>
      <c r="B2619" t="str" cm="1">
        <f t="array" ref="B2619">_xlfn.XLOOKUP(C2619, INDEX([1]!카테고리매핑,,2), INDEX([1]!카테고리매핑,,1), "미등록 카테고리")</f>
        <v>상온식품</v>
      </c>
      <c r="C2619" t="s">
        <v>835</v>
      </c>
      <c r="D2619" t="str">
        <f>VLOOKUP(C2619, '[1]VLOOKUP 함수용 카테고리'!$A$1:$B$59, 2, 0)</f>
        <v>SAUCE_SEASONING</v>
      </c>
      <c r="E2619" t="s">
        <v>2157</v>
      </c>
      <c r="F2619" t="s">
        <v>383</v>
      </c>
    </row>
    <row r="2620" spans="1:6" x14ac:dyDescent="0.3">
      <c r="A2620" t="s">
        <v>4467</v>
      </c>
      <c r="B2620" t="str" cm="1">
        <f t="array" ref="B2620">_xlfn.XLOOKUP(C2620, INDEX([1]!카테고리매핑,,2), INDEX([1]!카테고리매핑,,1), "미등록 카테고리")</f>
        <v>간편식</v>
      </c>
      <c r="C2620" t="s">
        <v>19</v>
      </c>
      <c r="D2620" t="str">
        <f>VLOOKUP(C2620, '[1]VLOOKUP 함수용 카테고리'!$A$1:$B$59, 2, 0)</f>
        <v>FROZEN_MEAL</v>
      </c>
      <c r="E2620" t="s">
        <v>1854</v>
      </c>
      <c r="F2620" t="s">
        <v>4468</v>
      </c>
    </row>
    <row r="2621" spans="1:6" x14ac:dyDescent="0.3">
      <c r="A2621" t="s">
        <v>4469</v>
      </c>
      <c r="B2621" t="str" cm="1">
        <f t="array" ref="B2621">_xlfn.XLOOKUP(C2621, INDEX([1]!카테고리매핑,,2), INDEX([1]!카테고리매핑,,1), "미등록 카테고리")</f>
        <v>간편식</v>
      </c>
      <c r="C2621" t="s">
        <v>256</v>
      </c>
      <c r="D2621" t="str">
        <f>VLOOKUP(C2621, '[1]VLOOKUP 함수용 카테고리'!$A$1:$B$59, 2, 0)</f>
        <v>RTC_MEAL</v>
      </c>
      <c r="E2621" t="s">
        <v>256</v>
      </c>
      <c r="F2621" t="s">
        <v>3730</v>
      </c>
    </row>
    <row r="2622" spans="1:6" x14ac:dyDescent="0.3">
      <c r="A2622" t="s">
        <v>4470</v>
      </c>
      <c r="B2622" t="str" cm="1">
        <f t="array" ref="B2622">_xlfn.XLOOKUP(C2622, INDEX([1]!카테고리매핑,,2), INDEX([1]!카테고리매핑,,1), "미등록 카테고리")</f>
        <v>상온식품</v>
      </c>
      <c r="C2622" t="s">
        <v>276</v>
      </c>
      <c r="D2622" t="str">
        <f>VLOOKUP(C2622, '[1]VLOOKUP 함수용 카테고리'!$A$1:$B$59, 2, 0)</f>
        <v>DRIED_SEAFOOD</v>
      </c>
      <c r="E2622" t="s">
        <v>277</v>
      </c>
      <c r="F2622" t="s">
        <v>4471</v>
      </c>
    </row>
    <row r="2623" spans="1:6" x14ac:dyDescent="0.3">
      <c r="A2623" t="s">
        <v>4472</v>
      </c>
      <c r="B2623" t="str" cm="1">
        <f t="array" ref="B2623">_xlfn.XLOOKUP(C2623, INDEX([1]!카테고리매핑,,2), INDEX([1]!카테고리매핑,,1), "미등록 카테고리")</f>
        <v>조미료</v>
      </c>
      <c r="C2623" t="s">
        <v>127</v>
      </c>
      <c r="D2623" t="str">
        <f>VLOOKUP(C2623, '[1]VLOOKUP 함수용 카테고리'!$A$1:$B$59, 2, 0)</f>
        <v>SAUCE_SEASONING</v>
      </c>
      <c r="E2623" t="s">
        <v>4473</v>
      </c>
      <c r="F2623" t="s">
        <v>4449</v>
      </c>
    </row>
    <row r="2624" spans="1:6" x14ac:dyDescent="0.3">
      <c r="A2624" t="s">
        <v>4474</v>
      </c>
      <c r="B2624" t="str" cm="1">
        <f t="array" ref="B2624">_xlfn.XLOOKUP(C2624, INDEX([1]!카테고리매핑,,2), INDEX([1]!카테고리매핑,,1), "미등록 카테고리")</f>
        <v>간식류</v>
      </c>
      <c r="C2624" t="s">
        <v>63</v>
      </c>
      <c r="D2624" t="str">
        <f>VLOOKUP(C2624, '[1]VLOOKUP 함수용 카테고리'!$A$1:$B$59, 2, 0)</f>
        <v>BAKERY</v>
      </c>
      <c r="E2624" t="s">
        <v>4475</v>
      </c>
      <c r="F2624" t="s">
        <v>4476</v>
      </c>
    </row>
    <row r="2625" spans="1:6" x14ac:dyDescent="0.3">
      <c r="A2625" t="s">
        <v>4477</v>
      </c>
      <c r="B2625" t="str" cm="1">
        <f t="array" ref="B2625">_xlfn.XLOOKUP(C2625, INDEX([1]!카테고리매핑,,2), INDEX([1]!카테고리매핑,,1), "미등록 카테고리")</f>
        <v>육류/계란</v>
      </c>
      <c r="C2625" t="s">
        <v>298</v>
      </c>
      <c r="D2625" t="str">
        <f>VLOOKUP(C2625, '[1]VLOOKUP 함수용 카테고리'!$A$1:$B$59, 2, 0)</f>
        <v>RAW_MEAT</v>
      </c>
      <c r="E2625" t="s">
        <v>751</v>
      </c>
      <c r="F2625" t="s">
        <v>2797</v>
      </c>
    </row>
    <row r="2626" spans="1:6" x14ac:dyDescent="0.3">
      <c r="A2626" t="s">
        <v>4478</v>
      </c>
      <c r="B2626" t="str" cm="1">
        <f t="array" ref="B2626">_xlfn.XLOOKUP(C2626, INDEX([1]!카테고리매핑,,2), INDEX([1]!카테고리매핑,,1), "미등록 카테고리")</f>
        <v>간편식</v>
      </c>
      <c r="C2626" t="s">
        <v>46</v>
      </c>
      <c r="D2626" t="str">
        <f>VLOOKUP(C2626, '[1]VLOOKUP 함수용 카테고리'!$A$1:$B$59, 2, 0)</f>
        <v>RTC_MEAL</v>
      </c>
      <c r="E2626" t="s">
        <v>46</v>
      </c>
      <c r="F2626" t="s">
        <v>4479</v>
      </c>
    </row>
    <row r="2627" spans="1:6" x14ac:dyDescent="0.3">
      <c r="A2627" t="s">
        <v>4480</v>
      </c>
      <c r="B2627" t="str" cm="1">
        <f t="array" ref="B2627">_xlfn.XLOOKUP(C2627, INDEX([1]!카테고리매핑,,2), INDEX([1]!카테고리매핑,,1), "미등록 카테고리")</f>
        <v>유제품</v>
      </c>
      <c r="C2627" t="s">
        <v>98</v>
      </c>
      <c r="D2627" t="str">
        <f>VLOOKUP(C2627, '[1]VLOOKUP 함수용 카테고리'!$A$1:$B$59, 2, 0)</f>
        <v>DAIRY</v>
      </c>
      <c r="E2627" t="s">
        <v>2559</v>
      </c>
      <c r="F2627" t="s">
        <v>4481</v>
      </c>
    </row>
    <row r="2628" spans="1:6" x14ac:dyDescent="0.3">
      <c r="A2628" t="s">
        <v>4482</v>
      </c>
      <c r="B2628" t="str" cm="1">
        <f t="array" ref="B2628">_xlfn.XLOOKUP(C2628, INDEX([1]!카테고리매핑,,2), INDEX([1]!카테고리매핑,,1), "미등록 카테고리")</f>
        <v>미등록 카테고리</v>
      </c>
      <c r="C2628" t="s">
        <v>334</v>
      </c>
      <c r="D2628" t="str">
        <f>VLOOKUP(C2628, '[1]VLOOKUP 함수용 카테고리'!$A$1:$B$59, 2, 0)</f>
        <v>UNKNOWN</v>
      </c>
      <c r="E2628" t="s">
        <v>334</v>
      </c>
      <c r="F2628" t="s">
        <v>972</v>
      </c>
    </row>
    <row r="2629" spans="1:6" x14ac:dyDescent="0.3">
      <c r="A2629" t="s">
        <v>4483</v>
      </c>
      <c r="B2629" t="str" cm="1">
        <f t="array" ref="B2629">_xlfn.XLOOKUP(C2629, INDEX([1]!카테고리매핑,,2), INDEX([1]!카테고리매핑,,1), "미등록 카테고리")</f>
        <v>간식류</v>
      </c>
      <c r="C2629" t="s">
        <v>63</v>
      </c>
      <c r="D2629" t="str">
        <f>VLOOKUP(C2629, '[1]VLOOKUP 함수용 카테고리'!$A$1:$B$59, 2, 0)</f>
        <v>BAKERY</v>
      </c>
      <c r="E2629" t="s">
        <v>513</v>
      </c>
      <c r="F2629" t="s">
        <v>985</v>
      </c>
    </row>
    <row r="2630" spans="1:6" x14ac:dyDescent="0.3">
      <c r="A2630" t="s">
        <v>4484</v>
      </c>
      <c r="B2630" t="str" cm="1">
        <f t="array" ref="B2630">_xlfn.XLOOKUP(C2630, INDEX([1]!카테고리매핑,,2), INDEX([1]!카테고리매핑,,1), "미등록 카테고리")</f>
        <v>과일/견과류</v>
      </c>
      <c r="C2630" t="s">
        <v>654</v>
      </c>
      <c r="D2630" t="str">
        <f>VLOOKUP(C2630, '[1]VLOOKUP 함수용 카테고리'!$A$1:$B$59, 2, 0)</f>
        <v>RAW_FRUIT</v>
      </c>
      <c r="E2630" t="s">
        <v>1422</v>
      </c>
      <c r="F2630" t="s">
        <v>4485</v>
      </c>
    </row>
    <row r="2631" spans="1:6" x14ac:dyDescent="0.3">
      <c r="A2631" t="s">
        <v>4486</v>
      </c>
      <c r="B2631" t="str" cm="1">
        <f t="array" ref="B2631">_xlfn.XLOOKUP(C2631, INDEX([1]!카테고리매핑,,2), INDEX([1]!카테고리매핑,,1), "미등록 카테고리")</f>
        <v>유제품</v>
      </c>
      <c r="C2631" t="s">
        <v>98</v>
      </c>
      <c r="D2631" t="str">
        <f>VLOOKUP(C2631, '[1]VLOOKUP 함수용 카테고리'!$A$1:$B$59, 2, 0)</f>
        <v>DAIRY</v>
      </c>
      <c r="E2631" t="s">
        <v>7666</v>
      </c>
      <c r="F2631" t="s">
        <v>868</v>
      </c>
    </row>
    <row r="2632" spans="1:6" x14ac:dyDescent="0.3">
      <c r="A2632" t="s">
        <v>4487</v>
      </c>
      <c r="B2632" t="str" cm="1">
        <f t="array" ref="B2632">_xlfn.XLOOKUP(C2632, INDEX([1]!카테고리매핑,,2), INDEX([1]!카테고리매핑,,1), "미등록 카테고리")</f>
        <v>수산물</v>
      </c>
      <c r="C2632" t="s">
        <v>263</v>
      </c>
      <c r="D2632" t="str">
        <f>VLOOKUP(C2632, '[1]VLOOKUP 함수용 카테고리'!$A$1:$B$59, 2, 0)</f>
        <v>RAW_SEAFOOD</v>
      </c>
      <c r="E2632" t="s">
        <v>408</v>
      </c>
      <c r="F2632" t="s">
        <v>4488</v>
      </c>
    </row>
    <row r="2633" spans="1:6" x14ac:dyDescent="0.3">
      <c r="A2633" t="s">
        <v>4489</v>
      </c>
      <c r="B2633" t="str" cm="1">
        <f t="array" ref="B2633">_xlfn.XLOOKUP(C2633, INDEX([1]!카테고리매핑,,2), INDEX([1]!카테고리매핑,,1), "미등록 카테고리")</f>
        <v>육류/계란</v>
      </c>
      <c r="C2633" t="s">
        <v>105</v>
      </c>
      <c r="D2633" t="str">
        <f>VLOOKUP(C2633, '[1]VLOOKUP 함수용 카테고리'!$A$1:$B$59, 2, 0)</f>
        <v>RAW_MEAT</v>
      </c>
      <c r="E2633" t="s">
        <v>4490</v>
      </c>
    </row>
    <row r="2634" spans="1:6" x14ac:dyDescent="0.3">
      <c r="A2634" t="s">
        <v>4491</v>
      </c>
      <c r="B2634" t="str" cm="1">
        <f t="array" ref="B2634">_xlfn.XLOOKUP(C2634, INDEX([1]!카테고리매핑,,2), INDEX([1]!카테고리매핑,,1), "미등록 카테고리")</f>
        <v>간편식</v>
      </c>
      <c r="C2634" t="s">
        <v>256</v>
      </c>
      <c r="D2634" t="str">
        <f>VLOOKUP(C2634, '[1]VLOOKUP 함수용 카테고리'!$A$1:$B$59, 2, 0)</f>
        <v>RTC_MEAL</v>
      </c>
      <c r="E2634" t="s">
        <v>256</v>
      </c>
      <c r="F2634" t="s">
        <v>541</v>
      </c>
    </row>
    <row r="2635" spans="1:6" x14ac:dyDescent="0.3">
      <c r="A2635" t="s">
        <v>4492</v>
      </c>
      <c r="B2635" t="str" cm="1">
        <f t="array" ref="B2635">_xlfn.XLOOKUP(C2635, INDEX([1]!카테고리매핑,,2), INDEX([1]!카테고리매핑,,1), "미등록 카테고리")</f>
        <v>간식류</v>
      </c>
      <c r="C2635" t="s">
        <v>15</v>
      </c>
      <c r="D2635" t="str">
        <f>VLOOKUP(C2635, '[1]VLOOKUP 함수용 카테고리'!$A$1:$B$59, 2, 0)</f>
        <v>BAKERY</v>
      </c>
      <c r="E2635" t="s">
        <v>2600</v>
      </c>
    </row>
    <row r="2636" spans="1:6" x14ac:dyDescent="0.3">
      <c r="A2636" t="s">
        <v>4493</v>
      </c>
      <c r="B2636" t="str" cm="1">
        <f t="array" ref="B2636">_xlfn.XLOOKUP(C2636, INDEX([1]!카테고리매핑,,2), INDEX([1]!카테고리매핑,,1), "미등록 카테고리")</f>
        <v>채소/곡물류</v>
      </c>
      <c r="C2636" t="s">
        <v>301</v>
      </c>
      <c r="D2636" t="str">
        <f>VLOOKUP(C2636, '[1]VLOOKUP 함수용 카테고리'!$A$1:$B$59, 2, 0)</f>
        <v>GRAIN</v>
      </c>
      <c r="E2636" t="s">
        <v>490</v>
      </c>
    </row>
    <row r="2637" spans="1:6" x14ac:dyDescent="0.3">
      <c r="A2637" t="s">
        <v>4494</v>
      </c>
      <c r="B2637" t="str" cm="1">
        <f t="array" ref="B2637">_xlfn.XLOOKUP(C2637, INDEX([1]!카테고리매핑,,2), INDEX([1]!카테고리매핑,,1), "미등록 카테고리")</f>
        <v>술</v>
      </c>
      <c r="C2637" t="s">
        <v>56</v>
      </c>
      <c r="D2637" t="str">
        <f>VLOOKUP(C2637, '[1]VLOOKUP 함수용 카테고리'!$A$1:$B$59, 2, 0)</f>
        <v>ALCOHOL</v>
      </c>
      <c r="E2637" t="s">
        <v>57</v>
      </c>
    </row>
    <row r="2638" spans="1:6" x14ac:dyDescent="0.3">
      <c r="A2638" t="s">
        <v>4495</v>
      </c>
      <c r="B2638" t="str" cm="1">
        <f t="array" ref="B2638">_xlfn.XLOOKUP(C2638, INDEX([1]!카테고리매핑,,2), INDEX([1]!카테고리매핑,,1), "미등록 카테고리")</f>
        <v>조미료</v>
      </c>
      <c r="C2638" t="s">
        <v>117</v>
      </c>
      <c r="D2638" t="str">
        <f>VLOOKUP(C2638, '[1]VLOOKUP 함수용 카테고리'!$A$1:$B$59, 2, 0)</f>
        <v>SAUCE_SEASONING</v>
      </c>
      <c r="E2638" t="s">
        <v>118</v>
      </c>
      <c r="F2638" t="s">
        <v>2397</v>
      </c>
    </row>
    <row r="2639" spans="1:6" x14ac:dyDescent="0.3">
      <c r="A2639" t="s">
        <v>4496</v>
      </c>
      <c r="B2639" t="str" cm="1">
        <f t="array" ref="B2639">_xlfn.XLOOKUP(C2639, INDEX([1]!카테고리매핑,,2), INDEX([1]!카테고리매핑,,1), "미등록 카테고리")</f>
        <v>조미료</v>
      </c>
      <c r="C2639" t="s">
        <v>127</v>
      </c>
      <c r="D2639" t="str">
        <f>VLOOKUP(C2639, '[1]VLOOKUP 함수용 카테고리'!$A$1:$B$59, 2, 0)</f>
        <v>SAUCE_SEASONING</v>
      </c>
      <c r="E2639" t="s">
        <v>4497</v>
      </c>
      <c r="F2639" t="s">
        <v>7799</v>
      </c>
    </row>
    <row r="2640" spans="1:6" x14ac:dyDescent="0.3">
      <c r="A2640" t="s">
        <v>4499</v>
      </c>
      <c r="B2640" t="str" cm="1">
        <f t="array" ref="B2640">_xlfn.XLOOKUP(C2640, INDEX([1]!카테고리매핑,,2), INDEX([1]!카테고리매핑,,1), "미등록 카테고리")</f>
        <v>과일/견과류</v>
      </c>
      <c r="C2640" t="s">
        <v>654</v>
      </c>
      <c r="D2640" t="str">
        <f>VLOOKUP(C2640, '[1]VLOOKUP 함수용 카테고리'!$A$1:$B$59, 2, 0)</f>
        <v>RAW_FRUIT</v>
      </c>
      <c r="E2640" t="s">
        <v>1422</v>
      </c>
      <c r="F2640" t="s">
        <v>4485</v>
      </c>
    </row>
    <row r="2641" spans="1:6" x14ac:dyDescent="0.3">
      <c r="A2641" t="s">
        <v>4500</v>
      </c>
      <c r="B2641" t="str" cm="1">
        <f t="array" ref="B2641">_xlfn.XLOOKUP(C2641, INDEX([1]!카테고리매핑,,2), INDEX([1]!카테고리매핑,,1), "미등록 카테고리")</f>
        <v>육류/계란</v>
      </c>
      <c r="C2641" t="s">
        <v>149</v>
      </c>
      <c r="D2641" t="str">
        <f>VLOOKUP(C2641, '[1]VLOOKUP 함수용 카테고리'!$A$1:$B$59, 2, 0)</f>
        <v>RAW_MEAT</v>
      </c>
      <c r="E2641" t="s">
        <v>4501</v>
      </c>
      <c r="F2641" t="s">
        <v>7782</v>
      </c>
    </row>
    <row r="2642" spans="1:6" x14ac:dyDescent="0.3">
      <c r="A2642" t="s">
        <v>4502</v>
      </c>
      <c r="B2642" t="str" cm="1">
        <f t="array" ref="B2642">_xlfn.XLOOKUP(C2642, INDEX([1]!카테고리매핑,,2), INDEX([1]!카테고리매핑,,1), "미등록 카테고리")</f>
        <v>육류/계란</v>
      </c>
      <c r="C2642" t="s">
        <v>428</v>
      </c>
      <c r="D2642" t="str">
        <f>VLOOKUP(C2642, '[1]VLOOKUP 함수용 카테고리'!$A$1:$B$59, 2, 0)</f>
        <v>PROCESSED_MEAT</v>
      </c>
      <c r="E2642" t="s">
        <v>2029</v>
      </c>
      <c r="F2642" t="s">
        <v>1003</v>
      </c>
    </row>
    <row r="2643" spans="1:6" x14ac:dyDescent="0.3">
      <c r="A2643" t="s">
        <v>4503</v>
      </c>
      <c r="B2643" t="str" cm="1">
        <f t="array" ref="B2643">_xlfn.XLOOKUP(C2643, INDEX([1]!카테고리매핑,,2), INDEX([1]!카테고리매핑,,1), "미등록 카테고리")</f>
        <v>조미료</v>
      </c>
      <c r="C2643" t="s">
        <v>127</v>
      </c>
      <c r="D2643" t="str">
        <f>VLOOKUP(C2643, '[1]VLOOKUP 함수용 카테고리'!$A$1:$B$59, 2, 0)</f>
        <v>SAUCE_SEASONING</v>
      </c>
      <c r="E2643" t="s">
        <v>2106</v>
      </c>
      <c r="F2643" t="s">
        <v>4504</v>
      </c>
    </row>
    <row r="2644" spans="1:6" x14ac:dyDescent="0.3">
      <c r="A2644" t="s">
        <v>4505</v>
      </c>
      <c r="B2644" t="str" cm="1">
        <f t="array" ref="B2644">_xlfn.XLOOKUP(C2644, INDEX([1]!카테고리매핑,,2), INDEX([1]!카테고리매핑,,1), "미등록 카테고리")</f>
        <v>미등록 카테고리</v>
      </c>
      <c r="C2644" t="s">
        <v>334</v>
      </c>
      <c r="D2644" t="str">
        <f>VLOOKUP(C2644, '[1]VLOOKUP 함수용 카테고리'!$A$1:$B$59, 2, 0)</f>
        <v>UNKNOWN</v>
      </c>
      <c r="E2644" t="s">
        <v>334</v>
      </c>
      <c r="F2644" t="s">
        <v>4506</v>
      </c>
    </row>
    <row r="2645" spans="1:6" x14ac:dyDescent="0.3">
      <c r="A2645" t="s">
        <v>4507</v>
      </c>
      <c r="B2645" t="str" cm="1">
        <f t="array" ref="B2645">_xlfn.XLOOKUP(C2645, INDEX([1]!카테고리매핑,,2), INDEX([1]!카테고리매핑,,1), "미등록 카테고리")</f>
        <v>수산물</v>
      </c>
      <c r="C2645" t="s">
        <v>203</v>
      </c>
      <c r="D2645" t="str">
        <f>VLOOKUP(C2645, '[1]VLOOKUP 함수용 카테고리'!$A$1:$B$59, 2, 0)</f>
        <v>RAW_SEAFOOD</v>
      </c>
      <c r="E2645" t="s">
        <v>204</v>
      </c>
      <c r="F2645" t="s">
        <v>4508</v>
      </c>
    </row>
    <row r="2646" spans="1:6" x14ac:dyDescent="0.3">
      <c r="A2646" t="s">
        <v>4509</v>
      </c>
      <c r="B2646" t="str" cm="1">
        <f t="array" ref="B2646">_xlfn.XLOOKUP(C2646, INDEX([1]!카테고리매핑,,2), INDEX([1]!카테고리매핑,,1), "미등록 카테고리")</f>
        <v>수산물</v>
      </c>
      <c r="C2646" t="s">
        <v>263</v>
      </c>
      <c r="D2646" t="str">
        <f>VLOOKUP(C2646, '[1]VLOOKUP 함수용 카테고리'!$A$1:$B$59, 2, 0)</f>
        <v>RAW_SEAFOOD</v>
      </c>
      <c r="E2646" t="s">
        <v>264</v>
      </c>
      <c r="F2646" t="s">
        <v>151</v>
      </c>
    </row>
    <row r="2647" spans="1:6" x14ac:dyDescent="0.3">
      <c r="A2647" t="s">
        <v>4510</v>
      </c>
      <c r="B2647" t="str" cm="1">
        <f t="array" ref="B2647">_xlfn.XLOOKUP(C2647, INDEX([1]!카테고리매핑,,2), INDEX([1]!카테고리매핑,,1), "미등록 카테고리")</f>
        <v>간식류</v>
      </c>
      <c r="C2647" t="s">
        <v>11</v>
      </c>
      <c r="D2647" t="str">
        <f>VLOOKUP(C2647, '[1]VLOOKUP 함수용 카테고리'!$A$1:$B$59, 2, 0)</f>
        <v>SNACK</v>
      </c>
      <c r="E2647" t="s">
        <v>371</v>
      </c>
      <c r="F2647" t="s">
        <v>3713</v>
      </c>
    </row>
    <row r="2648" spans="1:6" x14ac:dyDescent="0.3">
      <c r="A2648" t="s">
        <v>4511</v>
      </c>
      <c r="B2648" t="str" cm="1">
        <f t="array" ref="B2648">_xlfn.XLOOKUP(C2648, INDEX([1]!카테고리매핑,,2), INDEX([1]!카테고리매핑,,1), "미등록 카테고리")</f>
        <v>유제품</v>
      </c>
      <c r="C2648" t="s">
        <v>123</v>
      </c>
      <c r="D2648" t="str">
        <f>VLOOKUP(C2648, '[1]VLOOKUP 함수용 카테고리'!$A$1:$B$59, 2, 0)</f>
        <v>DAIRY</v>
      </c>
      <c r="E2648" t="s">
        <v>190</v>
      </c>
      <c r="F2648" t="s">
        <v>4199</v>
      </c>
    </row>
    <row r="2649" spans="1:6" x14ac:dyDescent="0.3">
      <c r="A2649" t="s">
        <v>4512</v>
      </c>
      <c r="B2649" t="str" cm="1">
        <f t="array" ref="B2649">_xlfn.XLOOKUP(C2649, INDEX([1]!카테고리매핑,,2), INDEX([1]!카테고리매핑,,1), "미등록 카테고리")</f>
        <v>유제품</v>
      </c>
      <c r="C2649" t="s">
        <v>123</v>
      </c>
      <c r="D2649" t="str">
        <f>VLOOKUP(C2649, '[1]VLOOKUP 함수용 카테고리'!$A$1:$B$59, 2, 0)</f>
        <v>DAIRY</v>
      </c>
      <c r="E2649" t="s">
        <v>190</v>
      </c>
      <c r="F2649" t="s">
        <v>2435</v>
      </c>
    </row>
    <row r="2650" spans="1:6" x14ac:dyDescent="0.3">
      <c r="A2650" t="s">
        <v>4513</v>
      </c>
      <c r="B2650" t="str" cm="1">
        <f t="array" ref="B2650">_xlfn.XLOOKUP(C2650, INDEX([1]!카테고리매핑,,2), INDEX([1]!카테고리매핑,,1), "미등록 카테고리")</f>
        <v>미등록 카테고리</v>
      </c>
      <c r="C2650" t="s">
        <v>334</v>
      </c>
      <c r="D2650" t="str">
        <f>VLOOKUP(C2650, '[1]VLOOKUP 함수용 카테고리'!$A$1:$B$59, 2, 0)</f>
        <v>UNKNOWN</v>
      </c>
      <c r="E2650" t="s">
        <v>334</v>
      </c>
      <c r="F2650" t="s">
        <v>930</v>
      </c>
    </row>
    <row r="2651" spans="1:6" x14ac:dyDescent="0.3">
      <c r="A2651" t="s">
        <v>4514</v>
      </c>
      <c r="B2651" t="str" cm="1">
        <f t="array" ref="B2651">_xlfn.XLOOKUP(C2651, INDEX([1]!카테고리매핑,,2), INDEX([1]!카테고리매핑,,1), "미등록 카테고리")</f>
        <v>육류/계란</v>
      </c>
      <c r="C2651" t="s">
        <v>149</v>
      </c>
      <c r="D2651" t="str">
        <f>VLOOKUP(C2651, '[1]VLOOKUP 함수용 카테고리'!$A$1:$B$59, 2, 0)</f>
        <v>RAW_MEAT</v>
      </c>
      <c r="E2651" t="s">
        <v>266</v>
      </c>
      <c r="F2651" t="s">
        <v>2363</v>
      </c>
    </row>
    <row r="2652" spans="1:6" x14ac:dyDescent="0.3">
      <c r="A2652" t="s">
        <v>4515</v>
      </c>
      <c r="B2652" t="str" cm="1">
        <f t="array" ref="B2652">_xlfn.XLOOKUP(C2652, INDEX([1]!카테고리매핑,,2), INDEX([1]!카테고리매핑,,1), "미등록 카테고리")</f>
        <v>간편식</v>
      </c>
      <c r="C2652" t="s">
        <v>19</v>
      </c>
      <c r="D2652" t="str">
        <f>VLOOKUP(C2652, '[1]VLOOKUP 함수용 카테고리'!$A$1:$B$59, 2, 0)</f>
        <v>FROZEN_MEAL</v>
      </c>
      <c r="E2652" t="s">
        <v>1115</v>
      </c>
      <c r="F2652" t="s">
        <v>3499</v>
      </c>
    </row>
    <row r="2653" spans="1:6" x14ac:dyDescent="0.3">
      <c r="A2653" t="s">
        <v>4516</v>
      </c>
      <c r="B2653" t="str" cm="1">
        <f t="array" ref="B2653">_xlfn.XLOOKUP(C2653, INDEX([1]!카테고리매핑,,2), INDEX([1]!카테고리매핑,,1), "미등록 카테고리")</f>
        <v>간식류</v>
      </c>
      <c r="C2653" t="s">
        <v>11</v>
      </c>
      <c r="D2653" t="str">
        <f>VLOOKUP(C2653, '[1]VLOOKUP 함수용 카테고리'!$A$1:$B$59, 2, 0)</f>
        <v>SNACK</v>
      </c>
      <c r="E2653" t="s">
        <v>4517</v>
      </c>
      <c r="F2653" t="s">
        <v>13</v>
      </c>
    </row>
    <row r="2654" spans="1:6" x14ac:dyDescent="0.3">
      <c r="A2654" t="s">
        <v>4518</v>
      </c>
      <c r="B2654" t="str" cm="1">
        <f t="array" ref="B2654">_xlfn.XLOOKUP(C2654, INDEX([1]!카테고리매핑,,2), INDEX([1]!카테고리매핑,,1), "미등록 카테고리")</f>
        <v>채소/곡물류</v>
      </c>
      <c r="C2654" t="s">
        <v>7</v>
      </c>
      <c r="D2654" t="str">
        <f>VLOOKUP(C2654, '[1]VLOOKUP 함수용 카테고리'!$A$1:$B$59, 2, 0)</f>
        <v>RAW_PRODUCE</v>
      </c>
      <c r="E2654" t="s">
        <v>960</v>
      </c>
      <c r="F2654" t="s">
        <v>4519</v>
      </c>
    </row>
    <row r="2655" spans="1:6" x14ac:dyDescent="0.3">
      <c r="A2655" t="s">
        <v>4520</v>
      </c>
      <c r="B2655" t="str" cm="1">
        <f t="array" ref="B2655">_xlfn.XLOOKUP(C2655, INDEX([1]!카테고리매핑,,2), INDEX([1]!카테고리매핑,,1), "미등록 카테고리")</f>
        <v>간식류</v>
      </c>
      <c r="C2655" t="s">
        <v>63</v>
      </c>
      <c r="D2655" t="str">
        <f>VLOOKUP(C2655, '[1]VLOOKUP 함수용 카테고리'!$A$1:$B$59, 2, 0)</f>
        <v>BAKERY</v>
      </c>
      <c r="E2655" t="s">
        <v>3384</v>
      </c>
      <c r="F2655" t="s">
        <v>892</v>
      </c>
    </row>
    <row r="2656" spans="1:6" x14ac:dyDescent="0.3">
      <c r="A2656" t="s">
        <v>4521</v>
      </c>
      <c r="B2656" t="str" cm="1">
        <f t="array" ref="B2656">_xlfn.XLOOKUP(C2656, INDEX([1]!카테고리매핑,,2), INDEX([1]!카테고리매핑,,1), "미등록 카테고리")</f>
        <v>음료</v>
      </c>
      <c r="C2656" t="s">
        <v>23</v>
      </c>
      <c r="D2656" t="str">
        <f>VLOOKUP(C2656, '[1]VLOOKUP 함수용 카테고리'!$A$1:$B$59, 2, 0)</f>
        <v>BEVERAGE</v>
      </c>
      <c r="E2656" t="s">
        <v>807</v>
      </c>
      <c r="F2656" t="s">
        <v>4522</v>
      </c>
    </row>
    <row r="2657" spans="1:6" x14ac:dyDescent="0.3">
      <c r="A2657" t="s">
        <v>4523</v>
      </c>
      <c r="B2657" t="str" cm="1">
        <f t="array" ref="B2657">_xlfn.XLOOKUP(C2657, INDEX([1]!카테고리매핑,,2), INDEX([1]!카테고리매핑,,1), "미등록 카테고리")</f>
        <v>과일/견과류</v>
      </c>
      <c r="C2657" t="s">
        <v>654</v>
      </c>
      <c r="D2657" t="str">
        <f>VLOOKUP(C2657, '[1]VLOOKUP 함수용 카테고리'!$A$1:$B$59, 2, 0)</f>
        <v>RAW_FRUIT</v>
      </c>
      <c r="E2657" t="s">
        <v>681</v>
      </c>
      <c r="F2657" t="s">
        <v>4524</v>
      </c>
    </row>
    <row r="2658" spans="1:6" x14ac:dyDescent="0.3">
      <c r="A2658" t="s">
        <v>4525</v>
      </c>
      <c r="B2658" t="str" cm="1">
        <f t="array" ref="B2658">_xlfn.XLOOKUP(C2658, INDEX([1]!카테고리매핑,,2), INDEX([1]!카테고리매핑,,1), "미등록 카테고리")</f>
        <v>수산물</v>
      </c>
      <c r="C2658" t="s">
        <v>183</v>
      </c>
      <c r="D2658" t="str">
        <f>VLOOKUP(C2658, '[1]VLOOKUP 함수용 카테고리'!$A$1:$B$59, 2, 0)</f>
        <v>DRIED_SEAFOOD</v>
      </c>
      <c r="E2658" t="s">
        <v>466</v>
      </c>
      <c r="F2658" t="s">
        <v>151</v>
      </c>
    </row>
    <row r="2659" spans="1:6" x14ac:dyDescent="0.3">
      <c r="A2659" t="s">
        <v>4526</v>
      </c>
      <c r="B2659" t="str" cm="1">
        <f t="array" ref="B2659">_xlfn.XLOOKUP(C2659, INDEX([1]!카테고리매핑,,2), INDEX([1]!카테고리매핑,,1), "미등록 카테고리")</f>
        <v>조미료</v>
      </c>
      <c r="C2659" t="s">
        <v>83</v>
      </c>
      <c r="D2659" t="str">
        <f>VLOOKUP(C2659, '[1]VLOOKUP 함수용 카테고리'!$A$1:$B$59, 2, 0)</f>
        <v>SAUCE_SEASONING</v>
      </c>
      <c r="E2659" t="s">
        <v>2242</v>
      </c>
      <c r="F2659" t="s">
        <v>4527</v>
      </c>
    </row>
    <row r="2660" spans="1:6" x14ac:dyDescent="0.3">
      <c r="A2660" t="s">
        <v>4528</v>
      </c>
      <c r="B2660" t="str" cm="1">
        <f t="array" ref="B2660">_xlfn.XLOOKUP(C2660, INDEX([1]!카테고리매핑,,2), INDEX([1]!카테고리매핑,,1), "미등록 카테고리")</f>
        <v>조미료</v>
      </c>
      <c r="C2660" t="s">
        <v>127</v>
      </c>
      <c r="D2660" t="str">
        <f>VLOOKUP(C2660, '[1]VLOOKUP 함수용 카테고리'!$A$1:$B$59, 2, 0)</f>
        <v>SAUCE_SEASONING</v>
      </c>
      <c r="E2660" t="s">
        <v>4529</v>
      </c>
      <c r="F2660" t="s">
        <v>4530</v>
      </c>
    </row>
    <row r="2661" spans="1:6" x14ac:dyDescent="0.3">
      <c r="A2661" t="s">
        <v>4531</v>
      </c>
      <c r="B2661" t="str" cm="1">
        <f t="array" ref="B2661">_xlfn.XLOOKUP(C2661, INDEX([1]!카테고리매핑,,2), INDEX([1]!카테고리매핑,,1), "미등록 카테고리")</f>
        <v>간식류</v>
      </c>
      <c r="C2661" t="s">
        <v>15</v>
      </c>
      <c r="D2661" t="str">
        <f>VLOOKUP(C2661, '[1]VLOOKUP 함수용 카테고리'!$A$1:$B$59, 2, 0)</f>
        <v>BAKERY</v>
      </c>
      <c r="E2661" t="s">
        <v>898</v>
      </c>
      <c r="F2661" t="s">
        <v>1345</v>
      </c>
    </row>
    <row r="2662" spans="1:6" x14ac:dyDescent="0.3">
      <c r="A2662" t="s">
        <v>4532</v>
      </c>
      <c r="B2662" t="str" cm="1">
        <f t="array" ref="B2662">_xlfn.XLOOKUP(C2662, INDEX([1]!카테고리매핑,,2), INDEX([1]!카테고리매핑,,1), "미등록 카테고리")</f>
        <v>수산물</v>
      </c>
      <c r="C2662" t="s">
        <v>140</v>
      </c>
      <c r="D2662" t="str">
        <f>VLOOKUP(C2662, '[1]VLOOKUP 함수용 카테고리'!$A$1:$B$59, 2, 0)</f>
        <v>SIMPLE_PROCESSED</v>
      </c>
      <c r="E2662" t="s">
        <v>141</v>
      </c>
      <c r="F2662" t="s">
        <v>156</v>
      </c>
    </row>
    <row r="2663" spans="1:6" x14ac:dyDescent="0.3">
      <c r="A2663" t="s">
        <v>4533</v>
      </c>
      <c r="B2663" t="str" cm="1">
        <f t="array" ref="B2663">_xlfn.XLOOKUP(C2663, INDEX([1]!카테고리매핑,,2), INDEX([1]!카테고리매핑,,1), "미등록 카테고리")</f>
        <v>간편식</v>
      </c>
      <c r="C2663" t="s">
        <v>131</v>
      </c>
      <c r="D2663" t="str">
        <f>VLOOKUP(C2663, '[1]VLOOKUP 함수용 카테고리'!$A$1:$B$59, 2, 0)</f>
        <v>SIMPLE_PROCESSED</v>
      </c>
      <c r="E2663" t="s">
        <v>1149</v>
      </c>
      <c r="F2663" t="s">
        <v>541</v>
      </c>
    </row>
    <row r="2664" spans="1:6" x14ac:dyDescent="0.3">
      <c r="A2664" t="s">
        <v>4534</v>
      </c>
      <c r="B2664" t="str" cm="1">
        <f t="array" ref="B2664">_xlfn.XLOOKUP(C2664, INDEX([1]!카테고리매핑,,2), INDEX([1]!카테고리매핑,,1), "미등록 카테고리")</f>
        <v>수산물</v>
      </c>
      <c r="C2664" t="s">
        <v>140</v>
      </c>
      <c r="D2664" t="str">
        <f>VLOOKUP(C2664, '[1]VLOOKUP 함수용 카테고리'!$A$1:$B$59, 2, 0)</f>
        <v>SIMPLE_PROCESSED</v>
      </c>
      <c r="E2664" t="s">
        <v>141</v>
      </c>
      <c r="F2664" t="s">
        <v>1244</v>
      </c>
    </row>
    <row r="2665" spans="1:6" x14ac:dyDescent="0.3">
      <c r="A2665" t="s">
        <v>4535</v>
      </c>
      <c r="B2665" t="str" cm="1">
        <f t="array" ref="B2665">_xlfn.XLOOKUP(C2665, INDEX([1]!카테고리매핑,,2), INDEX([1]!카테고리매핑,,1), "미등록 카테고리")</f>
        <v>간편식</v>
      </c>
      <c r="C2665" t="s">
        <v>19</v>
      </c>
      <c r="D2665" t="str">
        <f>VLOOKUP(C2665, '[1]VLOOKUP 함수용 카테고리'!$A$1:$B$59, 2, 0)</f>
        <v>FROZEN_MEAL</v>
      </c>
      <c r="E2665" t="s">
        <v>4536</v>
      </c>
      <c r="F2665" t="s">
        <v>36</v>
      </c>
    </row>
    <row r="2666" spans="1:6" x14ac:dyDescent="0.3">
      <c r="A2666" t="s">
        <v>4537</v>
      </c>
      <c r="B2666" t="str" cm="1">
        <f t="array" ref="B2666">_xlfn.XLOOKUP(C2666, INDEX([1]!카테고리매핑,,2), INDEX([1]!카테고리매핑,,1), "미등록 카테고리")</f>
        <v>조미료</v>
      </c>
      <c r="C2666" t="s">
        <v>127</v>
      </c>
      <c r="D2666" t="str">
        <f>VLOOKUP(C2666, '[1]VLOOKUP 함수용 카테고리'!$A$1:$B$59, 2, 0)</f>
        <v>SAUCE_SEASONING</v>
      </c>
      <c r="E2666" t="s">
        <v>1251</v>
      </c>
      <c r="F2666" t="s">
        <v>156</v>
      </c>
    </row>
    <row r="2667" spans="1:6" x14ac:dyDescent="0.3">
      <c r="A2667" t="s">
        <v>4538</v>
      </c>
      <c r="B2667" t="str" cm="1">
        <f t="array" ref="B2667">_xlfn.XLOOKUP(C2667, INDEX([1]!카테고리매핑,,2), INDEX([1]!카테고리매핑,,1), "미등록 카테고리")</f>
        <v>조미료</v>
      </c>
      <c r="C2667" t="s">
        <v>83</v>
      </c>
      <c r="D2667" t="str">
        <f>VLOOKUP(C2667, '[1]VLOOKUP 함수용 카테고리'!$A$1:$B$59, 2, 0)</f>
        <v>SAUCE_SEASONING</v>
      </c>
      <c r="E2667" t="s">
        <v>4539</v>
      </c>
      <c r="F2667" t="s">
        <v>129</v>
      </c>
    </row>
    <row r="2668" spans="1:6" x14ac:dyDescent="0.3">
      <c r="A2668" t="s">
        <v>4540</v>
      </c>
      <c r="B2668" t="str" cm="1">
        <f t="array" ref="B2668">_xlfn.XLOOKUP(C2668, INDEX([1]!카테고리매핑,,2), INDEX([1]!카테고리매핑,,1), "미등록 카테고리")</f>
        <v>조미료</v>
      </c>
      <c r="C2668" t="s">
        <v>127</v>
      </c>
      <c r="D2668" t="str">
        <f>VLOOKUP(C2668, '[1]VLOOKUP 함수용 카테고리'!$A$1:$B$59, 2, 0)</f>
        <v>SAUCE_SEASONING</v>
      </c>
      <c r="E2668" t="s">
        <v>248</v>
      </c>
      <c r="F2668" t="s">
        <v>4541</v>
      </c>
    </row>
    <row r="2669" spans="1:6" x14ac:dyDescent="0.3">
      <c r="A2669" t="s">
        <v>4542</v>
      </c>
      <c r="B2669" t="str" cm="1">
        <f t="array" ref="B2669">_xlfn.XLOOKUP(C2669, INDEX([1]!카테고리매핑,,2), INDEX([1]!카테고리매핑,,1), "미등록 카테고리")</f>
        <v>유제품</v>
      </c>
      <c r="C2669" t="s">
        <v>123</v>
      </c>
      <c r="D2669" t="str">
        <f>VLOOKUP(C2669, '[1]VLOOKUP 함수용 카테고리'!$A$1:$B$59, 2, 0)</f>
        <v>DAIRY</v>
      </c>
      <c r="E2669" t="s">
        <v>367</v>
      </c>
      <c r="F2669" t="s">
        <v>1663</v>
      </c>
    </row>
    <row r="2670" spans="1:6" x14ac:dyDescent="0.3">
      <c r="A2670" t="s">
        <v>4543</v>
      </c>
      <c r="B2670" t="str" cm="1">
        <f t="array" ref="B2670">_xlfn.XLOOKUP(C2670, INDEX([1]!카테고리매핑,,2), INDEX([1]!카테고리매핑,,1), "미등록 카테고리")</f>
        <v>간식류</v>
      </c>
      <c r="C2670" t="s">
        <v>38</v>
      </c>
      <c r="D2670" t="str">
        <f>VLOOKUP(C2670, '[1]VLOOKUP 함수용 카테고리'!$A$1:$B$59, 2, 0)</f>
        <v>SNACK</v>
      </c>
      <c r="E2670" t="s">
        <v>179</v>
      </c>
      <c r="F2670" t="s">
        <v>54</v>
      </c>
    </row>
    <row r="2671" spans="1:6" x14ac:dyDescent="0.3">
      <c r="A2671" t="s">
        <v>4544</v>
      </c>
      <c r="B2671" t="str" cm="1">
        <f t="array" ref="B2671">_xlfn.XLOOKUP(C2671, INDEX([1]!카테고리매핑,,2), INDEX([1]!카테고리매핑,,1), "미등록 카테고리")</f>
        <v>채소/곡물류</v>
      </c>
      <c r="C2671" t="s">
        <v>301</v>
      </c>
      <c r="D2671" t="str">
        <f>VLOOKUP(C2671, '[1]VLOOKUP 함수용 카테고리'!$A$1:$B$59, 2, 0)</f>
        <v>GRAIN</v>
      </c>
      <c r="E2671" t="s">
        <v>302</v>
      </c>
      <c r="F2671" t="s">
        <v>4545</v>
      </c>
    </row>
    <row r="2672" spans="1:6" x14ac:dyDescent="0.3">
      <c r="A2672" t="s">
        <v>4546</v>
      </c>
      <c r="B2672" t="str" cm="1">
        <f t="array" ref="B2672">_xlfn.XLOOKUP(C2672, INDEX([1]!카테고리매핑,,2), INDEX([1]!카테고리매핑,,1), "미등록 카테고리")</f>
        <v>채소/곡물류</v>
      </c>
      <c r="C2672" t="s">
        <v>301</v>
      </c>
      <c r="D2672" t="str">
        <f>VLOOKUP(C2672, '[1]VLOOKUP 함수용 카테고리'!$A$1:$B$59, 2, 0)</f>
        <v>GRAIN</v>
      </c>
      <c r="E2672" t="s">
        <v>611</v>
      </c>
      <c r="F2672" t="s">
        <v>303</v>
      </c>
    </row>
    <row r="2673" spans="1:6" x14ac:dyDescent="0.3">
      <c r="A2673" t="s">
        <v>4547</v>
      </c>
      <c r="B2673" t="str" cm="1">
        <f t="array" ref="B2673">_xlfn.XLOOKUP(C2673, INDEX([1]!카테고리매핑,,2), INDEX([1]!카테고리매핑,,1), "미등록 카테고리")</f>
        <v>채소/곡물류</v>
      </c>
      <c r="C2673" t="s">
        <v>301</v>
      </c>
      <c r="D2673" t="str">
        <f>VLOOKUP(C2673, '[1]VLOOKUP 함수용 카테고리'!$A$1:$B$59, 2, 0)</f>
        <v>GRAIN</v>
      </c>
      <c r="E2673" t="s">
        <v>2023</v>
      </c>
      <c r="F2673" t="s">
        <v>2372</v>
      </c>
    </row>
    <row r="2674" spans="1:6" x14ac:dyDescent="0.3">
      <c r="A2674" t="s">
        <v>4548</v>
      </c>
      <c r="B2674" t="str" cm="1">
        <f t="array" ref="B2674">_xlfn.XLOOKUP(C2674, INDEX([1]!카테고리매핑,,2), INDEX([1]!카테고리매핑,,1), "미등록 카테고리")</f>
        <v>간식류</v>
      </c>
      <c r="C2674" t="s">
        <v>15</v>
      </c>
      <c r="D2674" t="str">
        <f>VLOOKUP(C2674, '[1]VLOOKUP 함수용 카테고리'!$A$1:$B$59, 2, 0)</f>
        <v>BAKERY</v>
      </c>
      <c r="E2674" t="s">
        <v>1011</v>
      </c>
      <c r="F2674" t="s">
        <v>1287</v>
      </c>
    </row>
    <row r="2675" spans="1:6" x14ac:dyDescent="0.3">
      <c r="A2675" t="s">
        <v>4549</v>
      </c>
      <c r="B2675" t="str" cm="1">
        <f t="array" ref="B2675">_xlfn.XLOOKUP(C2675, INDEX([1]!카테고리매핑,,2), INDEX([1]!카테고리매핑,,1), "미등록 카테고리")</f>
        <v>유제품</v>
      </c>
      <c r="C2675" t="s">
        <v>98</v>
      </c>
      <c r="D2675" t="str">
        <f>VLOOKUP(C2675, '[1]VLOOKUP 함수용 카테고리'!$A$1:$B$59, 2, 0)</f>
        <v>DAIRY</v>
      </c>
      <c r="E2675" t="s">
        <v>1143</v>
      </c>
      <c r="F2675" t="s">
        <v>2388</v>
      </c>
    </row>
    <row r="2676" spans="1:6" x14ac:dyDescent="0.3">
      <c r="A2676" t="s">
        <v>4550</v>
      </c>
      <c r="B2676" t="str" cm="1">
        <f t="array" ref="B2676">_xlfn.XLOOKUP(C2676, INDEX([1]!카테고리매핑,,2), INDEX([1]!카테고리매핑,,1), "미등록 카테고리")</f>
        <v>간편식</v>
      </c>
      <c r="C2676" t="s">
        <v>46</v>
      </c>
      <c r="D2676" t="str">
        <f>VLOOKUP(C2676, '[1]VLOOKUP 함수용 카테고리'!$A$1:$B$59, 2, 0)</f>
        <v>RTC_MEAL</v>
      </c>
      <c r="E2676" t="s">
        <v>46</v>
      </c>
      <c r="F2676" t="s">
        <v>4308</v>
      </c>
    </row>
    <row r="2677" spans="1:6" x14ac:dyDescent="0.3">
      <c r="A2677" t="s">
        <v>4551</v>
      </c>
      <c r="B2677" t="str" cm="1">
        <f t="array" ref="B2677">_xlfn.XLOOKUP(C2677, INDEX([1]!카테고리매핑,,2), INDEX([1]!카테고리매핑,,1), "미등록 카테고리")</f>
        <v>과일/견과류</v>
      </c>
      <c r="C2677" t="s">
        <v>654</v>
      </c>
      <c r="D2677" t="str">
        <f>VLOOKUP(C2677, '[1]VLOOKUP 함수용 카테고리'!$A$1:$B$59, 2, 0)</f>
        <v>RAW_FRUIT</v>
      </c>
      <c r="E2677" t="s">
        <v>728</v>
      </c>
      <c r="F2677" t="s">
        <v>4524</v>
      </c>
    </row>
    <row r="2678" spans="1:6" x14ac:dyDescent="0.3">
      <c r="A2678" t="s">
        <v>4552</v>
      </c>
      <c r="B2678" t="str" cm="1">
        <f t="array" ref="B2678">_xlfn.XLOOKUP(C2678, INDEX([1]!카테고리매핑,,2), INDEX([1]!카테고리매핑,,1), "미등록 카테고리")</f>
        <v>간편식</v>
      </c>
      <c r="C2678" t="s">
        <v>256</v>
      </c>
      <c r="D2678" t="str">
        <f>VLOOKUP(C2678, '[1]VLOOKUP 함수용 카테고리'!$A$1:$B$59, 2, 0)</f>
        <v>RTC_MEAL</v>
      </c>
      <c r="E2678" t="s">
        <v>256</v>
      </c>
      <c r="F2678" t="s">
        <v>4553</v>
      </c>
    </row>
    <row r="2679" spans="1:6" x14ac:dyDescent="0.3">
      <c r="A2679" t="s">
        <v>4554</v>
      </c>
      <c r="B2679" t="str" cm="1">
        <f t="array" ref="B2679">_xlfn.XLOOKUP(C2679, INDEX([1]!카테고리매핑,,2), INDEX([1]!카테고리매핑,,1), "미등록 카테고리")</f>
        <v>수산물</v>
      </c>
      <c r="C2679" t="s">
        <v>1397</v>
      </c>
      <c r="D2679" t="str">
        <f>VLOOKUP(C2679, '[1]VLOOKUP 함수용 카테고리'!$A$1:$B$59, 2, 0)</f>
        <v>RAW_SEAFOOD</v>
      </c>
      <c r="E2679" t="s">
        <v>1398</v>
      </c>
      <c r="F2679" t="s">
        <v>4555</v>
      </c>
    </row>
    <row r="2680" spans="1:6" x14ac:dyDescent="0.3">
      <c r="A2680" t="s">
        <v>4556</v>
      </c>
      <c r="B2680" t="str" cm="1">
        <f t="array" ref="B2680">_xlfn.XLOOKUP(C2680, INDEX([1]!카테고리매핑,,2), INDEX([1]!카테고리매핑,,1), "미등록 카테고리")</f>
        <v>과일/견과류</v>
      </c>
      <c r="C2680" t="s">
        <v>654</v>
      </c>
      <c r="D2680" t="str">
        <f>VLOOKUP(C2680, '[1]VLOOKUP 함수용 카테고리'!$A$1:$B$59, 2, 0)</f>
        <v>RAW_FRUIT</v>
      </c>
      <c r="E2680" t="s">
        <v>728</v>
      </c>
      <c r="F2680" t="s">
        <v>4524</v>
      </c>
    </row>
    <row r="2681" spans="1:6" x14ac:dyDescent="0.3">
      <c r="A2681" t="s">
        <v>4557</v>
      </c>
      <c r="B2681" t="str" cm="1">
        <f t="array" ref="B2681">_xlfn.XLOOKUP(C2681, INDEX([1]!카테고리매핑,,2), INDEX([1]!카테고리매핑,,1), "미등록 카테고리")</f>
        <v>간편식</v>
      </c>
      <c r="C2681" t="s">
        <v>256</v>
      </c>
      <c r="D2681" t="str">
        <f>VLOOKUP(C2681, '[1]VLOOKUP 함수용 카테고리'!$A$1:$B$59, 2, 0)</f>
        <v>RTC_MEAL</v>
      </c>
      <c r="E2681" t="s">
        <v>256</v>
      </c>
      <c r="F2681" t="s">
        <v>7783</v>
      </c>
    </row>
    <row r="2682" spans="1:6" x14ac:dyDescent="0.3">
      <c r="A2682" t="s">
        <v>4558</v>
      </c>
      <c r="B2682" t="str" cm="1">
        <f t="array" ref="B2682">_xlfn.XLOOKUP(C2682, INDEX([1]!카테고리매핑,,2), INDEX([1]!카테고리매핑,,1), "미등록 카테고리")</f>
        <v>육류/계란</v>
      </c>
      <c r="C2682" t="s">
        <v>298</v>
      </c>
      <c r="D2682" t="str">
        <f>VLOOKUP(C2682, '[1]VLOOKUP 함수용 카테고리'!$A$1:$B$59, 2, 0)</f>
        <v>RAW_MEAT</v>
      </c>
      <c r="E2682" t="s">
        <v>298</v>
      </c>
      <c r="F2682" t="s">
        <v>2803</v>
      </c>
    </row>
    <row r="2683" spans="1:6" x14ac:dyDescent="0.3">
      <c r="A2683" t="s">
        <v>4559</v>
      </c>
      <c r="B2683" t="str" cm="1">
        <f t="array" ref="B2683">_xlfn.XLOOKUP(C2683, INDEX([1]!카테고리매핑,,2), INDEX([1]!카테고리매핑,,1), "미등록 카테고리")</f>
        <v>간식류</v>
      </c>
      <c r="C2683" t="s">
        <v>38</v>
      </c>
      <c r="D2683" t="str">
        <f>VLOOKUP(C2683, '[1]VLOOKUP 함수용 카테고리'!$A$1:$B$59, 2, 0)</f>
        <v>SNACK</v>
      </c>
      <c r="E2683" t="s">
        <v>179</v>
      </c>
      <c r="F2683" t="s">
        <v>403</v>
      </c>
    </row>
    <row r="2684" spans="1:6" x14ac:dyDescent="0.3">
      <c r="A2684" t="s">
        <v>4560</v>
      </c>
      <c r="B2684" t="str" cm="1">
        <f t="array" ref="B2684">_xlfn.XLOOKUP(C2684, INDEX([1]!카테고리매핑,,2), INDEX([1]!카테고리매핑,,1), "미등록 카테고리")</f>
        <v>간식류</v>
      </c>
      <c r="C2684" t="s">
        <v>11</v>
      </c>
      <c r="D2684" t="str">
        <f>VLOOKUP(C2684, '[1]VLOOKUP 함수용 카테고리'!$A$1:$B$59, 2, 0)</f>
        <v>SNACK</v>
      </c>
      <c r="E2684" t="s">
        <v>1668</v>
      </c>
      <c r="F2684" t="s">
        <v>4561</v>
      </c>
    </row>
    <row r="2685" spans="1:6" x14ac:dyDescent="0.3">
      <c r="A2685" t="s">
        <v>4562</v>
      </c>
      <c r="B2685" t="str" cm="1">
        <f t="array" ref="B2685">_xlfn.XLOOKUP(C2685, INDEX([1]!카테고리매핑,,2), INDEX([1]!카테고리매핑,,1), "미등록 카테고리")</f>
        <v>조미료</v>
      </c>
      <c r="C2685" t="s">
        <v>127</v>
      </c>
      <c r="D2685" t="str">
        <f>VLOOKUP(C2685, '[1]VLOOKUP 함수용 카테고리'!$A$1:$B$59, 2, 0)</f>
        <v>SAUCE_SEASONING</v>
      </c>
      <c r="E2685" t="s">
        <v>436</v>
      </c>
      <c r="F2685" t="s">
        <v>129</v>
      </c>
    </row>
    <row r="2686" spans="1:6" x14ac:dyDescent="0.3">
      <c r="A2686" t="s">
        <v>4563</v>
      </c>
      <c r="B2686" t="str" cm="1">
        <f t="array" ref="B2686">_xlfn.XLOOKUP(C2686, INDEX([1]!카테고리매핑,,2), INDEX([1]!카테고리매핑,,1), "미등록 카테고리")</f>
        <v>상온식품</v>
      </c>
      <c r="C2686" t="s">
        <v>1104</v>
      </c>
      <c r="D2686" t="str">
        <f>VLOOKUP(C2686, '[1]VLOOKUP 함수용 카테고리'!$A$1:$B$59, 2, 0)</f>
        <v>CANNED</v>
      </c>
      <c r="E2686" t="s">
        <v>1105</v>
      </c>
      <c r="F2686" t="s">
        <v>1106</v>
      </c>
    </row>
    <row r="2687" spans="1:6" x14ac:dyDescent="0.3">
      <c r="A2687" t="s">
        <v>4564</v>
      </c>
      <c r="B2687" t="str" cm="1">
        <f t="array" ref="B2687">_xlfn.XLOOKUP(C2687, INDEX([1]!카테고리매핑,,2), INDEX([1]!카테고리매핑,,1), "미등록 카테고리")</f>
        <v>간편식</v>
      </c>
      <c r="C2687" t="s">
        <v>19</v>
      </c>
      <c r="D2687" t="str">
        <f>VLOOKUP(C2687, '[1]VLOOKUP 함수용 카테고리'!$A$1:$B$59, 2, 0)</f>
        <v>FROZEN_MEAL</v>
      </c>
      <c r="E2687" t="s">
        <v>245</v>
      </c>
      <c r="F2687" t="s">
        <v>1406</v>
      </c>
    </row>
    <row r="2688" spans="1:6" x14ac:dyDescent="0.3">
      <c r="A2688" t="s">
        <v>4565</v>
      </c>
      <c r="B2688" t="str" cm="1">
        <f t="array" ref="B2688">_xlfn.XLOOKUP(C2688, INDEX([1]!카테고리매핑,,2), INDEX([1]!카테고리매핑,,1), "미등록 카테고리")</f>
        <v>음료</v>
      </c>
      <c r="C2688" t="s">
        <v>708</v>
      </c>
      <c r="D2688" t="str">
        <f>VLOOKUP(C2688, '[1]VLOOKUP 함수용 카테고리'!$A$1:$B$59, 2, 0)</f>
        <v>BEVERAGE</v>
      </c>
      <c r="E2688" t="s">
        <v>708</v>
      </c>
      <c r="F2688" t="s">
        <v>709</v>
      </c>
    </row>
    <row r="2689" spans="1:6" x14ac:dyDescent="0.3">
      <c r="A2689" t="s">
        <v>4566</v>
      </c>
      <c r="B2689" t="str" cm="1">
        <f t="array" ref="B2689">_xlfn.XLOOKUP(C2689, INDEX([1]!카테고리매핑,,2), INDEX([1]!카테고리매핑,,1), "미등록 카테고리")</f>
        <v>유제품</v>
      </c>
      <c r="C2689" t="s">
        <v>123</v>
      </c>
      <c r="D2689" t="str">
        <f>VLOOKUP(C2689, '[1]VLOOKUP 함수용 카테고리'!$A$1:$B$59, 2, 0)</f>
        <v>DAIRY</v>
      </c>
      <c r="E2689" t="s">
        <v>239</v>
      </c>
      <c r="F2689" t="s">
        <v>240</v>
      </c>
    </row>
    <row r="2690" spans="1:6" x14ac:dyDescent="0.3">
      <c r="A2690" t="s">
        <v>4567</v>
      </c>
      <c r="B2690" t="str" cm="1">
        <f t="array" ref="B2690">_xlfn.XLOOKUP(C2690, INDEX([1]!카테고리매핑,,2), INDEX([1]!카테고리매핑,,1), "미등록 카테고리")</f>
        <v>유제품</v>
      </c>
      <c r="C2690" t="s">
        <v>211</v>
      </c>
      <c r="D2690" t="str">
        <f>VLOOKUP(C2690, '[1]VLOOKUP 함수용 카테고리'!$A$1:$B$59, 2, 0)</f>
        <v>DAIRY</v>
      </c>
      <c r="E2690" t="s">
        <v>212</v>
      </c>
      <c r="F2690" t="s">
        <v>193</v>
      </c>
    </row>
    <row r="2691" spans="1:6" x14ac:dyDescent="0.3">
      <c r="A2691" t="s">
        <v>4568</v>
      </c>
      <c r="B2691" t="str" cm="1">
        <f t="array" ref="B2691">_xlfn.XLOOKUP(C2691, INDEX([1]!카테고리매핑,,2), INDEX([1]!카테고리매핑,,1), "미등록 카테고리")</f>
        <v>과일/견과류</v>
      </c>
      <c r="C2691" t="s">
        <v>654</v>
      </c>
      <c r="D2691" t="str">
        <f>VLOOKUP(C2691, '[1]VLOOKUP 함수용 카테고리'!$A$1:$B$59, 2, 0)</f>
        <v>RAW_FRUIT</v>
      </c>
      <c r="E2691" t="s">
        <v>728</v>
      </c>
      <c r="F2691" t="s">
        <v>4524</v>
      </c>
    </row>
    <row r="2692" spans="1:6" x14ac:dyDescent="0.3">
      <c r="A2692" t="s">
        <v>4569</v>
      </c>
      <c r="B2692" t="str" cm="1">
        <f t="array" ref="B2692">_xlfn.XLOOKUP(C2692, INDEX([1]!카테고리매핑,,2), INDEX([1]!카테고리매핑,,1), "미등록 카테고리")</f>
        <v>조미료</v>
      </c>
      <c r="C2692" t="s">
        <v>127</v>
      </c>
      <c r="D2692" t="str">
        <f>VLOOKUP(C2692, '[1]VLOOKUP 함수용 카테고리'!$A$1:$B$59, 2, 0)</f>
        <v>SAUCE_SEASONING</v>
      </c>
      <c r="E2692" t="s">
        <v>1896</v>
      </c>
      <c r="F2692" t="s">
        <v>646</v>
      </c>
    </row>
    <row r="2693" spans="1:6" x14ac:dyDescent="0.3">
      <c r="A2693" t="s">
        <v>4570</v>
      </c>
      <c r="B2693" t="str" cm="1">
        <f t="array" ref="B2693">_xlfn.XLOOKUP(C2693, INDEX([1]!카테고리매핑,,2), INDEX([1]!카테고리매핑,,1), "미등록 카테고리")</f>
        <v>과일/견과류</v>
      </c>
      <c r="C2693" t="s">
        <v>654</v>
      </c>
      <c r="D2693" t="str">
        <f>VLOOKUP(C2693, '[1]VLOOKUP 함수용 카테고리'!$A$1:$B$59, 2, 0)</f>
        <v>RAW_FRUIT</v>
      </c>
      <c r="E2693" t="s">
        <v>681</v>
      </c>
      <c r="F2693" t="s">
        <v>4524</v>
      </c>
    </row>
    <row r="2694" spans="1:6" x14ac:dyDescent="0.3">
      <c r="A2694" t="s">
        <v>4571</v>
      </c>
      <c r="B2694" t="str" cm="1">
        <f t="array" ref="B2694">_xlfn.XLOOKUP(C2694, INDEX([1]!카테고리매핑,,2), INDEX([1]!카테고리매핑,,1), "미등록 카테고리")</f>
        <v>간식류</v>
      </c>
      <c r="C2694" t="s">
        <v>11</v>
      </c>
      <c r="D2694" t="str">
        <f>VLOOKUP(C2694, '[1]VLOOKUP 함수용 카테고리'!$A$1:$B$59, 2, 0)</f>
        <v>SNACK</v>
      </c>
      <c r="E2694" t="s">
        <v>153</v>
      </c>
      <c r="F2694" t="s">
        <v>129</v>
      </c>
    </row>
    <row r="2695" spans="1:6" x14ac:dyDescent="0.3">
      <c r="A2695" t="s">
        <v>4572</v>
      </c>
      <c r="B2695" t="str" cm="1">
        <f t="array" ref="B2695">_xlfn.XLOOKUP(C2695, INDEX([1]!카테고리매핑,,2), INDEX([1]!카테고리매핑,,1), "미등록 카테고리")</f>
        <v>과일/견과류</v>
      </c>
      <c r="C2695" t="s">
        <v>654</v>
      </c>
      <c r="D2695" t="str">
        <f>VLOOKUP(C2695, '[1]VLOOKUP 함수용 카테고리'!$A$1:$B$59, 2, 0)</f>
        <v>RAW_FRUIT</v>
      </c>
      <c r="E2695" t="s">
        <v>681</v>
      </c>
      <c r="F2695" t="s">
        <v>4524</v>
      </c>
    </row>
    <row r="2696" spans="1:6" x14ac:dyDescent="0.3">
      <c r="A2696" t="s">
        <v>4573</v>
      </c>
      <c r="B2696" t="str" cm="1">
        <f t="array" ref="B2696">_xlfn.XLOOKUP(C2696, INDEX([1]!카테고리매핑,,2), INDEX([1]!카테고리매핑,,1), "미등록 카테고리")</f>
        <v>조미료</v>
      </c>
      <c r="C2696" t="s">
        <v>84</v>
      </c>
      <c r="D2696" t="str">
        <f>VLOOKUP(C2696, '[1]VLOOKUP 함수용 카테고리'!$A$1:$B$59, 2, 0)</f>
        <v>SAUCE_SEASONING</v>
      </c>
      <c r="E2696" t="s">
        <v>85</v>
      </c>
      <c r="F2696" t="s">
        <v>4574</v>
      </c>
    </row>
    <row r="2697" spans="1:6" x14ac:dyDescent="0.3">
      <c r="A2697" t="s">
        <v>4575</v>
      </c>
      <c r="B2697" t="str" cm="1">
        <f t="array" ref="B2697">_xlfn.XLOOKUP(C2697, INDEX([1]!카테고리매핑,,2), INDEX([1]!카테고리매핑,,1), "미등록 카테고리")</f>
        <v>간식류</v>
      </c>
      <c r="C2697" t="s">
        <v>11</v>
      </c>
      <c r="D2697" t="str">
        <f>VLOOKUP(C2697, '[1]VLOOKUP 함수용 카테고리'!$A$1:$B$59, 2, 0)</f>
        <v>SNACK</v>
      </c>
      <c r="E2697" t="s">
        <v>2426</v>
      </c>
    </row>
    <row r="2698" spans="1:6" x14ac:dyDescent="0.3">
      <c r="A2698" t="s">
        <v>4576</v>
      </c>
      <c r="B2698" t="str" cm="1">
        <f t="array" ref="B2698">_xlfn.XLOOKUP(C2698, INDEX([1]!카테고리매핑,,2), INDEX([1]!카테고리매핑,,1), "미등록 카테고리")</f>
        <v>술</v>
      </c>
      <c r="C2698" t="s">
        <v>974</v>
      </c>
      <c r="D2698" t="str">
        <f>VLOOKUP(C2698, '[1]VLOOKUP 함수용 카테고리'!$A$1:$B$59, 2, 0)</f>
        <v>ALCOHOL</v>
      </c>
      <c r="E2698" t="s">
        <v>974</v>
      </c>
      <c r="F2698" t="s">
        <v>4577</v>
      </c>
    </row>
    <row r="2699" spans="1:6" x14ac:dyDescent="0.3">
      <c r="A2699" t="s">
        <v>4578</v>
      </c>
      <c r="B2699" t="str" cm="1">
        <f t="array" ref="B2699">_xlfn.XLOOKUP(C2699, INDEX([1]!카테고리매핑,,2), INDEX([1]!카테고리매핑,,1), "미등록 카테고리")</f>
        <v>육류/계란</v>
      </c>
      <c r="C2699" t="s">
        <v>428</v>
      </c>
      <c r="D2699" t="str">
        <f>VLOOKUP(C2699, '[1]VLOOKUP 함수용 카테고리'!$A$1:$B$59, 2, 0)</f>
        <v>PROCESSED_MEAT</v>
      </c>
      <c r="E2699" t="s">
        <v>776</v>
      </c>
      <c r="F2699" t="s">
        <v>246</v>
      </c>
    </row>
    <row r="2700" spans="1:6" x14ac:dyDescent="0.3">
      <c r="A2700" t="s">
        <v>4579</v>
      </c>
      <c r="B2700" t="str" cm="1">
        <f t="array" ref="B2700">_xlfn.XLOOKUP(C2700, INDEX([1]!카테고리매핑,,2), INDEX([1]!카테고리매핑,,1), "미등록 카테고리")</f>
        <v>간식류</v>
      </c>
      <c r="C2700" t="s">
        <v>15</v>
      </c>
      <c r="D2700" t="str">
        <f>VLOOKUP(C2700, '[1]VLOOKUP 함수용 카테고리'!$A$1:$B$59, 2, 0)</f>
        <v>BAKERY</v>
      </c>
      <c r="E2700" t="s">
        <v>53</v>
      </c>
      <c r="F2700" t="s">
        <v>1663</v>
      </c>
    </row>
    <row r="2701" spans="1:6" x14ac:dyDescent="0.3">
      <c r="A2701" t="s">
        <v>4580</v>
      </c>
      <c r="B2701" t="str" cm="1">
        <f t="array" ref="B2701">_xlfn.XLOOKUP(C2701, INDEX([1]!카테고리매핑,,2), INDEX([1]!카테고리매핑,,1), "미등록 카테고리")</f>
        <v>상온식품</v>
      </c>
      <c r="C2701" t="s">
        <v>769</v>
      </c>
      <c r="D2701" t="str">
        <f>VLOOKUP(C2701, '[1]VLOOKUP 함수용 카테고리'!$A$1:$B$59, 2, 0)</f>
        <v>GRAIN</v>
      </c>
      <c r="E2701" t="s">
        <v>770</v>
      </c>
      <c r="F2701" t="s">
        <v>72</v>
      </c>
    </row>
    <row r="2702" spans="1:6" x14ac:dyDescent="0.3">
      <c r="A2702" t="s">
        <v>4581</v>
      </c>
      <c r="B2702" t="str" cm="1">
        <f t="array" ref="B2702">_xlfn.XLOOKUP(C2702, INDEX([1]!카테고리매핑,,2), INDEX([1]!카테고리매핑,,1), "미등록 카테고리")</f>
        <v>간편식</v>
      </c>
      <c r="C2702" t="s">
        <v>131</v>
      </c>
      <c r="D2702" t="str">
        <f>VLOOKUP(C2702, '[1]VLOOKUP 함수용 카테고리'!$A$1:$B$59, 2, 0)</f>
        <v>SIMPLE_PROCESSED</v>
      </c>
      <c r="E2702" t="s">
        <v>4582</v>
      </c>
      <c r="F2702" t="s">
        <v>527</v>
      </c>
    </row>
    <row r="2703" spans="1:6" x14ac:dyDescent="0.3">
      <c r="A2703" t="s">
        <v>4583</v>
      </c>
      <c r="B2703" t="str" cm="1">
        <f t="array" ref="B2703">_xlfn.XLOOKUP(C2703, INDEX([1]!카테고리매핑,,2), INDEX([1]!카테고리매핑,,1), "미등록 카테고리")</f>
        <v>상온식품</v>
      </c>
      <c r="C2703" t="s">
        <v>1104</v>
      </c>
      <c r="D2703" t="str">
        <f>VLOOKUP(C2703, '[1]VLOOKUP 함수용 카테고리'!$A$1:$B$59, 2, 0)</f>
        <v>CANNED</v>
      </c>
      <c r="E2703" t="s">
        <v>1105</v>
      </c>
      <c r="F2703" t="s">
        <v>1106</v>
      </c>
    </row>
    <row r="2704" spans="1:6" x14ac:dyDescent="0.3">
      <c r="A2704" t="s">
        <v>4584</v>
      </c>
      <c r="B2704" t="str" cm="1">
        <f t="array" ref="B2704">_xlfn.XLOOKUP(C2704, INDEX([1]!카테고리매핑,,2), INDEX([1]!카테고리매핑,,1), "미등록 카테고리")</f>
        <v>간식류</v>
      </c>
      <c r="C2704" t="s">
        <v>63</v>
      </c>
      <c r="D2704" t="str">
        <f>VLOOKUP(C2704, '[1]VLOOKUP 함수용 카테고리'!$A$1:$B$59, 2, 0)</f>
        <v>BAKERY</v>
      </c>
      <c r="E2704" t="s">
        <v>3384</v>
      </c>
      <c r="F2704" t="s">
        <v>4585</v>
      </c>
    </row>
    <row r="2705" spans="1:6" x14ac:dyDescent="0.3">
      <c r="A2705" t="s">
        <v>4586</v>
      </c>
      <c r="B2705" t="str" cm="1">
        <f t="array" ref="B2705">_xlfn.XLOOKUP(C2705, INDEX([1]!카테고리매핑,,2), INDEX([1]!카테고리매핑,,1), "미등록 카테고리")</f>
        <v>간편식</v>
      </c>
      <c r="C2705" t="s">
        <v>256</v>
      </c>
      <c r="D2705" t="str">
        <f>VLOOKUP(C2705, '[1]VLOOKUP 함수용 카테고리'!$A$1:$B$59, 2, 0)</f>
        <v>RTC_MEAL</v>
      </c>
      <c r="E2705" t="s">
        <v>256</v>
      </c>
      <c r="F2705" t="s">
        <v>129</v>
      </c>
    </row>
    <row r="2706" spans="1:6" x14ac:dyDescent="0.3">
      <c r="A2706" t="s">
        <v>4587</v>
      </c>
      <c r="B2706" t="str" cm="1">
        <f t="array" ref="B2706">_xlfn.XLOOKUP(C2706, INDEX([1]!카테고리매핑,,2), INDEX([1]!카테고리매핑,,1), "미등록 카테고리")</f>
        <v>육류/계란</v>
      </c>
      <c r="C2706" t="s">
        <v>105</v>
      </c>
      <c r="D2706" t="str">
        <f>VLOOKUP(C2706, '[1]VLOOKUP 함수용 카테고리'!$A$1:$B$59, 2, 0)</f>
        <v>RAW_MEAT</v>
      </c>
      <c r="E2706" t="s">
        <v>4588</v>
      </c>
    </row>
    <row r="2707" spans="1:6" x14ac:dyDescent="0.3">
      <c r="A2707" t="s">
        <v>4589</v>
      </c>
      <c r="B2707" t="str" cm="1">
        <f t="array" ref="B2707">_xlfn.XLOOKUP(C2707, INDEX([1]!카테고리매핑,,2), INDEX([1]!카테고리매핑,,1), "미등록 카테고리")</f>
        <v>간식류</v>
      </c>
      <c r="C2707" t="s">
        <v>15</v>
      </c>
      <c r="D2707" t="str">
        <f>VLOOKUP(C2707, '[1]VLOOKUP 함수용 카테고리'!$A$1:$B$59, 2, 0)</f>
        <v>BAKERY</v>
      </c>
      <c r="E2707" t="s">
        <v>16</v>
      </c>
      <c r="F2707" t="s">
        <v>7784</v>
      </c>
    </row>
    <row r="2708" spans="1:6" x14ac:dyDescent="0.3">
      <c r="A2708" t="s">
        <v>4590</v>
      </c>
      <c r="B2708" t="str" cm="1">
        <f t="array" ref="B2708">_xlfn.XLOOKUP(C2708, INDEX([1]!카테고리매핑,,2), INDEX([1]!카테고리매핑,,1), "미등록 카테고리")</f>
        <v>간편식</v>
      </c>
      <c r="C2708" t="s">
        <v>256</v>
      </c>
      <c r="D2708" t="str">
        <f>VLOOKUP(C2708, '[1]VLOOKUP 함수용 카테고리'!$A$1:$B$59, 2, 0)</f>
        <v>RTC_MEAL</v>
      </c>
      <c r="E2708" t="s">
        <v>256</v>
      </c>
      <c r="F2708" t="s">
        <v>765</v>
      </c>
    </row>
    <row r="2709" spans="1:6" x14ac:dyDescent="0.3">
      <c r="A2709" t="s">
        <v>4591</v>
      </c>
      <c r="B2709" t="str" cm="1">
        <f t="array" ref="B2709">_xlfn.XLOOKUP(C2709, INDEX([1]!카테고리매핑,,2), INDEX([1]!카테고리매핑,,1), "미등록 카테고리")</f>
        <v>수산물</v>
      </c>
      <c r="C2709" t="s">
        <v>140</v>
      </c>
      <c r="D2709" t="str">
        <f>VLOOKUP(C2709, '[1]VLOOKUP 함수용 카테고리'!$A$1:$B$59, 2, 0)</f>
        <v>SIMPLE_PROCESSED</v>
      </c>
      <c r="E2709" t="s">
        <v>141</v>
      </c>
      <c r="F2709" t="s">
        <v>4592</v>
      </c>
    </row>
    <row r="2710" spans="1:6" x14ac:dyDescent="0.3">
      <c r="A2710" t="s">
        <v>4593</v>
      </c>
      <c r="B2710" t="str" cm="1">
        <f t="array" ref="B2710">_xlfn.XLOOKUP(C2710, INDEX([1]!카테고리매핑,,2), INDEX([1]!카테고리매핑,,1), "미등록 카테고리")</f>
        <v>채소/곡물류</v>
      </c>
      <c r="C2710" t="s">
        <v>7</v>
      </c>
      <c r="D2710" t="str">
        <f>VLOOKUP(C2710, '[1]VLOOKUP 함수용 카테고리'!$A$1:$B$59, 2, 0)</f>
        <v>RAW_PRODUCE</v>
      </c>
      <c r="E2710" t="s">
        <v>188</v>
      </c>
      <c r="F2710" t="s">
        <v>151</v>
      </c>
    </row>
    <row r="2711" spans="1:6" x14ac:dyDescent="0.3">
      <c r="A2711" t="s">
        <v>4594</v>
      </c>
      <c r="B2711" t="str" cm="1">
        <f t="array" ref="B2711">_xlfn.XLOOKUP(C2711, INDEX([1]!카테고리매핑,,2), INDEX([1]!카테고리매핑,,1), "미등록 카테고리")</f>
        <v>채소/곡물류</v>
      </c>
      <c r="C2711" t="s">
        <v>7</v>
      </c>
      <c r="D2711" t="str">
        <f>VLOOKUP(C2711, '[1]VLOOKUP 함수용 카테고리'!$A$1:$B$59, 2, 0)</f>
        <v>RAW_PRODUCE</v>
      </c>
      <c r="E2711" t="s">
        <v>50</v>
      </c>
      <c r="F2711" t="s">
        <v>350</v>
      </c>
    </row>
    <row r="2712" spans="1:6" x14ac:dyDescent="0.3">
      <c r="A2712" t="s">
        <v>4595</v>
      </c>
      <c r="B2712" t="str" cm="1">
        <f t="array" ref="B2712">_xlfn.XLOOKUP(C2712, INDEX([1]!카테고리매핑,,2), INDEX([1]!카테고리매핑,,1), "미등록 카테고리")</f>
        <v>간식류</v>
      </c>
      <c r="C2712" t="s">
        <v>109</v>
      </c>
      <c r="D2712" t="str">
        <f>VLOOKUP(C2712, '[1]VLOOKUP 함수용 카테고리'!$A$1:$B$59, 2, 0)</f>
        <v>SNACK</v>
      </c>
      <c r="E2712" t="s">
        <v>1531</v>
      </c>
      <c r="F2712" t="s">
        <v>350</v>
      </c>
    </row>
    <row r="2713" spans="1:6" x14ac:dyDescent="0.3">
      <c r="A2713" t="s">
        <v>4596</v>
      </c>
      <c r="B2713" t="str" cm="1">
        <f t="array" ref="B2713">_xlfn.XLOOKUP(C2713, INDEX([1]!카테고리매핑,,2), INDEX([1]!카테고리매핑,,1), "미등록 카테고리")</f>
        <v>채소/곡물류</v>
      </c>
      <c r="C2713" t="s">
        <v>7</v>
      </c>
      <c r="D2713" t="str">
        <f>VLOOKUP(C2713, '[1]VLOOKUP 함수용 카테고리'!$A$1:$B$59, 2, 0)</f>
        <v>RAW_PRODUCE</v>
      </c>
      <c r="E2713" t="s">
        <v>4597</v>
      </c>
      <c r="F2713" t="s">
        <v>3808</v>
      </c>
    </row>
    <row r="2714" spans="1:6" x14ac:dyDescent="0.3">
      <c r="A2714" t="s">
        <v>4598</v>
      </c>
      <c r="B2714" t="str" cm="1">
        <f t="array" ref="B2714">_xlfn.XLOOKUP(C2714, INDEX([1]!카테고리매핑,,2), INDEX([1]!카테고리매핑,,1), "미등록 카테고리")</f>
        <v>간식류</v>
      </c>
      <c r="C2714" t="s">
        <v>15</v>
      </c>
      <c r="D2714" t="str">
        <f>VLOOKUP(C2714, '[1]VLOOKUP 함수용 카테고리'!$A$1:$B$59, 2, 0)</f>
        <v>BAKERY</v>
      </c>
      <c r="E2714" t="s">
        <v>2819</v>
      </c>
      <c r="F2714" t="s">
        <v>3604</v>
      </c>
    </row>
    <row r="2715" spans="1:6" x14ac:dyDescent="0.3">
      <c r="A2715" t="s">
        <v>4599</v>
      </c>
      <c r="B2715" t="str" cm="1">
        <f t="array" ref="B2715">_xlfn.XLOOKUP(C2715, INDEX([1]!카테고리매핑,,2), INDEX([1]!카테고리매핑,,1), "미등록 카테고리")</f>
        <v>간편식</v>
      </c>
      <c r="C2715" t="s">
        <v>131</v>
      </c>
      <c r="D2715" t="str">
        <f>VLOOKUP(C2715, '[1]VLOOKUP 함수용 카테고리'!$A$1:$B$59, 2, 0)</f>
        <v>SIMPLE_PROCESSED</v>
      </c>
      <c r="E2715" t="s">
        <v>4600</v>
      </c>
      <c r="F2715" t="s">
        <v>237</v>
      </c>
    </row>
    <row r="2716" spans="1:6" x14ac:dyDescent="0.3">
      <c r="A2716" t="s">
        <v>4601</v>
      </c>
      <c r="B2716" t="str" cm="1">
        <f t="array" ref="B2716">_xlfn.XLOOKUP(C2716, INDEX([1]!카테고리매핑,,2), INDEX([1]!카테고리매핑,,1), "미등록 카테고리")</f>
        <v>채소/곡물류</v>
      </c>
      <c r="C2716" t="s">
        <v>7</v>
      </c>
      <c r="D2716" t="str">
        <f>VLOOKUP(C2716, '[1]VLOOKUP 함수용 카테고리'!$A$1:$B$59, 2, 0)</f>
        <v>RAW_PRODUCE</v>
      </c>
      <c r="E2716" t="s">
        <v>188</v>
      </c>
      <c r="F2716" t="s">
        <v>406</v>
      </c>
    </row>
    <row r="2717" spans="1:6" x14ac:dyDescent="0.3">
      <c r="A2717" t="s">
        <v>4602</v>
      </c>
      <c r="B2717" t="str" cm="1">
        <f t="array" ref="B2717">_xlfn.XLOOKUP(C2717, INDEX([1]!카테고리매핑,,2), INDEX([1]!카테고리매핑,,1), "미등록 카테고리")</f>
        <v>채소/곡물류</v>
      </c>
      <c r="C2717" t="s">
        <v>301</v>
      </c>
      <c r="D2717" t="str">
        <f>VLOOKUP(C2717, '[1]VLOOKUP 함수용 카테고리'!$A$1:$B$59, 2, 0)</f>
        <v>GRAIN</v>
      </c>
      <c r="E2717" t="s">
        <v>611</v>
      </c>
      <c r="F2717" t="s">
        <v>303</v>
      </c>
    </row>
    <row r="2718" spans="1:6" x14ac:dyDescent="0.3">
      <c r="A2718" t="s">
        <v>4603</v>
      </c>
      <c r="B2718" t="str" cm="1">
        <f t="array" ref="B2718">_xlfn.XLOOKUP(C2718, INDEX([1]!카테고리매핑,,2), INDEX([1]!카테고리매핑,,1), "미등록 카테고리")</f>
        <v>간식류</v>
      </c>
      <c r="C2718" t="s">
        <v>109</v>
      </c>
      <c r="D2718" t="str">
        <f>VLOOKUP(C2718, '[1]VLOOKUP 함수용 카테고리'!$A$1:$B$59, 2, 0)</f>
        <v>SNACK</v>
      </c>
      <c r="E2718" t="s">
        <v>109</v>
      </c>
      <c r="F2718" t="s">
        <v>1996</v>
      </c>
    </row>
    <row r="2719" spans="1:6" x14ac:dyDescent="0.3">
      <c r="A2719" t="s">
        <v>4604</v>
      </c>
      <c r="B2719" t="str" cm="1">
        <f t="array" ref="B2719">_xlfn.XLOOKUP(C2719, INDEX([1]!카테고리매핑,,2), INDEX([1]!카테고리매핑,,1), "미등록 카테고리")</f>
        <v>채소/곡물류</v>
      </c>
      <c r="C2719" t="s">
        <v>301</v>
      </c>
      <c r="D2719" t="str">
        <f>VLOOKUP(C2719, '[1]VLOOKUP 함수용 카테고리'!$A$1:$B$59, 2, 0)</f>
        <v>GRAIN</v>
      </c>
      <c r="E2719" t="s">
        <v>611</v>
      </c>
      <c r="F2719" t="s">
        <v>3187</v>
      </c>
    </row>
    <row r="2720" spans="1:6" x14ac:dyDescent="0.3">
      <c r="A2720" t="s">
        <v>4605</v>
      </c>
      <c r="B2720" t="str" cm="1">
        <f t="array" ref="B2720">_xlfn.XLOOKUP(C2720, INDEX([1]!카테고리매핑,,2), INDEX([1]!카테고리매핑,,1), "미등록 카테고리")</f>
        <v>육류/계란</v>
      </c>
      <c r="C2720" t="s">
        <v>149</v>
      </c>
      <c r="D2720" t="str">
        <f>VLOOKUP(C2720, '[1]VLOOKUP 함수용 카테고리'!$A$1:$B$59, 2, 0)</f>
        <v>RAW_MEAT</v>
      </c>
      <c r="E2720" t="s">
        <v>266</v>
      </c>
      <c r="F2720" t="s">
        <v>726</v>
      </c>
    </row>
    <row r="2721" spans="1:6" x14ac:dyDescent="0.3">
      <c r="A2721" t="s">
        <v>4606</v>
      </c>
      <c r="B2721" t="str" cm="1">
        <f t="array" ref="B2721">_xlfn.XLOOKUP(C2721, INDEX([1]!카테고리매핑,,2), INDEX([1]!카테고리매핑,,1), "미등록 카테고리")</f>
        <v>음료</v>
      </c>
      <c r="C2721" t="s">
        <v>23</v>
      </c>
      <c r="D2721" t="str">
        <f>VLOOKUP(C2721, '[1]VLOOKUP 함수용 카테고리'!$A$1:$B$59, 2, 0)</f>
        <v>BEVERAGE</v>
      </c>
      <c r="E2721" t="s">
        <v>1658</v>
      </c>
      <c r="F2721" t="s">
        <v>4607</v>
      </c>
    </row>
    <row r="2722" spans="1:6" x14ac:dyDescent="0.3">
      <c r="A2722" t="s">
        <v>4608</v>
      </c>
      <c r="B2722" t="str" cm="1">
        <f t="array" ref="B2722">_xlfn.XLOOKUP(C2722, INDEX([1]!카테고리매핑,,2), INDEX([1]!카테고리매핑,,1), "미등록 카테고리")</f>
        <v>유제품</v>
      </c>
      <c r="C2722" t="s">
        <v>211</v>
      </c>
      <c r="D2722" t="str">
        <f>VLOOKUP(C2722, '[1]VLOOKUP 함수용 카테고리'!$A$1:$B$59, 2, 0)</f>
        <v>DAIRY</v>
      </c>
      <c r="E2722" t="s">
        <v>211</v>
      </c>
      <c r="F2722" t="s">
        <v>2716</v>
      </c>
    </row>
    <row r="2723" spans="1:6" x14ac:dyDescent="0.3">
      <c r="A2723" t="s">
        <v>4609</v>
      </c>
      <c r="B2723" t="str" cm="1">
        <f t="array" ref="B2723">_xlfn.XLOOKUP(C2723, INDEX([1]!카테고리매핑,,2), INDEX([1]!카테고리매핑,,1), "미등록 카테고리")</f>
        <v>유제품</v>
      </c>
      <c r="C2723" t="s">
        <v>98</v>
      </c>
      <c r="D2723" t="str">
        <f>VLOOKUP(C2723, '[1]VLOOKUP 함수용 카테고리'!$A$1:$B$59, 2, 0)</f>
        <v>DAIRY</v>
      </c>
      <c r="E2723" t="s">
        <v>98</v>
      </c>
      <c r="F2723" t="s">
        <v>4610</v>
      </c>
    </row>
    <row r="2724" spans="1:6" x14ac:dyDescent="0.3">
      <c r="A2724" t="s">
        <v>4611</v>
      </c>
      <c r="B2724" t="str" cm="1">
        <f t="array" ref="B2724">_xlfn.XLOOKUP(C2724, INDEX([1]!카테고리매핑,,2), INDEX([1]!카테고리매핑,,1), "미등록 카테고리")</f>
        <v>술</v>
      </c>
      <c r="C2724" t="s">
        <v>42</v>
      </c>
      <c r="D2724" t="str">
        <f>VLOOKUP(C2724, '[1]VLOOKUP 함수용 카테고리'!$A$1:$B$59, 2, 0)</f>
        <v>ALCOHOL</v>
      </c>
      <c r="E2724" t="s">
        <v>1074</v>
      </c>
    </row>
    <row r="2725" spans="1:6" x14ac:dyDescent="0.3">
      <c r="A2725" t="s">
        <v>4612</v>
      </c>
      <c r="B2725" t="str" cm="1">
        <f t="array" ref="B2725">_xlfn.XLOOKUP(C2725, INDEX([1]!카테고리매핑,,2), INDEX([1]!카테고리매핑,,1), "미등록 카테고리")</f>
        <v>육류/계란</v>
      </c>
      <c r="C2725" t="s">
        <v>34</v>
      </c>
      <c r="D2725" t="str">
        <f>VLOOKUP(C2725, '[1]VLOOKUP 함수용 카테고리'!$A$1:$B$59, 2, 0)</f>
        <v>RAW_MEAT</v>
      </c>
      <c r="E2725" t="s">
        <v>35</v>
      </c>
      <c r="F2725" t="s">
        <v>36</v>
      </c>
    </row>
    <row r="2726" spans="1:6" x14ac:dyDescent="0.3">
      <c r="A2726" t="s">
        <v>4613</v>
      </c>
      <c r="B2726" t="str" cm="1">
        <f t="array" ref="B2726">_xlfn.XLOOKUP(C2726, INDEX([1]!카테고리매핑,,2), INDEX([1]!카테고리매핑,,1), "미등록 카테고리")</f>
        <v>유제품</v>
      </c>
      <c r="C2726" t="s">
        <v>432</v>
      </c>
      <c r="D2726" t="str">
        <f>VLOOKUP(C2726, '[1]VLOOKUP 함수용 카테고리'!$A$1:$B$59, 2, 0)</f>
        <v>DAIRY</v>
      </c>
      <c r="E2726" t="s">
        <v>4614</v>
      </c>
      <c r="F2726" t="s">
        <v>844</v>
      </c>
    </row>
    <row r="2727" spans="1:6" x14ac:dyDescent="0.3">
      <c r="A2727" t="s">
        <v>4615</v>
      </c>
      <c r="B2727" t="str" cm="1">
        <f t="array" ref="B2727">_xlfn.XLOOKUP(C2727, INDEX([1]!카테고리매핑,,2), INDEX([1]!카테고리매핑,,1), "미등록 카테고리")</f>
        <v>간식류</v>
      </c>
      <c r="C2727" t="s">
        <v>11</v>
      </c>
      <c r="D2727" t="str">
        <f>VLOOKUP(C2727, '[1]VLOOKUP 함수용 카테고리'!$A$1:$B$59, 2, 0)</f>
        <v>SNACK</v>
      </c>
      <c r="E2727" t="s">
        <v>153</v>
      </c>
      <c r="F2727" t="s">
        <v>4349</v>
      </c>
    </row>
    <row r="2728" spans="1:6" x14ac:dyDescent="0.3">
      <c r="A2728" t="s">
        <v>4616</v>
      </c>
      <c r="B2728" t="str" cm="1">
        <f t="array" ref="B2728">_xlfn.XLOOKUP(C2728, INDEX([1]!카테고리매핑,,2), INDEX([1]!카테고리매핑,,1), "미등록 카테고리")</f>
        <v>간식류</v>
      </c>
      <c r="C2728" t="s">
        <v>11</v>
      </c>
      <c r="D2728" t="str">
        <f>VLOOKUP(C2728, '[1]VLOOKUP 함수용 카테고리'!$A$1:$B$59, 2, 0)</f>
        <v>SNACK</v>
      </c>
      <c r="E2728" t="s">
        <v>4617</v>
      </c>
      <c r="F2728" t="s">
        <v>154</v>
      </c>
    </row>
    <row r="2729" spans="1:6" x14ac:dyDescent="0.3">
      <c r="A2729" t="s">
        <v>4618</v>
      </c>
      <c r="B2729" t="str" cm="1">
        <f t="array" ref="B2729">_xlfn.XLOOKUP(C2729, INDEX([1]!카테고리매핑,,2), INDEX([1]!카테고리매핑,,1), "미등록 카테고리")</f>
        <v>음료</v>
      </c>
      <c r="C2729" t="s">
        <v>23</v>
      </c>
      <c r="D2729" t="str">
        <f>VLOOKUP(C2729, '[1]VLOOKUP 함수용 카테고리'!$A$1:$B$59, 2, 0)</f>
        <v>BEVERAGE</v>
      </c>
      <c r="E2729" t="s">
        <v>4619</v>
      </c>
      <c r="F2729" t="s">
        <v>7840</v>
      </c>
    </row>
    <row r="2730" spans="1:6" x14ac:dyDescent="0.3">
      <c r="A2730" t="s">
        <v>4620</v>
      </c>
      <c r="B2730" t="str" cm="1">
        <f t="array" ref="B2730">_xlfn.XLOOKUP(C2730, INDEX([1]!카테고리매핑,,2), INDEX([1]!카테고리매핑,,1), "미등록 카테고리")</f>
        <v>육류/계란</v>
      </c>
      <c r="C2730" t="s">
        <v>149</v>
      </c>
      <c r="D2730" t="str">
        <f>VLOOKUP(C2730, '[1]VLOOKUP 함수용 카테고리'!$A$1:$B$59, 2, 0)</f>
        <v>RAW_MEAT</v>
      </c>
      <c r="E2730" t="s">
        <v>1151</v>
      </c>
      <c r="F2730" t="s">
        <v>1141</v>
      </c>
    </row>
    <row r="2731" spans="1:6" x14ac:dyDescent="0.3">
      <c r="A2731" t="s">
        <v>4621</v>
      </c>
      <c r="B2731" t="str" cm="1">
        <f t="array" ref="B2731">_xlfn.XLOOKUP(C2731, INDEX([1]!카테고리매핑,,2), INDEX([1]!카테고리매핑,,1), "미등록 카테고리")</f>
        <v>수산물</v>
      </c>
      <c r="C2731" t="s">
        <v>101</v>
      </c>
      <c r="D2731" t="str">
        <f>VLOOKUP(C2731, '[1]VLOOKUP 함수용 카테고리'!$A$1:$B$59, 2, 0)</f>
        <v>DRIED_SEAFOOD</v>
      </c>
      <c r="E2731" t="s">
        <v>693</v>
      </c>
      <c r="F2731" t="s">
        <v>7793</v>
      </c>
    </row>
    <row r="2732" spans="1:6" x14ac:dyDescent="0.3">
      <c r="A2732" t="s">
        <v>4622</v>
      </c>
      <c r="B2732" t="str" cm="1">
        <f t="array" ref="B2732">_xlfn.XLOOKUP(C2732, INDEX([1]!카테고리매핑,,2), INDEX([1]!카테고리매핑,,1), "미등록 카테고리")</f>
        <v>음료</v>
      </c>
      <c r="C2732" t="s">
        <v>23</v>
      </c>
      <c r="D2732" t="str">
        <f>VLOOKUP(C2732, '[1]VLOOKUP 함수용 카테고리'!$A$1:$B$59, 2, 0)</f>
        <v>BEVERAGE</v>
      </c>
      <c r="E2732" t="s">
        <v>4260</v>
      </c>
      <c r="F2732" t="s">
        <v>1381</v>
      </c>
    </row>
    <row r="2733" spans="1:6" x14ac:dyDescent="0.3">
      <c r="A2733" t="s">
        <v>4623</v>
      </c>
      <c r="B2733" t="str" cm="1">
        <f t="array" ref="B2733">_xlfn.XLOOKUP(C2733, INDEX([1]!카테고리매핑,,2), INDEX([1]!카테고리매핑,,1), "미등록 카테고리")</f>
        <v>채소/곡물류</v>
      </c>
      <c r="C2733" t="s">
        <v>27</v>
      </c>
      <c r="D2733" t="str">
        <f>VLOOKUP(C2733, '[1]VLOOKUP 함수용 카테고리'!$A$1:$B$59, 2, 0)</f>
        <v>SIMPLE_PROCESSED</v>
      </c>
      <c r="E2733" t="s">
        <v>220</v>
      </c>
      <c r="F2733" t="s">
        <v>4624</v>
      </c>
    </row>
    <row r="2734" spans="1:6" x14ac:dyDescent="0.3">
      <c r="A2734" t="s">
        <v>4625</v>
      </c>
      <c r="B2734" t="str" cm="1">
        <f t="array" ref="B2734">_xlfn.XLOOKUP(C2734, INDEX([1]!카테고리매핑,,2), INDEX([1]!카테고리매핑,,1), "미등록 카테고리")</f>
        <v>간식류</v>
      </c>
      <c r="C2734" t="s">
        <v>11</v>
      </c>
      <c r="D2734" t="str">
        <f>VLOOKUP(C2734, '[1]VLOOKUP 함수용 카테고리'!$A$1:$B$59, 2, 0)</f>
        <v>SNACK</v>
      </c>
      <c r="E2734" t="s">
        <v>81</v>
      </c>
      <c r="F2734" t="s">
        <v>4626</v>
      </c>
    </row>
    <row r="2735" spans="1:6" x14ac:dyDescent="0.3">
      <c r="A2735" t="s">
        <v>4627</v>
      </c>
      <c r="B2735" t="str" cm="1">
        <f t="array" ref="B2735">_xlfn.XLOOKUP(C2735, INDEX([1]!카테고리매핑,,2), INDEX([1]!카테고리매핑,,1), "미등록 카테고리")</f>
        <v>간편식</v>
      </c>
      <c r="C2735" t="s">
        <v>131</v>
      </c>
      <c r="D2735" t="str">
        <f>VLOOKUP(C2735, '[1]VLOOKUP 함수용 카테고리'!$A$1:$B$59, 2, 0)</f>
        <v>SIMPLE_PROCESSED</v>
      </c>
      <c r="E2735" t="s">
        <v>4063</v>
      </c>
      <c r="F2735" t="s">
        <v>237</v>
      </c>
    </row>
    <row r="2736" spans="1:6" x14ac:dyDescent="0.3">
      <c r="A2736" t="s">
        <v>4628</v>
      </c>
      <c r="B2736" t="str" cm="1">
        <f t="array" ref="B2736">_xlfn.XLOOKUP(C2736, INDEX([1]!카테고리매핑,,2), INDEX([1]!카테고리매핑,,1), "미등록 카테고리")</f>
        <v>간식류</v>
      </c>
      <c r="C2736" t="s">
        <v>109</v>
      </c>
      <c r="D2736" t="str">
        <f>VLOOKUP(C2736, '[1]VLOOKUP 함수용 카테고리'!$A$1:$B$59, 2, 0)</f>
        <v>SNACK</v>
      </c>
      <c r="E2736" t="s">
        <v>4629</v>
      </c>
      <c r="F2736" t="s">
        <v>303</v>
      </c>
    </row>
    <row r="2737" spans="1:6" x14ac:dyDescent="0.3">
      <c r="A2737" t="s">
        <v>4630</v>
      </c>
      <c r="B2737" t="str" cm="1">
        <f t="array" ref="B2737">_xlfn.XLOOKUP(C2737, INDEX([1]!카테고리매핑,,2), INDEX([1]!카테고리매핑,,1), "미등록 카테고리")</f>
        <v>미등록 카테고리</v>
      </c>
      <c r="C2737" t="s">
        <v>334</v>
      </c>
      <c r="D2737" t="str">
        <f>VLOOKUP(C2737, '[1]VLOOKUP 함수용 카테고리'!$A$1:$B$59, 2, 0)</f>
        <v>UNKNOWN</v>
      </c>
      <c r="E2737" t="s">
        <v>334</v>
      </c>
      <c r="F2737" t="s">
        <v>7785</v>
      </c>
    </row>
    <row r="2738" spans="1:6" x14ac:dyDescent="0.3">
      <c r="A2738" t="s">
        <v>4631</v>
      </c>
      <c r="B2738" t="str" cm="1">
        <f t="array" ref="B2738">_xlfn.XLOOKUP(C2738, INDEX([1]!카테고리매핑,,2), INDEX([1]!카테고리매핑,,1), "미등록 카테고리")</f>
        <v>간편식</v>
      </c>
      <c r="C2738" t="s">
        <v>46</v>
      </c>
      <c r="D2738" t="str">
        <f>VLOOKUP(C2738, '[1]VLOOKUP 함수용 카테고리'!$A$1:$B$59, 2, 0)</f>
        <v>RTC_MEAL</v>
      </c>
      <c r="E2738" t="s">
        <v>46</v>
      </c>
    </row>
    <row r="2739" spans="1:6" x14ac:dyDescent="0.3">
      <c r="A2739" t="s">
        <v>4632</v>
      </c>
      <c r="B2739" t="str" cm="1">
        <f t="array" ref="B2739">_xlfn.XLOOKUP(C2739, INDEX([1]!카테고리매핑,,2), INDEX([1]!카테고리매핑,,1), "미등록 카테고리")</f>
        <v>음료</v>
      </c>
      <c r="C2739" t="s">
        <v>23</v>
      </c>
      <c r="D2739" t="str">
        <f>VLOOKUP(C2739, '[1]VLOOKUP 함수용 카테고리'!$A$1:$B$59, 2, 0)</f>
        <v>BEVERAGE</v>
      </c>
      <c r="E2739" t="s">
        <v>4633</v>
      </c>
      <c r="F2739" t="s">
        <v>3535</v>
      </c>
    </row>
    <row r="2740" spans="1:6" x14ac:dyDescent="0.3">
      <c r="A2740" t="s">
        <v>4634</v>
      </c>
      <c r="B2740" t="str" cm="1">
        <f t="array" ref="B2740">_xlfn.XLOOKUP(C2740, INDEX([1]!카테고리매핑,,2), INDEX([1]!카테고리매핑,,1), "미등록 카테고리")</f>
        <v>채소/곡물류</v>
      </c>
      <c r="C2740" t="s">
        <v>7</v>
      </c>
      <c r="D2740" t="str">
        <f>VLOOKUP(C2740, '[1]VLOOKUP 함수용 카테고리'!$A$1:$B$59, 2, 0)</f>
        <v>RAW_PRODUCE</v>
      </c>
      <c r="E2740" t="s">
        <v>4597</v>
      </c>
      <c r="F2740" t="s">
        <v>4624</v>
      </c>
    </row>
    <row r="2741" spans="1:6" x14ac:dyDescent="0.3">
      <c r="A2741" t="s">
        <v>4635</v>
      </c>
      <c r="B2741" t="str" cm="1">
        <f t="array" ref="B2741">_xlfn.XLOOKUP(C2741, INDEX([1]!카테고리매핑,,2), INDEX([1]!카테고리매핑,,1), "미등록 카테고리")</f>
        <v>간식류</v>
      </c>
      <c r="C2741" t="s">
        <v>15</v>
      </c>
      <c r="D2741" t="str">
        <f>VLOOKUP(C2741, '[1]VLOOKUP 함수용 카테고리'!$A$1:$B$59, 2, 0)</f>
        <v>BAKERY</v>
      </c>
      <c r="E2741" t="s">
        <v>53</v>
      </c>
      <c r="F2741" t="s">
        <v>4636</v>
      </c>
    </row>
    <row r="2742" spans="1:6" x14ac:dyDescent="0.3">
      <c r="A2742" t="s">
        <v>4637</v>
      </c>
      <c r="B2742" t="str" cm="1">
        <f t="array" ref="B2742">_xlfn.XLOOKUP(C2742, INDEX([1]!카테고리매핑,,2), INDEX([1]!카테고리매핑,,1), "미등록 카테고리")</f>
        <v>음료</v>
      </c>
      <c r="C2742" t="s">
        <v>23</v>
      </c>
      <c r="D2742" t="str">
        <f>VLOOKUP(C2742, '[1]VLOOKUP 함수용 카테고리'!$A$1:$B$59, 2, 0)</f>
        <v>BEVERAGE</v>
      </c>
      <c r="E2742" t="s">
        <v>1156</v>
      </c>
      <c r="F2742" t="s">
        <v>4036</v>
      </c>
    </row>
    <row r="2743" spans="1:6" x14ac:dyDescent="0.3">
      <c r="A2743" t="s">
        <v>4638</v>
      </c>
      <c r="B2743" t="str" cm="1">
        <f t="array" ref="B2743">_xlfn.XLOOKUP(C2743, INDEX([1]!카테고리매핑,,2), INDEX([1]!카테고리매핑,,1), "미등록 카테고리")</f>
        <v>간식류</v>
      </c>
      <c r="C2743" t="s">
        <v>11</v>
      </c>
      <c r="D2743" t="str">
        <f>VLOOKUP(C2743, '[1]VLOOKUP 함수용 카테고리'!$A$1:$B$59, 2, 0)</f>
        <v>SNACK</v>
      </c>
      <c r="E2743" t="s">
        <v>4639</v>
      </c>
      <c r="F2743" t="s">
        <v>4640</v>
      </c>
    </row>
    <row r="2744" spans="1:6" x14ac:dyDescent="0.3">
      <c r="A2744" t="s">
        <v>4641</v>
      </c>
      <c r="B2744" t="str" cm="1">
        <f t="array" ref="B2744">_xlfn.XLOOKUP(C2744, INDEX([1]!카테고리매핑,,2), INDEX([1]!카테고리매핑,,1), "미등록 카테고리")</f>
        <v>유제품</v>
      </c>
      <c r="C2744" t="s">
        <v>211</v>
      </c>
      <c r="D2744" t="str">
        <f>VLOOKUP(C2744, '[1]VLOOKUP 함수용 카테고리'!$A$1:$B$59, 2, 0)</f>
        <v>DAIRY</v>
      </c>
      <c r="E2744" t="s">
        <v>211</v>
      </c>
      <c r="F2744" t="s">
        <v>475</v>
      </c>
    </row>
    <row r="2745" spans="1:6" x14ac:dyDescent="0.3">
      <c r="A2745" t="s">
        <v>4642</v>
      </c>
      <c r="B2745" t="str" cm="1">
        <f t="array" ref="B2745">_xlfn.XLOOKUP(C2745, INDEX([1]!카테고리매핑,,2), INDEX([1]!카테고리매핑,,1), "미등록 카테고리")</f>
        <v>간편식</v>
      </c>
      <c r="C2745" t="s">
        <v>161</v>
      </c>
      <c r="D2745" t="str">
        <f>VLOOKUP(C2745, '[1]VLOOKUP 함수용 카테고리'!$A$1:$B$59, 2, 0)</f>
        <v>RTC_MEAL</v>
      </c>
      <c r="E2745" t="s">
        <v>4643</v>
      </c>
      <c r="F2745" t="s">
        <v>3487</v>
      </c>
    </row>
    <row r="2746" spans="1:6" x14ac:dyDescent="0.3">
      <c r="A2746" t="s">
        <v>4644</v>
      </c>
      <c r="B2746" t="str" cm="1">
        <f t="array" ref="B2746">_xlfn.XLOOKUP(C2746, INDEX([1]!카테고리매핑,,2), INDEX([1]!카테고리매핑,,1), "미등록 카테고리")</f>
        <v>수산물</v>
      </c>
      <c r="C2746" t="s">
        <v>101</v>
      </c>
      <c r="D2746" t="str">
        <f>VLOOKUP(C2746, '[1]VLOOKUP 함수용 카테고리'!$A$1:$B$59, 2, 0)</f>
        <v>DRIED_SEAFOOD</v>
      </c>
      <c r="E2746" t="s">
        <v>693</v>
      </c>
    </row>
    <row r="2747" spans="1:6" x14ac:dyDescent="0.3">
      <c r="A2747" t="s">
        <v>4645</v>
      </c>
      <c r="B2747" t="str" cm="1">
        <f t="array" ref="B2747">_xlfn.XLOOKUP(C2747, INDEX([1]!카테고리매핑,,2), INDEX([1]!카테고리매핑,,1), "미등록 카테고리")</f>
        <v>육류/계란</v>
      </c>
      <c r="C2747" t="s">
        <v>149</v>
      </c>
      <c r="D2747" t="str">
        <f>VLOOKUP(C2747, '[1]VLOOKUP 함수용 카테고리'!$A$1:$B$59, 2, 0)</f>
        <v>RAW_MEAT</v>
      </c>
      <c r="E2747" t="s">
        <v>1339</v>
      </c>
      <c r="F2747" t="s">
        <v>726</v>
      </c>
    </row>
    <row r="2748" spans="1:6" x14ac:dyDescent="0.3">
      <c r="A2748" t="s">
        <v>4646</v>
      </c>
      <c r="B2748" t="str" cm="1">
        <f t="array" ref="B2748">_xlfn.XLOOKUP(C2748, INDEX([1]!카테고리매핑,,2), INDEX([1]!카테고리매핑,,1), "미등록 카테고리")</f>
        <v>수산물</v>
      </c>
      <c r="C2748" t="s">
        <v>1673</v>
      </c>
      <c r="D2748" t="str">
        <f>VLOOKUP(C2748, '[1]VLOOKUP 함수용 카테고리'!$A$1:$B$59, 2, 0)</f>
        <v>RAW_SEAFOOD</v>
      </c>
      <c r="E2748" t="s">
        <v>1674</v>
      </c>
    </row>
    <row r="2749" spans="1:6" x14ac:dyDescent="0.3">
      <c r="A2749" t="s">
        <v>4647</v>
      </c>
      <c r="B2749" t="str" cm="1">
        <f t="array" ref="B2749">_xlfn.XLOOKUP(C2749, INDEX([1]!카테고리매핑,,2), INDEX([1]!카테고리매핑,,1), "미등록 카테고리")</f>
        <v>과일/견과류</v>
      </c>
      <c r="C2749" t="s">
        <v>1179</v>
      </c>
      <c r="D2749" t="str">
        <f>VLOOKUP(C2749, '[1]VLOOKUP 함수용 카테고리'!$A$1:$B$59, 2, 0)</f>
        <v>RAW_FRUIT</v>
      </c>
      <c r="E2749" t="s">
        <v>2076</v>
      </c>
      <c r="F2749" t="s">
        <v>4648</v>
      </c>
    </row>
    <row r="2750" spans="1:6" x14ac:dyDescent="0.3">
      <c r="A2750" t="s">
        <v>4649</v>
      </c>
      <c r="B2750" t="str" cm="1">
        <f t="array" ref="B2750">_xlfn.XLOOKUP(C2750, INDEX([1]!카테고리매핑,,2), INDEX([1]!카테고리매핑,,1), "미등록 카테고리")</f>
        <v>간편식</v>
      </c>
      <c r="C2750" t="s">
        <v>19</v>
      </c>
      <c r="D2750" t="str">
        <f>VLOOKUP(C2750, '[1]VLOOKUP 함수용 카테고리'!$A$1:$B$59, 2, 0)</f>
        <v>FROZEN_MEAL</v>
      </c>
      <c r="E2750" t="s">
        <v>1115</v>
      </c>
      <c r="F2750" t="s">
        <v>350</v>
      </c>
    </row>
    <row r="2751" spans="1:6" x14ac:dyDescent="0.3">
      <c r="A2751" t="s">
        <v>4650</v>
      </c>
      <c r="B2751" t="str" cm="1">
        <f t="array" ref="B2751">_xlfn.XLOOKUP(C2751, INDEX([1]!카테고리매핑,,2), INDEX([1]!카테고리매핑,,1), "미등록 카테고리")</f>
        <v>육류/계란</v>
      </c>
      <c r="C2751" t="s">
        <v>298</v>
      </c>
      <c r="D2751" t="str">
        <f>VLOOKUP(C2751, '[1]VLOOKUP 함수용 카테고리'!$A$1:$B$59, 2, 0)</f>
        <v>RAW_MEAT</v>
      </c>
      <c r="E2751" t="s">
        <v>298</v>
      </c>
      <c r="F2751" t="s">
        <v>350</v>
      </c>
    </row>
    <row r="2752" spans="1:6" x14ac:dyDescent="0.3">
      <c r="A2752" t="s">
        <v>4651</v>
      </c>
      <c r="B2752" t="str" cm="1">
        <f t="array" ref="B2752">_xlfn.XLOOKUP(C2752, INDEX([1]!카테고리매핑,,2), INDEX([1]!카테고리매핑,,1), "미등록 카테고리")</f>
        <v>간편식</v>
      </c>
      <c r="C2752" t="s">
        <v>158</v>
      </c>
      <c r="D2752" t="str">
        <f>VLOOKUP(C2752, '[1]VLOOKUP 함수용 카테고리'!$A$1:$B$59, 2, 0)</f>
        <v>INSTANT</v>
      </c>
      <c r="E2752" t="s">
        <v>4652</v>
      </c>
      <c r="F2752" t="s">
        <v>156</v>
      </c>
    </row>
    <row r="2753" spans="1:6" x14ac:dyDescent="0.3">
      <c r="A2753" t="s">
        <v>4653</v>
      </c>
      <c r="B2753" t="str" cm="1">
        <f t="array" ref="B2753">_xlfn.XLOOKUP(C2753, INDEX([1]!카테고리매핑,,2), INDEX([1]!카테고리매핑,,1), "미등록 카테고리")</f>
        <v>채소/곡물류</v>
      </c>
      <c r="C2753" t="s">
        <v>7</v>
      </c>
      <c r="D2753" t="str">
        <f>VLOOKUP(C2753, '[1]VLOOKUP 함수용 카테고리'!$A$1:$B$59, 2, 0)</f>
        <v>RAW_PRODUCE</v>
      </c>
      <c r="E2753" t="s">
        <v>2053</v>
      </c>
      <c r="F2753" t="s">
        <v>332</v>
      </c>
    </row>
    <row r="2754" spans="1:6" x14ac:dyDescent="0.3">
      <c r="A2754" t="s">
        <v>4654</v>
      </c>
      <c r="B2754" t="str" cm="1">
        <f t="array" ref="B2754">_xlfn.XLOOKUP(C2754, INDEX([1]!카테고리매핑,,2), INDEX([1]!카테고리매핑,,1), "미등록 카테고리")</f>
        <v>조미료</v>
      </c>
      <c r="C2754" t="s">
        <v>84</v>
      </c>
      <c r="D2754" t="str">
        <f>VLOOKUP(C2754, '[1]VLOOKUP 함수용 카테고리'!$A$1:$B$59, 2, 0)</f>
        <v>SAUCE_SEASONING</v>
      </c>
      <c r="E2754" t="s">
        <v>2451</v>
      </c>
      <c r="F2754" t="s">
        <v>269</v>
      </c>
    </row>
    <row r="2755" spans="1:6" x14ac:dyDescent="0.3">
      <c r="A2755" t="s">
        <v>4655</v>
      </c>
      <c r="B2755" t="str" cm="1">
        <f t="array" ref="B2755">_xlfn.XLOOKUP(C2755, INDEX([1]!카테고리매핑,,2), INDEX([1]!카테고리매핑,,1), "미등록 카테고리")</f>
        <v>간식류</v>
      </c>
      <c r="C2755" t="s">
        <v>38</v>
      </c>
      <c r="D2755" t="str">
        <f>VLOOKUP(C2755, '[1]VLOOKUP 함수용 카테고리'!$A$1:$B$59, 2, 0)</f>
        <v>SNACK</v>
      </c>
      <c r="E2755" t="s">
        <v>39</v>
      </c>
      <c r="F2755" t="s">
        <v>40</v>
      </c>
    </row>
    <row r="2756" spans="1:6" x14ac:dyDescent="0.3">
      <c r="A2756" t="s">
        <v>4656</v>
      </c>
      <c r="B2756" t="str" cm="1">
        <f t="array" ref="B2756">_xlfn.XLOOKUP(C2756, INDEX([1]!카테고리매핑,,2), INDEX([1]!카테고리매핑,,1), "미등록 카테고리")</f>
        <v>미등록 카테고리</v>
      </c>
      <c r="C2756" t="s">
        <v>334</v>
      </c>
      <c r="D2756" t="str">
        <f>VLOOKUP(C2756, '[1]VLOOKUP 함수용 카테고리'!$A$1:$B$59, 2, 0)</f>
        <v>UNKNOWN</v>
      </c>
      <c r="E2756" t="s">
        <v>334</v>
      </c>
      <c r="F2756" t="s">
        <v>2467</v>
      </c>
    </row>
    <row r="2757" spans="1:6" x14ac:dyDescent="0.3">
      <c r="A2757" t="s">
        <v>4657</v>
      </c>
      <c r="B2757" t="str" cm="1">
        <f t="array" ref="B2757">_xlfn.XLOOKUP(C2757, INDEX([1]!카테고리매핑,,2), INDEX([1]!카테고리매핑,,1), "미등록 카테고리")</f>
        <v>조미료</v>
      </c>
      <c r="C2757" t="s">
        <v>127</v>
      </c>
      <c r="D2757" t="str">
        <f>VLOOKUP(C2757, '[1]VLOOKUP 함수용 카테고리'!$A$1:$B$59, 2, 0)</f>
        <v>SAUCE_SEASONING</v>
      </c>
      <c r="E2757" t="s">
        <v>7661</v>
      </c>
      <c r="F2757" t="s">
        <v>4658</v>
      </c>
    </row>
    <row r="2758" spans="1:6" x14ac:dyDescent="0.3">
      <c r="A2758" t="s">
        <v>4659</v>
      </c>
      <c r="B2758" t="str" cm="1">
        <f t="array" ref="B2758">_xlfn.XLOOKUP(C2758, INDEX([1]!카테고리매핑,,2), INDEX([1]!카테고리매핑,,1), "미등록 카테고리")</f>
        <v>채소/곡물류</v>
      </c>
      <c r="C2758" t="s">
        <v>27</v>
      </c>
      <c r="D2758" t="str">
        <f>VLOOKUP(C2758, '[1]VLOOKUP 함수용 카테고리'!$A$1:$B$59, 2, 0)</f>
        <v>SIMPLE_PROCESSED</v>
      </c>
      <c r="E2758" t="s">
        <v>28</v>
      </c>
      <c r="F2758" t="s">
        <v>4660</v>
      </c>
    </row>
    <row r="2759" spans="1:6" x14ac:dyDescent="0.3">
      <c r="A2759" t="s">
        <v>4661</v>
      </c>
      <c r="B2759" t="str" cm="1">
        <f t="array" ref="B2759">_xlfn.XLOOKUP(C2759, INDEX([1]!카테고리매핑,,2), INDEX([1]!카테고리매핑,,1), "미등록 카테고리")</f>
        <v>육류/계란</v>
      </c>
      <c r="C2759" t="s">
        <v>149</v>
      </c>
      <c r="D2759" t="str">
        <f>VLOOKUP(C2759, '[1]VLOOKUP 함수용 카테고리'!$A$1:$B$59, 2, 0)</f>
        <v>RAW_MEAT</v>
      </c>
      <c r="E2759" t="s">
        <v>573</v>
      </c>
      <c r="F2759" t="s">
        <v>1425</v>
      </c>
    </row>
    <row r="2760" spans="1:6" x14ac:dyDescent="0.3">
      <c r="A2760" t="s">
        <v>4662</v>
      </c>
      <c r="B2760" t="str" cm="1">
        <f t="array" ref="B2760">_xlfn.XLOOKUP(C2760, INDEX([1]!카테고리매핑,,2), INDEX([1]!카테고리매핑,,1), "미등록 카테고리")</f>
        <v>채소/곡물류</v>
      </c>
      <c r="C2760" t="s">
        <v>301</v>
      </c>
      <c r="D2760" t="str">
        <f>VLOOKUP(C2760, '[1]VLOOKUP 함수용 카테고리'!$A$1:$B$59, 2, 0)</f>
        <v>GRAIN</v>
      </c>
      <c r="E2760" t="s">
        <v>4663</v>
      </c>
      <c r="F2760" t="s">
        <v>3568</v>
      </c>
    </row>
    <row r="2761" spans="1:6" x14ac:dyDescent="0.3">
      <c r="A2761" t="s">
        <v>4664</v>
      </c>
      <c r="B2761" t="str" cm="1">
        <f t="array" ref="B2761">_xlfn.XLOOKUP(C2761, INDEX([1]!카테고리매핑,,2), INDEX([1]!카테고리매핑,,1), "미등록 카테고리")</f>
        <v>유제품</v>
      </c>
      <c r="C2761" t="s">
        <v>98</v>
      </c>
      <c r="D2761" t="str">
        <f>VLOOKUP(C2761, '[1]VLOOKUP 함수용 카테고리'!$A$1:$B$59, 2, 0)</f>
        <v>DAIRY</v>
      </c>
      <c r="E2761" t="s">
        <v>4665</v>
      </c>
      <c r="F2761" t="s">
        <v>4666</v>
      </c>
    </row>
    <row r="2762" spans="1:6" x14ac:dyDescent="0.3">
      <c r="A2762" t="s">
        <v>4667</v>
      </c>
      <c r="B2762" t="str" cm="1">
        <f t="array" ref="B2762">_xlfn.XLOOKUP(C2762, INDEX([1]!카테고리매핑,,2), INDEX([1]!카테고리매핑,,1), "미등록 카테고리")</f>
        <v>수산물</v>
      </c>
      <c r="C2762" t="s">
        <v>203</v>
      </c>
      <c r="D2762" t="str">
        <f>VLOOKUP(C2762, '[1]VLOOKUP 함수용 카테고리'!$A$1:$B$59, 2, 0)</f>
        <v>RAW_SEAFOOD</v>
      </c>
      <c r="E2762" t="s">
        <v>1801</v>
      </c>
      <c r="F2762" t="s">
        <v>1802</v>
      </c>
    </row>
    <row r="2763" spans="1:6" x14ac:dyDescent="0.3">
      <c r="A2763" t="s">
        <v>4668</v>
      </c>
      <c r="B2763" t="str" cm="1">
        <f t="array" ref="B2763">_xlfn.XLOOKUP(C2763, INDEX([1]!카테고리매핑,,2), INDEX([1]!카테고리매핑,,1), "미등록 카테고리")</f>
        <v>간식류</v>
      </c>
      <c r="C2763" t="s">
        <v>38</v>
      </c>
      <c r="D2763" t="str">
        <f>VLOOKUP(C2763, '[1]VLOOKUP 함수용 카테고리'!$A$1:$B$59, 2, 0)</f>
        <v>SNACK</v>
      </c>
      <c r="E2763" t="s">
        <v>39</v>
      </c>
      <c r="F2763" t="s">
        <v>4669</v>
      </c>
    </row>
    <row r="2764" spans="1:6" x14ac:dyDescent="0.3">
      <c r="A2764" t="s">
        <v>4670</v>
      </c>
      <c r="B2764" t="str" cm="1">
        <f t="array" ref="B2764">_xlfn.XLOOKUP(C2764, INDEX([1]!카테고리매핑,,2), INDEX([1]!카테고리매핑,,1), "미등록 카테고리")</f>
        <v>채소/곡물류</v>
      </c>
      <c r="C2764" t="s">
        <v>301</v>
      </c>
      <c r="D2764" t="str">
        <f>VLOOKUP(C2764, '[1]VLOOKUP 함수용 카테고리'!$A$1:$B$59, 2, 0)</f>
        <v>GRAIN</v>
      </c>
      <c r="E2764" t="s">
        <v>4671</v>
      </c>
      <c r="F2764" t="s">
        <v>4671</v>
      </c>
    </row>
    <row r="2765" spans="1:6" x14ac:dyDescent="0.3">
      <c r="A2765" t="s">
        <v>4672</v>
      </c>
      <c r="B2765" t="str" cm="1">
        <f t="array" ref="B2765">_xlfn.XLOOKUP(C2765, INDEX([1]!카테고리매핑,,2), INDEX([1]!카테고리매핑,,1), "미등록 카테고리")</f>
        <v>음료</v>
      </c>
      <c r="C2765" t="s">
        <v>23</v>
      </c>
      <c r="D2765" t="str">
        <f>VLOOKUP(C2765, '[1]VLOOKUP 함수용 카테고리'!$A$1:$B$59, 2, 0)</f>
        <v>BEVERAGE</v>
      </c>
      <c r="E2765" t="s">
        <v>24</v>
      </c>
      <c r="F2765" t="s">
        <v>4276</v>
      </c>
    </row>
    <row r="2766" spans="1:6" x14ac:dyDescent="0.3">
      <c r="A2766" t="s">
        <v>4673</v>
      </c>
      <c r="B2766" t="str" cm="1">
        <f t="array" ref="B2766">_xlfn.XLOOKUP(C2766, INDEX([1]!카테고리매핑,,2), INDEX([1]!카테고리매핑,,1), "미등록 카테고리")</f>
        <v>술</v>
      </c>
      <c r="C2766" t="s">
        <v>42</v>
      </c>
      <c r="D2766" t="str">
        <f>VLOOKUP(C2766, '[1]VLOOKUP 함수용 카테고리'!$A$1:$B$59, 2, 0)</f>
        <v>ALCOHOL</v>
      </c>
      <c r="E2766" t="s">
        <v>4674</v>
      </c>
    </row>
    <row r="2767" spans="1:6" x14ac:dyDescent="0.3">
      <c r="A2767" t="s">
        <v>4675</v>
      </c>
      <c r="B2767" t="str" cm="1">
        <f t="array" ref="B2767">_xlfn.XLOOKUP(C2767, INDEX([1]!카테고리매핑,,2), INDEX([1]!카테고리매핑,,1), "미등록 카테고리")</f>
        <v>유제품</v>
      </c>
      <c r="C2767" t="s">
        <v>432</v>
      </c>
      <c r="D2767" t="str">
        <f>VLOOKUP(C2767, '[1]VLOOKUP 함수용 카테고리'!$A$1:$B$59, 2, 0)</f>
        <v>DAIRY</v>
      </c>
      <c r="E2767" t="s">
        <v>549</v>
      </c>
      <c r="F2767" t="s">
        <v>4676</v>
      </c>
    </row>
    <row r="2768" spans="1:6" x14ac:dyDescent="0.3">
      <c r="A2768" t="s">
        <v>4677</v>
      </c>
      <c r="B2768" t="str" cm="1">
        <f t="array" ref="B2768">_xlfn.XLOOKUP(C2768, INDEX([1]!카테고리매핑,,2), INDEX([1]!카테고리매핑,,1), "미등록 카테고리")</f>
        <v>육류/계란</v>
      </c>
      <c r="C2768" t="s">
        <v>149</v>
      </c>
      <c r="D2768" t="str">
        <f>VLOOKUP(C2768, '[1]VLOOKUP 함수용 카테고리'!$A$1:$B$59, 2, 0)</f>
        <v>RAW_MEAT</v>
      </c>
      <c r="E2768" t="s">
        <v>1647</v>
      </c>
      <c r="F2768" t="s">
        <v>4678</v>
      </c>
    </row>
    <row r="2769" spans="1:6" x14ac:dyDescent="0.3">
      <c r="A2769" t="s">
        <v>4679</v>
      </c>
      <c r="B2769" t="str" cm="1">
        <f t="array" ref="B2769">_xlfn.XLOOKUP(C2769, INDEX([1]!카테고리매핑,,2), INDEX([1]!카테고리매핑,,1), "미등록 카테고리")</f>
        <v>육류/계란</v>
      </c>
      <c r="C2769" t="s">
        <v>34</v>
      </c>
      <c r="D2769" t="str">
        <f>VLOOKUP(C2769, '[1]VLOOKUP 함수용 카테고리'!$A$1:$B$59, 2, 0)</f>
        <v>RAW_MEAT</v>
      </c>
      <c r="E2769" t="s">
        <v>35</v>
      </c>
      <c r="F2769" t="s">
        <v>151</v>
      </c>
    </row>
    <row r="2770" spans="1:6" x14ac:dyDescent="0.3">
      <c r="A2770" t="s">
        <v>4680</v>
      </c>
      <c r="B2770" t="str" cm="1">
        <f t="array" ref="B2770">_xlfn.XLOOKUP(C2770, INDEX([1]!카테고리매핑,,2), INDEX([1]!카테고리매핑,,1), "미등록 카테고리")</f>
        <v>상온식품</v>
      </c>
      <c r="C2770" t="s">
        <v>835</v>
      </c>
      <c r="D2770" t="str">
        <f>VLOOKUP(C2770, '[1]VLOOKUP 함수용 카테고리'!$A$1:$B$59, 2, 0)</f>
        <v>SAUCE_SEASONING</v>
      </c>
      <c r="E2770" t="s">
        <v>2157</v>
      </c>
      <c r="F2770" t="s">
        <v>2158</v>
      </c>
    </row>
    <row r="2771" spans="1:6" x14ac:dyDescent="0.3">
      <c r="A2771" t="s">
        <v>4681</v>
      </c>
      <c r="B2771" t="str" cm="1">
        <f t="array" ref="B2771">_xlfn.XLOOKUP(C2771, INDEX([1]!카테고리매핑,,2), INDEX([1]!카테고리매핑,,1), "미등록 카테고리")</f>
        <v>미등록 카테고리</v>
      </c>
      <c r="C2771" t="s">
        <v>334</v>
      </c>
      <c r="D2771" t="str">
        <f>VLOOKUP(C2771, '[1]VLOOKUP 함수용 카테고리'!$A$1:$B$59, 2, 0)</f>
        <v>UNKNOWN</v>
      </c>
      <c r="E2771" t="s">
        <v>334</v>
      </c>
      <c r="F2771" t="s">
        <v>4506</v>
      </c>
    </row>
    <row r="2772" spans="1:6" x14ac:dyDescent="0.3">
      <c r="A2772" t="s">
        <v>4682</v>
      </c>
      <c r="B2772" t="str" cm="1">
        <f t="array" ref="B2772">_xlfn.XLOOKUP(C2772, INDEX([1]!카테고리매핑,,2), INDEX([1]!카테고리매핑,,1), "미등록 카테고리")</f>
        <v>과일/견과류</v>
      </c>
      <c r="C2772" t="s">
        <v>654</v>
      </c>
      <c r="D2772" t="str">
        <f>VLOOKUP(C2772, '[1]VLOOKUP 함수용 카테고리'!$A$1:$B$59, 2, 0)</f>
        <v>RAW_FRUIT</v>
      </c>
      <c r="E2772" t="s">
        <v>655</v>
      </c>
      <c r="F2772" t="s">
        <v>7841</v>
      </c>
    </row>
    <row r="2773" spans="1:6" x14ac:dyDescent="0.3">
      <c r="A2773" t="s">
        <v>4683</v>
      </c>
      <c r="B2773" t="str" cm="1">
        <f t="array" ref="B2773">_xlfn.XLOOKUP(C2773, INDEX([1]!카테고리매핑,,2), INDEX([1]!카테고리매핑,,1), "미등록 카테고리")</f>
        <v>육류/계란</v>
      </c>
      <c r="C2773" t="s">
        <v>298</v>
      </c>
      <c r="D2773" t="str">
        <f>VLOOKUP(C2773, '[1]VLOOKUP 함수용 카테고리'!$A$1:$B$59, 2, 0)</f>
        <v>RAW_MEAT</v>
      </c>
      <c r="E2773" t="s">
        <v>298</v>
      </c>
      <c r="F2773" t="s">
        <v>350</v>
      </c>
    </row>
    <row r="2774" spans="1:6" x14ac:dyDescent="0.3">
      <c r="A2774" t="s">
        <v>4684</v>
      </c>
      <c r="B2774" t="str" cm="1">
        <f t="array" ref="B2774">_xlfn.XLOOKUP(C2774, INDEX([1]!카테고리매핑,,2), INDEX([1]!카테고리매핑,,1), "미등록 카테고리")</f>
        <v>수산물</v>
      </c>
      <c r="C2774" t="s">
        <v>183</v>
      </c>
      <c r="D2774" t="str">
        <f>VLOOKUP(C2774, '[1]VLOOKUP 함수용 카테고리'!$A$1:$B$59, 2, 0)</f>
        <v>DRIED_SEAFOOD</v>
      </c>
      <c r="E2774" t="s">
        <v>184</v>
      </c>
      <c r="F2774" t="s">
        <v>4685</v>
      </c>
    </row>
    <row r="2775" spans="1:6" x14ac:dyDescent="0.3">
      <c r="A2775" t="s">
        <v>4686</v>
      </c>
      <c r="B2775" t="str" cm="1">
        <f t="array" ref="B2775">_xlfn.XLOOKUP(C2775, INDEX([1]!카테고리매핑,,2), INDEX([1]!카테고리매핑,,1), "미등록 카테고리")</f>
        <v>유제품</v>
      </c>
      <c r="C2775" t="s">
        <v>123</v>
      </c>
      <c r="D2775" t="str">
        <f>VLOOKUP(C2775, '[1]VLOOKUP 함수용 카테고리'!$A$1:$B$59, 2, 0)</f>
        <v>DAIRY</v>
      </c>
      <c r="E2775" t="s">
        <v>4687</v>
      </c>
      <c r="F2775" t="s">
        <v>2651</v>
      </c>
    </row>
    <row r="2776" spans="1:6" x14ac:dyDescent="0.3">
      <c r="A2776" t="s">
        <v>4688</v>
      </c>
      <c r="B2776" t="str" cm="1">
        <f t="array" ref="B2776">_xlfn.XLOOKUP(C2776, INDEX([1]!카테고리매핑,,2), INDEX([1]!카테고리매핑,,1), "미등록 카테고리")</f>
        <v>간식류</v>
      </c>
      <c r="C2776" t="s">
        <v>15</v>
      </c>
      <c r="D2776" t="str">
        <f>VLOOKUP(C2776, '[1]VLOOKUP 함수용 카테고리'!$A$1:$B$59, 2, 0)</f>
        <v>BAKERY</v>
      </c>
      <c r="E2776" t="s">
        <v>53</v>
      </c>
      <c r="F2776" t="s">
        <v>393</v>
      </c>
    </row>
    <row r="2777" spans="1:6" x14ac:dyDescent="0.3">
      <c r="A2777" t="s">
        <v>4689</v>
      </c>
      <c r="B2777" t="str" cm="1">
        <f t="array" ref="B2777">_xlfn.XLOOKUP(C2777, INDEX([1]!카테고리매핑,,2), INDEX([1]!카테고리매핑,,1), "미등록 카테고리")</f>
        <v>조미료</v>
      </c>
      <c r="C2777" t="s">
        <v>83</v>
      </c>
      <c r="D2777" t="str">
        <f>VLOOKUP(C2777, '[1]VLOOKUP 함수용 카테고리'!$A$1:$B$59, 2, 0)</f>
        <v>SAUCE_SEASONING</v>
      </c>
      <c r="E2777" t="s">
        <v>1165</v>
      </c>
      <c r="F2777" t="s">
        <v>646</v>
      </c>
    </row>
    <row r="2778" spans="1:6" x14ac:dyDescent="0.3">
      <c r="A2778" t="s">
        <v>4690</v>
      </c>
      <c r="B2778" t="str" cm="1">
        <f t="array" ref="B2778">_xlfn.XLOOKUP(C2778, INDEX([1]!카테고리매핑,,2), INDEX([1]!카테고리매핑,,1), "미등록 카테고리")</f>
        <v>채소/곡물류</v>
      </c>
      <c r="C2778" t="s">
        <v>7</v>
      </c>
      <c r="D2778" t="str">
        <f>VLOOKUP(C2778, '[1]VLOOKUP 함수용 카테고리'!$A$1:$B$59, 2, 0)</f>
        <v>RAW_PRODUCE</v>
      </c>
      <c r="E2778" t="s">
        <v>1058</v>
      </c>
      <c r="F2778" t="s">
        <v>151</v>
      </c>
    </row>
    <row r="2779" spans="1:6" x14ac:dyDescent="0.3">
      <c r="A2779" t="s">
        <v>4691</v>
      </c>
      <c r="B2779" t="str" cm="1">
        <f t="array" ref="B2779">_xlfn.XLOOKUP(C2779, INDEX([1]!카테고리매핑,,2), INDEX([1]!카테고리매핑,,1), "미등록 카테고리")</f>
        <v>과일/견과류</v>
      </c>
      <c r="C2779" t="s">
        <v>654</v>
      </c>
      <c r="D2779" t="str">
        <f>VLOOKUP(C2779, '[1]VLOOKUP 함수용 카테고리'!$A$1:$B$59, 2, 0)</f>
        <v>RAW_FRUIT</v>
      </c>
      <c r="E2779" t="s">
        <v>4692</v>
      </c>
      <c r="F2779" t="s">
        <v>4693</v>
      </c>
    </row>
    <row r="2780" spans="1:6" x14ac:dyDescent="0.3">
      <c r="A2780" t="s">
        <v>4694</v>
      </c>
      <c r="B2780" t="str" cm="1">
        <f t="array" ref="B2780">_xlfn.XLOOKUP(C2780, INDEX([1]!카테고리매핑,,2), INDEX([1]!카테고리매핑,,1), "미등록 카테고리")</f>
        <v>유제품</v>
      </c>
      <c r="C2780" t="s">
        <v>123</v>
      </c>
      <c r="D2780" t="str">
        <f>VLOOKUP(C2780, '[1]VLOOKUP 함수용 카테고리'!$A$1:$B$59, 2, 0)</f>
        <v>DAIRY</v>
      </c>
      <c r="E2780" t="s">
        <v>190</v>
      </c>
      <c r="F2780" t="s">
        <v>4695</v>
      </c>
    </row>
    <row r="2781" spans="1:6" x14ac:dyDescent="0.3">
      <c r="A2781" t="s">
        <v>4696</v>
      </c>
      <c r="B2781" t="str" cm="1">
        <f t="array" ref="B2781">_xlfn.XLOOKUP(C2781, INDEX([1]!카테고리매핑,,2), INDEX([1]!카테고리매핑,,1), "미등록 카테고리")</f>
        <v>술</v>
      </c>
      <c r="C2781" t="s">
        <v>42</v>
      </c>
      <c r="D2781" t="str">
        <f>VLOOKUP(C2781, '[1]VLOOKUP 함수용 카테고리'!$A$1:$B$59, 2, 0)</f>
        <v>ALCOHOL</v>
      </c>
      <c r="E2781" t="s">
        <v>43</v>
      </c>
      <c r="F2781" t="s">
        <v>59</v>
      </c>
    </row>
    <row r="2782" spans="1:6" x14ac:dyDescent="0.3">
      <c r="A2782" t="s">
        <v>4697</v>
      </c>
      <c r="B2782" t="str" cm="1">
        <f t="array" ref="B2782">_xlfn.XLOOKUP(C2782, INDEX([1]!카테고리매핑,,2), INDEX([1]!카테고리매핑,,1), "미등록 카테고리")</f>
        <v>간식류</v>
      </c>
      <c r="C2782" t="s">
        <v>63</v>
      </c>
      <c r="D2782" t="str">
        <f>VLOOKUP(C2782, '[1]VLOOKUP 함수용 카테고리'!$A$1:$B$59, 2, 0)</f>
        <v>BAKERY</v>
      </c>
      <c r="E2782" t="s">
        <v>513</v>
      </c>
      <c r="F2782" t="s">
        <v>1552</v>
      </c>
    </row>
    <row r="2783" spans="1:6" x14ac:dyDescent="0.3">
      <c r="A2783" t="s">
        <v>4698</v>
      </c>
      <c r="B2783" t="str" cm="1">
        <f t="array" ref="B2783">_xlfn.XLOOKUP(C2783, INDEX([1]!카테고리매핑,,2), INDEX([1]!카테고리매핑,,1), "미등록 카테고리")</f>
        <v>과일/견과류</v>
      </c>
      <c r="C2783" t="s">
        <v>654</v>
      </c>
      <c r="D2783" t="str">
        <f>VLOOKUP(C2783, '[1]VLOOKUP 함수용 카테고리'!$A$1:$B$59, 2, 0)</f>
        <v>RAW_FRUIT</v>
      </c>
      <c r="E2783" t="s">
        <v>681</v>
      </c>
      <c r="F2783" t="s">
        <v>4693</v>
      </c>
    </row>
    <row r="2784" spans="1:6" x14ac:dyDescent="0.3">
      <c r="A2784" t="s">
        <v>4699</v>
      </c>
      <c r="B2784" t="str" cm="1">
        <f t="array" ref="B2784">_xlfn.XLOOKUP(C2784, INDEX([1]!카테고리매핑,,2), INDEX([1]!카테고리매핑,,1), "미등록 카테고리")</f>
        <v>유제품</v>
      </c>
      <c r="C2784" t="s">
        <v>123</v>
      </c>
      <c r="D2784" t="str">
        <f>VLOOKUP(C2784, '[1]VLOOKUP 함수용 카테고리'!$A$1:$B$59, 2, 0)</f>
        <v>DAIRY</v>
      </c>
      <c r="E2784" t="s">
        <v>4700</v>
      </c>
      <c r="F2784" t="s">
        <v>1381</v>
      </c>
    </row>
    <row r="2785" spans="1:6" x14ac:dyDescent="0.3">
      <c r="A2785" t="s">
        <v>4701</v>
      </c>
      <c r="B2785" t="str" cm="1">
        <f t="array" ref="B2785">_xlfn.XLOOKUP(C2785, INDEX([1]!카테고리매핑,,2), INDEX([1]!카테고리매핑,,1), "미등록 카테고리")</f>
        <v>과일/견과류</v>
      </c>
      <c r="C2785" t="s">
        <v>654</v>
      </c>
      <c r="D2785" t="str">
        <f>VLOOKUP(C2785, '[1]VLOOKUP 함수용 카테고리'!$A$1:$B$59, 2, 0)</f>
        <v>RAW_FRUIT</v>
      </c>
      <c r="E2785" t="s">
        <v>1741</v>
      </c>
      <c r="F2785" t="s">
        <v>4693</v>
      </c>
    </row>
    <row r="2786" spans="1:6" x14ac:dyDescent="0.3">
      <c r="A2786" t="s">
        <v>4702</v>
      </c>
      <c r="B2786" t="str" cm="1">
        <f t="array" ref="B2786">_xlfn.XLOOKUP(C2786, INDEX([1]!카테고리매핑,,2), INDEX([1]!카테고리매핑,,1), "미등록 카테고리")</f>
        <v>유제품</v>
      </c>
      <c r="C2786" t="s">
        <v>123</v>
      </c>
      <c r="D2786" t="str">
        <f>VLOOKUP(C2786, '[1]VLOOKUP 함수용 카테고리'!$A$1:$B$59, 2, 0)</f>
        <v>DAIRY</v>
      </c>
      <c r="E2786" t="s">
        <v>190</v>
      </c>
      <c r="F2786" t="s">
        <v>4703</v>
      </c>
    </row>
    <row r="2787" spans="1:6" x14ac:dyDescent="0.3">
      <c r="A2787" t="s">
        <v>4704</v>
      </c>
      <c r="B2787" t="str" cm="1">
        <f t="array" ref="B2787">_xlfn.XLOOKUP(C2787, INDEX([1]!카테고리매핑,,2), INDEX([1]!카테고리매핑,,1), "미등록 카테고리")</f>
        <v>유제품</v>
      </c>
      <c r="C2787" t="s">
        <v>98</v>
      </c>
      <c r="D2787" t="str">
        <f>VLOOKUP(C2787, '[1]VLOOKUP 함수용 카테고리'!$A$1:$B$59, 2, 0)</f>
        <v>DAIRY</v>
      </c>
      <c r="E2787" t="s">
        <v>98</v>
      </c>
      <c r="F2787" t="s">
        <v>4705</v>
      </c>
    </row>
    <row r="2788" spans="1:6" x14ac:dyDescent="0.3">
      <c r="A2788" t="s">
        <v>4706</v>
      </c>
      <c r="B2788" t="str" cm="1">
        <f t="array" ref="B2788">_xlfn.XLOOKUP(C2788, INDEX([1]!카테고리매핑,,2), INDEX([1]!카테고리매핑,,1), "미등록 카테고리")</f>
        <v>과일/견과류</v>
      </c>
      <c r="C2788" t="s">
        <v>1179</v>
      </c>
      <c r="D2788" t="str">
        <f>VLOOKUP(C2788, '[1]VLOOKUP 함수용 카테고리'!$A$1:$B$59, 2, 0)</f>
        <v>RAW_FRUIT</v>
      </c>
      <c r="E2788" t="s">
        <v>1179</v>
      </c>
      <c r="F2788" t="s">
        <v>4707</v>
      </c>
    </row>
    <row r="2789" spans="1:6" x14ac:dyDescent="0.3">
      <c r="A2789" t="s">
        <v>4708</v>
      </c>
      <c r="B2789" t="str" cm="1">
        <f t="array" ref="B2789">_xlfn.XLOOKUP(C2789, INDEX([1]!카테고리매핑,,2), INDEX([1]!카테고리매핑,,1), "미등록 카테고리")</f>
        <v>유제품</v>
      </c>
      <c r="C2789" t="s">
        <v>123</v>
      </c>
      <c r="D2789" t="str">
        <f>VLOOKUP(C2789, '[1]VLOOKUP 함수용 카테고리'!$A$1:$B$59, 2, 0)</f>
        <v>DAIRY</v>
      </c>
      <c r="E2789" t="s">
        <v>190</v>
      </c>
      <c r="F2789" t="s">
        <v>350</v>
      </c>
    </row>
    <row r="2790" spans="1:6" x14ac:dyDescent="0.3">
      <c r="A2790" t="s">
        <v>4709</v>
      </c>
      <c r="B2790" t="str" cm="1">
        <f t="array" ref="B2790">_xlfn.XLOOKUP(C2790, INDEX([1]!카테고리매핑,,2), INDEX([1]!카테고리매핑,,1), "미등록 카테고리")</f>
        <v>수산물</v>
      </c>
      <c r="C2790" t="s">
        <v>140</v>
      </c>
      <c r="D2790" t="str">
        <f>VLOOKUP(C2790, '[1]VLOOKUP 함수용 카테고리'!$A$1:$B$59, 2, 0)</f>
        <v>SIMPLE_PROCESSED</v>
      </c>
      <c r="E2790" t="s">
        <v>141</v>
      </c>
      <c r="F2790" t="s">
        <v>391</v>
      </c>
    </row>
    <row r="2791" spans="1:6" x14ac:dyDescent="0.3">
      <c r="A2791" t="s">
        <v>4710</v>
      </c>
      <c r="B2791" t="str" cm="1">
        <f t="array" ref="B2791">_xlfn.XLOOKUP(C2791, INDEX([1]!카테고리매핑,,2), INDEX([1]!카테고리매핑,,1), "미등록 카테고리")</f>
        <v>간식류</v>
      </c>
      <c r="C2791" t="s">
        <v>11</v>
      </c>
      <c r="D2791" t="str">
        <f>VLOOKUP(C2791, '[1]VLOOKUP 함수용 카테고리'!$A$1:$B$59, 2, 0)</f>
        <v>SNACK</v>
      </c>
      <c r="E2791" t="s">
        <v>1042</v>
      </c>
      <c r="F2791" t="s">
        <v>2568</v>
      </c>
    </row>
    <row r="2792" spans="1:6" x14ac:dyDescent="0.3">
      <c r="A2792" t="s">
        <v>4711</v>
      </c>
      <c r="B2792" t="str" cm="1">
        <f t="array" ref="B2792">_xlfn.XLOOKUP(C2792, INDEX([1]!카테고리매핑,,2), INDEX([1]!카테고리매핑,,1), "미등록 카테고리")</f>
        <v>조미료</v>
      </c>
      <c r="C2792" t="s">
        <v>558</v>
      </c>
      <c r="D2792" t="str">
        <f>VLOOKUP(C2792, '[1]VLOOKUP 함수용 카테고리'!$A$1:$B$59, 2, 0)</f>
        <v>SAUCE_SEASONING</v>
      </c>
      <c r="E2792" t="s">
        <v>956</v>
      </c>
      <c r="F2792" t="s">
        <v>941</v>
      </c>
    </row>
    <row r="2793" spans="1:6" x14ac:dyDescent="0.3">
      <c r="A2793" t="s">
        <v>4712</v>
      </c>
      <c r="B2793" t="str" cm="1">
        <f t="array" ref="B2793">_xlfn.XLOOKUP(C2793, INDEX([1]!카테고리매핑,,2), INDEX([1]!카테고리매핑,,1), "미등록 카테고리")</f>
        <v>유제품</v>
      </c>
      <c r="C2793" t="s">
        <v>98</v>
      </c>
      <c r="D2793" t="str">
        <f>VLOOKUP(C2793, '[1]VLOOKUP 함수용 카테고리'!$A$1:$B$59, 2, 0)</f>
        <v>DAIRY</v>
      </c>
      <c r="E2793" t="s">
        <v>3118</v>
      </c>
      <c r="F2793" t="s">
        <v>688</v>
      </c>
    </row>
    <row r="2794" spans="1:6" x14ac:dyDescent="0.3">
      <c r="A2794" t="s">
        <v>4713</v>
      </c>
      <c r="B2794" t="str" cm="1">
        <f t="array" ref="B2794">_xlfn.XLOOKUP(C2794, INDEX([1]!카테고리매핑,,2), INDEX([1]!카테고리매핑,,1), "미등록 카테고리")</f>
        <v>음료</v>
      </c>
      <c r="C2794" t="s">
        <v>23</v>
      </c>
      <c r="D2794" t="str">
        <f>VLOOKUP(C2794, '[1]VLOOKUP 함수용 카테고리'!$A$1:$B$59, 2, 0)</f>
        <v>BEVERAGE</v>
      </c>
      <c r="E2794" t="s">
        <v>4714</v>
      </c>
      <c r="F2794" t="s">
        <v>182</v>
      </c>
    </row>
    <row r="2795" spans="1:6" x14ac:dyDescent="0.3">
      <c r="A2795" t="s">
        <v>4715</v>
      </c>
      <c r="B2795" t="str" cm="1">
        <f t="array" ref="B2795">_xlfn.XLOOKUP(C2795, INDEX([1]!카테고리매핑,,2), INDEX([1]!카테고리매핑,,1), "미등록 카테고리")</f>
        <v>조미료</v>
      </c>
      <c r="C2795" t="s">
        <v>84</v>
      </c>
      <c r="D2795" t="str">
        <f>VLOOKUP(C2795, '[1]VLOOKUP 함수용 카테고리'!$A$1:$B$59, 2, 0)</f>
        <v>SAUCE_SEASONING</v>
      </c>
      <c r="E2795" t="s">
        <v>90</v>
      </c>
      <c r="F2795" t="s">
        <v>445</v>
      </c>
    </row>
    <row r="2796" spans="1:6" x14ac:dyDescent="0.3">
      <c r="A2796" t="s">
        <v>4716</v>
      </c>
      <c r="B2796" t="str" cm="1">
        <f t="array" ref="B2796">_xlfn.XLOOKUP(C2796, INDEX([1]!카테고리매핑,,2), INDEX([1]!카테고리매핑,,1), "미등록 카테고리")</f>
        <v>상온식품</v>
      </c>
      <c r="C2796" t="s">
        <v>276</v>
      </c>
      <c r="D2796" t="str">
        <f>VLOOKUP(C2796, '[1]VLOOKUP 함수용 카테고리'!$A$1:$B$59, 2, 0)</f>
        <v>DRIED_SEAFOOD</v>
      </c>
      <c r="E2796" t="s">
        <v>4717</v>
      </c>
      <c r="F2796" t="s">
        <v>269</v>
      </c>
    </row>
    <row r="2797" spans="1:6" x14ac:dyDescent="0.3">
      <c r="A2797" t="s">
        <v>4718</v>
      </c>
      <c r="B2797" t="str" cm="1">
        <f t="array" ref="B2797">_xlfn.XLOOKUP(C2797, INDEX([1]!카테고리매핑,,2), INDEX([1]!카테고리매핑,,1), "미등록 카테고리")</f>
        <v>간식류</v>
      </c>
      <c r="C2797" t="s">
        <v>63</v>
      </c>
      <c r="D2797" t="str">
        <f>VLOOKUP(C2797, '[1]VLOOKUP 함수용 카테고리'!$A$1:$B$59, 2, 0)</f>
        <v>BAKERY</v>
      </c>
      <c r="E2797" t="s">
        <v>1594</v>
      </c>
      <c r="F2797" t="s">
        <v>4719</v>
      </c>
    </row>
    <row r="2798" spans="1:6" x14ac:dyDescent="0.3">
      <c r="A2798" t="s">
        <v>4720</v>
      </c>
      <c r="B2798" t="str" cm="1">
        <f t="array" ref="B2798">_xlfn.XLOOKUP(C2798, INDEX([1]!카테고리매핑,,2), INDEX([1]!카테고리매핑,,1), "미등록 카테고리")</f>
        <v>유제품</v>
      </c>
      <c r="C2798" t="s">
        <v>123</v>
      </c>
      <c r="D2798" t="str">
        <f>VLOOKUP(C2798, '[1]VLOOKUP 함수용 카테고리'!$A$1:$B$59, 2, 0)</f>
        <v>DAIRY</v>
      </c>
      <c r="E2798" t="s">
        <v>190</v>
      </c>
      <c r="F2798" t="s">
        <v>543</v>
      </c>
    </row>
    <row r="2799" spans="1:6" x14ac:dyDescent="0.3">
      <c r="A2799" t="s">
        <v>4721</v>
      </c>
      <c r="B2799" t="str" cm="1">
        <f t="array" ref="B2799">_xlfn.XLOOKUP(C2799, INDEX([1]!카테고리매핑,,2), INDEX([1]!카테고리매핑,,1), "미등록 카테고리")</f>
        <v>간편식</v>
      </c>
      <c r="C2799" t="s">
        <v>19</v>
      </c>
      <c r="D2799" t="str">
        <f>VLOOKUP(C2799, '[1]VLOOKUP 함수용 카테고리'!$A$1:$B$59, 2, 0)</f>
        <v>FROZEN_MEAL</v>
      </c>
      <c r="E2799" t="s">
        <v>1115</v>
      </c>
      <c r="F2799" t="s">
        <v>1490</v>
      </c>
    </row>
    <row r="2800" spans="1:6" x14ac:dyDescent="0.3">
      <c r="A2800" t="s">
        <v>4722</v>
      </c>
      <c r="B2800" t="str" cm="1">
        <f t="array" ref="B2800">_xlfn.XLOOKUP(C2800, INDEX([1]!카테고리매핑,,2), INDEX([1]!카테고리매핑,,1), "미등록 카테고리")</f>
        <v>유제품</v>
      </c>
      <c r="C2800" t="s">
        <v>211</v>
      </c>
      <c r="D2800" t="str">
        <f>VLOOKUP(C2800, '[1]VLOOKUP 함수용 카테고리'!$A$1:$B$59, 2, 0)</f>
        <v>DAIRY</v>
      </c>
      <c r="E2800" t="s">
        <v>212</v>
      </c>
      <c r="F2800" t="s">
        <v>193</v>
      </c>
    </row>
    <row r="2801" spans="1:6" x14ac:dyDescent="0.3">
      <c r="A2801" t="s">
        <v>4723</v>
      </c>
      <c r="B2801" t="str" cm="1">
        <f t="array" ref="B2801">_xlfn.XLOOKUP(C2801, INDEX([1]!카테고리매핑,,2), INDEX([1]!카테고리매핑,,1), "미등록 카테고리")</f>
        <v>간편식</v>
      </c>
      <c r="C2801" t="s">
        <v>256</v>
      </c>
      <c r="D2801" t="str">
        <f>VLOOKUP(C2801, '[1]VLOOKUP 함수용 카테고리'!$A$1:$B$59, 2, 0)</f>
        <v>RTC_MEAL</v>
      </c>
      <c r="E2801" t="s">
        <v>256</v>
      </c>
      <c r="F2801" t="s">
        <v>419</v>
      </c>
    </row>
    <row r="2802" spans="1:6" x14ac:dyDescent="0.3">
      <c r="A2802" t="s">
        <v>4724</v>
      </c>
      <c r="B2802" t="str" cm="1">
        <f t="array" ref="B2802">_xlfn.XLOOKUP(C2802, INDEX([1]!카테고리매핑,,2), INDEX([1]!카테고리매핑,,1), "미등록 카테고리")</f>
        <v>육류/계란</v>
      </c>
      <c r="C2802" t="s">
        <v>298</v>
      </c>
      <c r="D2802" t="str">
        <f>VLOOKUP(C2802, '[1]VLOOKUP 함수용 카테고리'!$A$1:$B$59, 2, 0)</f>
        <v>RAW_MEAT</v>
      </c>
      <c r="E2802" t="s">
        <v>751</v>
      </c>
      <c r="F2802" t="s">
        <v>3436</v>
      </c>
    </row>
    <row r="2803" spans="1:6" x14ac:dyDescent="0.3">
      <c r="A2803" t="s">
        <v>4725</v>
      </c>
      <c r="B2803" t="str" cm="1">
        <f t="array" ref="B2803">_xlfn.XLOOKUP(C2803, INDEX([1]!카테고리매핑,,2), INDEX([1]!카테고리매핑,,1), "미등록 카테고리")</f>
        <v>음료</v>
      </c>
      <c r="C2803" t="s">
        <v>23</v>
      </c>
      <c r="D2803" t="str">
        <f>VLOOKUP(C2803, '[1]VLOOKUP 함수용 카테고리'!$A$1:$B$59, 2, 0)</f>
        <v>BEVERAGE</v>
      </c>
      <c r="E2803" t="s">
        <v>74</v>
      </c>
      <c r="F2803" t="s">
        <v>65</v>
      </c>
    </row>
    <row r="2804" spans="1:6" x14ac:dyDescent="0.3">
      <c r="A2804" t="s">
        <v>4726</v>
      </c>
      <c r="B2804" t="str" cm="1">
        <f t="array" ref="B2804">_xlfn.XLOOKUP(C2804, INDEX([1]!카테고리매핑,,2), INDEX([1]!카테고리매핑,,1), "미등록 카테고리")</f>
        <v>조미료</v>
      </c>
      <c r="C2804" t="s">
        <v>117</v>
      </c>
      <c r="D2804" t="str">
        <f>VLOOKUP(C2804, '[1]VLOOKUP 함수용 카테고리'!$A$1:$B$59, 2, 0)</f>
        <v>SAUCE_SEASONING</v>
      </c>
      <c r="E2804" t="s">
        <v>421</v>
      </c>
      <c r="F2804" t="s">
        <v>4727</v>
      </c>
    </row>
    <row r="2805" spans="1:6" x14ac:dyDescent="0.3">
      <c r="A2805" t="s">
        <v>4728</v>
      </c>
      <c r="B2805" t="str" cm="1">
        <f t="array" ref="B2805">_xlfn.XLOOKUP(C2805, INDEX([1]!카테고리매핑,,2), INDEX([1]!카테고리매핑,,1), "미등록 카테고리")</f>
        <v>간편식</v>
      </c>
      <c r="C2805" t="s">
        <v>46</v>
      </c>
      <c r="D2805" t="str">
        <f>VLOOKUP(C2805, '[1]VLOOKUP 함수용 카테고리'!$A$1:$B$59, 2, 0)</f>
        <v>RTC_MEAL</v>
      </c>
      <c r="E2805" t="s">
        <v>46</v>
      </c>
      <c r="F2805" t="s">
        <v>1625</v>
      </c>
    </row>
    <row r="2806" spans="1:6" x14ac:dyDescent="0.3">
      <c r="A2806" t="s">
        <v>4729</v>
      </c>
      <c r="B2806" t="str" cm="1">
        <f t="array" ref="B2806">_xlfn.XLOOKUP(C2806, INDEX([1]!카테고리매핑,,2), INDEX([1]!카테고리매핑,,1), "미등록 카테고리")</f>
        <v>간식류</v>
      </c>
      <c r="C2806" t="s">
        <v>11</v>
      </c>
      <c r="D2806" t="str">
        <f>VLOOKUP(C2806, '[1]VLOOKUP 함수용 카테고리'!$A$1:$B$59, 2, 0)</f>
        <v>SNACK</v>
      </c>
      <c r="E2806" t="s">
        <v>81</v>
      </c>
    </row>
    <row r="2807" spans="1:6" x14ac:dyDescent="0.3">
      <c r="A2807" t="s">
        <v>4730</v>
      </c>
      <c r="B2807" t="str" cm="1">
        <f t="array" ref="B2807">_xlfn.XLOOKUP(C2807, INDEX([1]!카테고리매핑,,2), INDEX([1]!카테고리매핑,,1), "미등록 카테고리")</f>
        <v>육류/계란</v>
      </c>
      <c r="C2807" t="s">
        <v>105</v>
      </c>
      <c r="D2807" t="str">
        <f>VLOOKUP(C2807, '[1]VLOOKUP 함수용 카테고리'!$A$1:$B$59, 2, 0)</f>
        <v>RAW_MEAT</v>
      </c>
      <c r="E2807" t="s">
        <v>1475</v>
      </c>
      <c r="F2807" t="s">
        <v>254</v>
      </c>
    </row>
    <row r="2808" spans="1:6" x14ac:dyDescent="0.3">
      <c r="A2808" t="s">
        <v>4731</v>
      </c>
      <c r="B2808" t="str" cm="1">
        <f t="array" ref="B2808">_xlfn.XLOOKUP(C2808, INDEX([1]!카테고리매핑,,2), INDEX([1]!카테고리매핑,,1), "미등록 카테고리")</f>
        <v>간편식</v>
      </c>
      <c r="C2808" t="s">
        <v>158</v>
      </c>
      <c r="D2808" t="str">
        <f>VLOOKUP(C2808, '[1]VLOOKUP 함수용 카테고리'!$A$1:$B$59, 2, 0)</f>
        <v>INSTANT</v>
      </c>
      <c r="E2808" t="s">
        <v>4498</v>
      </c>
      <c r="F2808" t="s">
        <v>154</v>
      </c>
    </row>
    <row r="2809" spans="1:6" x14ac:dyDescent="0.3">
      <c r="A2809" t="s">
        <v>4732</v>
      </c>
      <c r="B2809" t="str" cm="1">
        <f t="array" ref="B2809">_xlfn.XLOOKUP(C2809, INDEX([1]!카테고리매핑,,2), INDEX([1]!카테고리매핑,,1), "미등록 카테고리")</f>
        <v>조미료</v>
      </c>
      <c r="C2809" t="s">
        <v>117</v>
      </c>
      <c r="D2809" t="str">
        <f>VLOOKUP(C2809, '[1]VLOOKUP 함수용 카테고리'!$A$1:$B$59, 2, 0)</f>
        <v>SAUCE_SEASONING</v>
      </c>
      <c r="E2809" t="s">
        <v>2310</v>
      </c>
      <c r="F2809" t="s">
        <v>4733</v>
      </c>
    </row>
    <row r="2810" spans="1:6" x14ac:dyDescent="0.3">
      <c r="A2810" t="s">
        <v>4734</v>
      </c>
      <c r="B2810" t="str" cm="1">
        <f t="array" ref="B2810">_xlfn.XLOOKUP(C2810, INDEX([1]!카테고리매핑,,2), INDEX([1]!카테고리매핑,,1), "미등록 카테고리")</f>
        <v>간식류</v>
      </c>
      <c r="C2810" t="s">
        <v>38</v>
      </c>
      <c r="D2810" t="str">
        <f>VLOOKUP(C2810, '[1]VLOOKUP 함수용 카테고리'!$A$1:$B$59, 2, 0)</f>
        <v>SNACK</v>
      </c>
      <c r="E2810" t="s">
        <v>179</v>
      </c>
      <c r="F2810" t="s">
        <v>4735</v>
      </c>
    </row>
    <row r="2811" spans="1:6" x14ac:dyDescent="0.3">
      <c r="A2811" t="s">
        <v>4736</v>
      </c>
      <c r="B2811" t="str" cm="1">
        <f t="array" ref="B2811">_xlfn.XLOOKUP(C2811, INDEX([1]!카테고리매핑,,2), INDEX([1]!카테고리매핑,,1), "미등록 카테고리")</f>
        <v>간편식</v>
      </c>
      <c r="C2811" t="s">
        <v>131</v>
      </c>
      <c r="D2811" t="str">
        <f>VLOOKUP(C2811, '[1]VLOOKUP 함수용 카테고리'!$A$1:$B$59, 2, 0)</f>
        <v>SIMPLE_PROCESSED</v>
      </c>
      <c r="E2811" t="s">
        <v>132</v>
      </c>
      <c r="F2811" t="s">
        <v>133</v>
      </c>
    </row>
    <row r="2812" spans="1:6" x14ac:dyDescent="0.3">
      <c r="A2812" t="s">
        <v>4737</v>
      </c>
      <c r="B2812" t="str" cm="1">
        <f t="array" ref="B2812">_xlfn.XLOOKUP(C2812, INDEX([1]!카테고리매핑,,2), INDEX([1]!카테고리매핑,,1), "미등록 카테고리")</f>
        <v>음료</v>
      </c>
      <c r="C2812" t="s">
        <v>23</v>
      </c>
      <c r="D2812" t="str">
        <f>VLOOKUP(C2812, '[1]VLOOKUP 함수용 카테고리'!$A$1:$B$59, 2, 0)</f>
        <v>BEVERAGE</v>
      </c>
      <c r="E2812" t="s">
        <v>288</v>
      </c>
      <c r="F2812" t="s">
        <v>4738</v>
      </c>
    </row>
    <row r="2813" spans="1:6" x14ac:dyDescent="0.3">
      <c r="A2813" t="s">
        <v>4739</v>
      </c>
      <c r="B2813" t="str" cm="1">
        <f t="array" ref="B2813">_xlfn.XLOOKUP(C2813, INDEX([1]!카테고리매핑,,2), INDEX([1]!카테고리매핑,,1), "미등록 카테고리")</f>
        <v>채소/곡물류</v>
      </c>
      <c r="C2813" t="s">
        <v>7</v>
      </c>
      <c r="D2813" t="str">
        <f>VLOOKUP(C2813, '[1]VLOOKUP 함수용 카테고리'!$A$1:$B$59, 2, 0)</f>
        <v>RAW_PRODUCE</v>
      </c>
      <c r="E2813" t="s">
        <v>743</v>
      </c>
      <c r="F2813" t="s">
        <v>406</v>
      </c>
    </row>
    <row r="2814" spans="1:6" x14ac:dyDescent="0.3">
      <c r="A2814" t="s">
        <v>4740</v>
      </c>
      <c r="B2814" t="str" cm="1">
        <f t="array" ref="B2814">_xlfn.XLOOKUP(C2814, INDEX([1]!카테고리매핑,,2), INDEX([1]!카테고리매핑,,1), "미등록 카테고리")</f>
        <v>간편식</v>
      </c>
      <c r="C2814" t="s">
        <v>256</v>
      </c>
      <c r="D2814" t="str">
        <f>VLOOKUP(C2814, '[1]VLOOKUP 함수용 카테고리'!$A$1:$B$59, 2, 0)</f>
        <v>RTC_MEAL</v>
      </c>
      <c r="E2814" t="s">
        <v>256</v>
      </c>
      <c r="F2814" t="s">
        <v>7786</v>
      </c>
    </row>
    <row r="2815" spans="1:6" x14ac:dyDescent="0.3">
      <c r="A2815" t="s">
        <v>4741</v>
      </c>
      <c r="B2815" t="str" cm="1">
        <f t="array" ref="B2815">_xlfn.XLOOKUP(C2815, INDEX([1]!카테고리매핑,,2), INDEX([1]!카테고리매핑,,1), "미등록 카테고리")</f>
        <v>간식류</v>
      </c>
      <c r="C2815" t="s">
        <v>11</v>
      </c>
      <c r="D2815" t="str">
        <f>VLOOKUP(C2815, '[1]VLOOKUP 함수용 카테고리'!$A$1:$B$59, 2, 0)</f>
        <v>SNACK</v>
      </c>
      <c r="E2815" t="s">
        <v>2199</v>
      </c>
      <c r="F2815" t="s">
        <v>4742</v>
      </c>
    </row>
    <row r="2816" spans="1:6" x14ac:dyDescent="0.3">
      <c r="A2816" t="s">
        <v>4743</v>
      </c>
      <c r="B2816" t="str" cm="1">
        <f t="array" ref="B2816">_xlfn.XLOOKUP(C2816, INDEX([1]!카테고리매핑,,2), INDEX([1]!카테고리매핑,,1), "미등록 카테고리")</f>
        <v>간편식</v>
      </c>
      <c r="C2816" t="s">
        <v>256</v>
      </c>
      <c r="D2816" t="str">
        <f>VLOOKUP(C2816, '[1]VLOOKUP 함수용 카테고리'!$A$1:$B$59, 2, 0)</f>
        <v>RTC_MEAL</v>
      </c>
      <c r="E2816" t="s">
        <v>256</v>
      </c>
      <c r="F2816" t="s">
        <v>1457</v>
      </c>
    </row>
    <row r="2817" spans="1:6" x14ac:dyDescent="0.3">
      <c r="A2817" t="s">
        <v>4744</v>
      </c>
      <c r="B2817" t="str" cm="1">
        <f t="array" ref="B2817">_xlfn.XLOOKUP(C2817, INDEX([1]!카테고리매핑,,2), INDEX([1]!카테고리매핑,,1), "미등록 카테고리")</f>
        <v>육류/계란</v>
      </c>
      <c r="C2817" t="s">
        <v>149</v>
      </c>
      <c r="D2817" t="str">
        <f>VLOOKUP(C2817, '[1]VLOOKUP 함수용 카테고리'!$A$1:$B$59, 2, 0)</f>
        <v>RAW_MEAT</v>
      </c>
      <c r="E2817" t="s">
        <v>635</v>
      </c>
      <c r="F2817" t="s">
        <v>72</v>
      </c>
    </row>
    <row r="2818" spans="1:6" x14ac:dyDescent="0.3">
      <c r="A2818" t="s">
        <v>4745</v>
      </c>
      <c r="B2818" t="str" cm="1">
        <f t="array" ref="B2818">_xlfn.XLOOKUP(C2818, INDEX([1]!카테고리매핑,,2), INDEX([1]!카테고리매핑,,1), "미등록 카테고리")</f>
        <v>과일/견과류</v>
      </c>
      <c r="C2818" t="s">
        <v>654</v>
      </c>
      <c r="D2818" t="str">
        <f>VLOOKUP(C2818, '[1]VLOOKUP 함수용 카테고리'!$A$1:$B$59, 2, 0)</f>
        <v>RAW_FRUIT</v>
      </c>
      <c r="E2818" t="s">
        <v>4746</v>
      </c>
    </row>
    <row r="2819" spans="1:6" x14ac:dyDescent="0.3">
      <c r="A2819" t="s">
        <v>4747</v>
      </c>
      <c r="B2819" t="str" cm="1">
        <f t="array" ref="B2819">_xlfn.XLOOKUP(C2819, INDEX([1]!카테고리매핑,,2), INDEX([1]!카테고리매핑,,1), "미등록 카테고리")</f>
        <v>조미료</v>
      </c>
      <c r="C2819" t="s">
        <v>127</v>
      </c>
      <c r="D2819" t="str">
        <f>VLOOKUP(C2819, '[1]VLOOKUP 함수용 카테고리'!$A$1:$B$59, 2, 0)</f>
        <v>SAUCE_SEASONING</v>
      </c>
      <c r="E2819" t="s">
        <v>1896</v>
      </c>
      <c r="F2819" t="s">
        <v>646</v>
      </c>
    </row>
    <row r="2820" spans="1:6" x14ac:dyDescent="0.3">
      <c r="A2820" t="s">
        <v>4748</v>
      </c>
      <c r="B2820" t="str" cm="1">
        <f t="array" ref="B2820">_xlfn.XLOOKUP(C2820, INDEX([1]!카테고리매핑,,2), INDEX([1]!카테고리매핑,,1), "미등록 카테고리")</f>
        <v>채소/곡물류</v>
      </c>
      <c r="C2820" t="s">
        <v>7</v>
      </c>
      <c r="D2820" t="str">
        <f>VLOOKUP(C2820, '[1]VLOOKUP 함수용 카테고리'!$A$1:$B$59, 2, 0)</f>
        <v>RAW_PRODUCE</v>
      </c>
      <c r="E2820" t="s">
        <v>535</v>
      </c>
      <c r="F2820" t="s">
        <v>151</v>
      </c>
    </row>
    <row r="2821" spans="1:6" x14ac:dyDescent="0.3">
      <c r="A2821" t="s">
        <v>4749</v>
      </c>
      <c r="B2821" t="str" cm="1">
        <f t="array" ref="B2821">_xlfn.XLOOKUP(C2821, INDEX([1]!카테고리매핑,,2), INDEX([1]!카테고리매핑,,1), "미등록 카테고리")</f>
        <v>간편식</v>
      </c>
      <c r="C2821" t="s">
        <v>131</v>
      </c>
      <c r="D2821" t="str">
        <f>VLOOKUP(C2821, '[1]VLOOKUP 함수용 카테고리'!$A$1:$B$59, 2, 0)</f>
        <v>SIMPLE_PROCESSED</v>
      </c>
      <c r="E2821" t="s">
        <v>755</v>
      </c>
      <c r="F2821" t="s">
        <v>133</v>
      </c>
    </row>
    <row r="2822" spans="1:6" x14ac:dyDescent="0.3">
      <c r="A2822" t="s">
        <v>4750</v>
      </c>
      <c r="B2822" t="str" cm="1">
        <f t="array" ref="B2822">_xlfn.XLOOKUP(C2822, INDEX([1]!카테고리매핑,,2), INDEX([1]!카테고리매핑,,1), "미등록 카테고리")</f>
        <v>간식류</v>
      </c>
      <c r="C2822" t="s">
        <v>38</v>
      </c>
      <c r="D2822" t="str">
        <f>VLOOKUP(C2822, '[1]VLOOKUP 함수용 카테고리'!$A$1:$B$59, 2, 0)</f>
        <v>SNACK</v>
      </c>
      <c r="E2822" t="s">
        <v>179</v>
      </c>
      <c r="F2822" t="s">
        <v>2668</v>
      </c>
    </row>
    <row r="2823" spans="1:6" x14ac:dyDescent="0.3">
      <c r="A2823" t="s">
        <v>4751</v>
      </c>
      <c r="B2823" t="str" cm="1">
        <f t="array" ref="B2823">_xlfn.XLOOKUP(C2823, INDEX([1]!카테고리매핑,,2), INDEX([1]!카테고리매핑,,1), "미등록 카테고리")</f>
        <v>간편식</v>
      </c>
      <c r="C2823" t="s">
        <v>46</v>
      </c>
      <c r="D2823" t="str">
        <f>VLOOKUP(C2823, '[1]VLOOKUP 함수용 카테고리'!$A$1:$B$59, 2, 0)</f>
        <v>RTC_MEAL</v>
      </c>
      <c r="E2823" t="s">
        <v>46</v>
      </c>
      <c r="F2823" t="s">
        <v>151</v>
      </c>
    </row>
    <row r="2824" spans="1:6" x14ac:dyDescent="0.3">
      <c r="A2824" t="s">
        <v>4752</v>
      </c>
      <c r="B2824" t="str" cm="1">
        <f t="array" ref="B2824">_xlfn.XLOOKUP(C2824, INDEX([1]!카테고리매핑,,2), INDEX([1]!카테고리매핑,,1), "미등록 카테고리")</f>
        <v>육류/계란</v>
      </c>
      <c r="C2824" t="s">
        <v>298</v>
      </c>
      <c r="D2824" t="str">
        <f>VLOOKUP(C2824, '[1]VLOOKUP 함수용 카테고리'!$A$1:$B$59, 2, 0)</f>
        <v>RAW_MEAT</v>
      </c>
      <c r="E2824" t="s">
        <v>751</v>
      </c>
      <c r="F2824" t="s">
        <v>350</v>
      </c>
    </row>
    <row r="2825" spans="1:6" x14ac:dyDescent="0.3">
      <c r="A2825" t="s">
        <v>4753</v>
      </c>
      <c r="B2825" t="str" cm="1">
        <f t="array" ref="B2825">_xlfn.XLOOKUP(C2825, INDEX([1]!카테고리매핑,,2), INDEX([1]!카테고리매핑,,1), "미등록 카테고리")</f>
        <v>과일/견과류</v>
      </c>
      <c r="C2825" t="s">
        <v>654</v>
      </c>
      <c r="D2825" t="str">
        <f>VLOOKUP(C2825, '[1]VLOOKUP 함수용 카테고리'!$A$1:$B$59, 2, 0)</f>
        <v>RAW_FRUIT</v>
      </c>
      <c r="E2825" t="s">
        <v>1008</v>
      </c>
      <c r="F2825" t="s">
        <v>4693</v>
      </c>
    </row>
    <row r="2826" spans="1:6" x14ac:dyDescent="0.3">
      <c r="A2826" t="s">
        <v>4754</v>
      </c>
      <c r="B2826" t="str" cm="1">
        <f t="array" ref="B2826">_xlfn.XLOOKUP(C2826, INDEX([1]!카테고리매핑,,2), INDEX([1]!카테고리매핑,,1), "미등록 카테고리")</f>
        <v>육류/계란</v>
      </c>
      <c r="C2826" t="s">
        <v>149</v>
      </c>
      <c r="D2826" t="str">
        <f>VLOOKUP(C2826, '[1]VLOOKUP 함수용 카테고리'!$A$1:$B$59, 2, 0)</f>
        <v>RAW_MEAT</v>
      </c>
      <c r="E2826" t="s">
        <v>1647</v>
      </c>
      <c r="F2826" t="s">
        <v>7767</v>
      </c>
    </row>
    <row r="2827" spans="1:6" x14ac:dyDescent="0.3">
      <c r="A2827" t="s">
        <v>4755</v>
      </c>
      <c r="B2827" t="str" cm="1">
        <f t="array" ref="B2827">_xlfn.XLOOKUP(C2827, INDEX([1]!카테고리매핑,,2), INDEX([1]!카테고리매핑,,1), "미등록 카테고리")</f>
        <v>육류/계란</v>
      </c>
      <c r="C2827" t="s">
        <v>298</v>
      </c>
      <c r="D2827" t="str">
        <f>VLOOKUP(C2827, '[1]VLOOKUP 함수용 카테고리'!$A$1:$B$59, 2, 0)</f>
        <v>RAW_MEAT</v>
      </c>
      <c r="E2827" t="s">
        <v>751</v>
      </c>
      <c r="F2827" t="s">
        <v>72</v>
      </c>
    </row>
    <row r="2828" spans="1:6" x14ac:dyDescent="0.3">
      <c r="A2828" t="s">
        <v>4756</v>
      </c>
      <c r="B2828" t="str" cm="1">
        <f t="array" ref="B2828">_xlfn.XLOOKUP(C2828, INDEX([1]!카테고리매핑,,2), INDEX([1]!카테고리매핑,,1), "미등록 카테고리")</f>
        <v>간식류</v>
      </c>
      <c r="C2828" t="s">
        <v>11</v>
      </c>
      <c r="D2828" t="str">
        <f>VLOOKUP(C2828, '[1]VLOOKUP 함수용 카테고리'!$A$1:$B$59, 2, 0)</f>
        <v>SNACK</v>
      </c>
      <c r="E2828" t="s">
        <v>701</v>
      </c>
      <c r="F2828" t="s">
        <v>182</v>
      </c>
    </row>
    <row r="2829" spans="1:6" x14ac:dyDescent="0.3">
      <c r="A2829" t="s">
        <v>4757</v>
      </c>
      <c r="B2829" t="str" cm="1">
        <f t="array" ref="B2829">_xlfn.XLOOKUP(C2829, INDEX([1]!카테고리매핑,,2), INDEX([1]!카테고리매핑,,1), "미등록 카테고리")</f>
        <v>술</v>
      </c>
      <c r="C2829" t="s">
        <v>42</v>
      </c>
      <c r="D2829" t="str">
        <f>VLOOKUP(C2829, '[1]VLOOKUP 함수용 카테고리'!$A$1:$B$59, 2, 0)</f>
        <v>ALCOHOL</v>
      </c>
      <c r="E2829" t="s">
        <v>347</v>
      </c>
    </row>
    <row r="2830" spans="1:6" x14ac:dyDescent="0.3">
      <c r="A2830" t="s">
        <v>4758</v>
      </c>
      <c r="B2830" t="str" cm="1">
        <f t="array" ref="B2830">_xlfn.XLOOKUP(C2830, INDEX([1]!카테고리매핑,,2), INDEX([1]!카테고리매핑,,1), "미등록 카테고리")</f>
        <v>조미료</v>
      </c>
      <c r="C2830" t="s">
        <v>117</v>
      </c>
      <c r="D2830" t="str">
        <f>VLOOKUP(C2830, '[1]VLOOKUP 함수용 카테고리'!$A$1:$B$59, 2, 0)</f>
        <v>SAUCE_SEASONING</v>
      </c>
      <c r="E2830" t="s">
        <v>421</v>
      </c>
      <c r="F2830" t="s">
        <v>296</v>
      </c>
    </row>
    <row r="2831" spans="1:6" x14ac:dyDescent="0.3">
      <c r="A2831" t="s">
        <v>4759</v>
      </c>
      <c r="B2831" t="str" cm="1">
        <f t="array" ref="B2831">_xlfn.XLOOKUP(C2831, INDEX([1]!카테고리매핑,,2), INDEX([1]!카테고리매핑,,1), "미등록 카테고리")</f>
        <v>조미료</v>
      </c>
      <c r="C2831" t="s">
        <v>558</v>
      </c>
      <c r="D2831" t="str">
        <f>VLOOKUP(C2831, '[1]VLOOKUP 함수용 카테고리'!$A$1:$B$59, 2, 0)</f>
        <v>SAUCE_SEASONING</v>
      </c>
      <c r="E2831" t="s">
        <v>559</v>
      </c>
      <c r="F2831" t="s">
        <v>4760</v>
      </c>
    </row>
    <row r="2832" spans="1:6" x14ac:dyDescent="0.3">
      <c r="A2832" t="s">
        <v>4761</v>
      </c>
      <c r="B2832" t="str" cm="1">
        <f t="array" ref="B2832">_xlfn.XLOOKUP(C2832, INDEX([1]!카테고리매핑,,2), INDEX([1]!카테고리매핑,,1), "미등록 카테고리")</f>
        <v>상온식품</v>
      </c>
      <c r="C2832" t="s">
        <v>835</v>
      </c>
      <c r="D2832" t="str">
        <f>VLOOKUP(C2832, '[1]VLOOKUP 함수용 카테고리'!$A$1:$B$59, 2, 0)</f>
        <v>SAUCE_SEASONING</v>
      </c>
      <c r="E2832" t="s">
        <v>4762</v>
      </c>
      <c r="F2832" t="s">
        <v>1751</v>
      </c>
    </row>
    <row r="2833" spans="1:6" x14ac:dyDescent="0.3">
      <c r="A2833" t="s">
        <v>4763</v>
      </c>
      <c r="B2833" t="str" cm="1">
        <f t="array" ref="B2833">_xlfn.XLOOKUP(C2833, INDEX([1]!카테고리매핑,,2), INDEX([1]!카테고리매핑,,1), "미등록 카테고리")</f>
        <v>상온식품</v>
      </c>
      <c r="C2833" t="s">
        <v>835</v>
      </c>
      <c r="D2833" t="str">
        <f>VLOOKUP(C2833, '[1]VLOOKUP 함수용 카테고리'!$A$1:$B$59, 2, 0)</f>
        <v>SAUCE_SEASONING</v>
      </c>
      <c r="E2833" t="s">
        <v>4764</v>
      </c>
      <c r="F2833" t="s">
        <v>3827</v>
      </c>
    </row>
    <row r="2834" spans="1:6" x14ac:dyDescent="0.3">
      <c r="A2834" t="s">
        <v>4765</v>
      </c>
      <c r="B2834" t="str" cm="1">
        <f t="array" ref="B2834">_xlfn.XLOOKUP(C2834, INDEX([1]!카테고리매핑,,2), INDEX([1]!카테고리매핑,,1), "미등록 카테고리")</f>
        <v>육류/계란</v>
      </c>
      <c r="C2834" t="s">
        <v>149</v>
      </c>
      <c r="D2834" t="str">
        <f>VLOOKUP(C2834, '[1]VLOOKUP 함수용 카테고리'!$A$1:$B$59, 2, 0)</f>
        <v>RAW_MEAT</v>
      </c>
      <c r="E2834" t="s">
        <v>1630</v>
      </c>
      <c r="F2834" t="s">
        <v>350</v>
      </c>
    </row>
    <row r="2835" spans="1:6" x14ac:dyDescent="0.3">
      <c r="A2835" t="s">
        <v>4766</v>
      </c>
      <c r="B2835" t="str" cm="1">
        <f t="array" ref="B2835">_xlfn.XLOOKUP(C2835, INDEX([1]!카테고리매핑,,2), INDEX([1]!카테고리매핑,,1), "미등록 카테고리")</f>
        <v>유제품</v>
      </c>
      <c r="C2835" t="s">
        <v>211</v>
      </c>
      <c r="D2835" t="str">
        <f>VLOOKUP(C2835, '[1]VLOOKUP 함수용 카테고리'!$A$1:$B$59, 2, 0)</f>
        <v>DAIRY</v>
      </c>
      <c r="E2835" t="s">
        <v>211</v>
      </c>
      <c r="F2835" t="s">
        <v>2089</v>
      </c>
    </row>
    <row r="2836" spans="1:6" x14ac:dyDescent="0.3">
      <c r="A2836" t="s">
        <v>4767</v>
      </c>
      <c r="B2836" t="str" cm="1">
        <f t="array" ref="B2836">_xlfn.XLOOKUP(C2836, INDEX([1]!카테고리매핑,,2), INDEX([1]!카테고리매핑,,1), "미등록 카테고리")</f>
        <v>육류/계란</v>
      </c>
      <c r="C2836" t="s">
        <v>105</v>
      </c>
      <c r="D2836" t="str">
        <f>VLOOKUP(C2836, '[1]VLOOKUP 함수용 카테고리'!$A$1:$B$59, 2, 0)</f>
        <v>RAW_MEAT</v>
      </c>
      <c r="E2836" t="s">
        <v>524</v>
      </c>
      <c r="F2836" t="s">
        <v>2424</v>
      </c>
    </row>
    <row r="2837" spans="1:6" x14ac:dyDescent="0.3">
      <c r="A2837" t="s">
        <v>4768</v>
      </c>
      <c r="B2837" t="str" cm="1">
        <f t="array" ref="B2837">_xlfn.XLOOKUP(C2837, INDEX([1]!카테고리매핑,,2), INDEX([1]!카테고리매핑,,1), "미등록 카테고리")</f>
        <v>음료</v>
      </c>
      <c r="C2837" t="s">
        <v>23</v>
      </c>
      <c r="D2837" t="str">
        <f>VLOOKUP(C2837, '[1]VLOOKUP 함수용 카테고리'!$A$1:$B$59, 2, 0)</f>
        <v>BEVERAGE</v>
      </c>
      <c r="E2837" t="s">
        <v>355</v>
      </c>
      <c r="F2837" t="s">
        <v>1882</v>
      </c>
    </row>
    <row r="2838" spans="1:6" x14ac:dyDescent="0.3">
      <c r="A2838" t="s">
        <v>4769</v>
      </c>
      <c r="B2838" t="str" cm="1">
        <f t="array" ref="B2838">_xlfn.XLOOKUP(C2838, INDEX([1]!카테고리매핑,,2), INDEX([1]!카테고리매핑,,1), "미등록 카테고리")</f>
        <v>음료</v>
      </c>
      <c r="C2838" t="s">
        <v>23</v>
      </c>
      <c r="D2838" t="str">
        <f>VLOOKUP(C2838, '[1]VLOOKUP 함수용 카테고리'!$A$1:$B$59, 2, 0)</f>
        <v>BEVERAGE</v>
      </c>
      <c r="E2838" t="s">
        <v>355</v>
      </c>
      <c r="F2838" t="s">
        <v>1882</v>
      </c>
    </row>
    <row r="2839" spans="1:6" x14ac:dyDescent="0.3">
      <c r="A2839" t="s">
        <v>4770</v>
      </c>
      <c r="B2839" t="str" cm="1">
        <f t="array" ref="B2839">_xlfn.XLOOKUP(C2839, INDEX([1]!카테고리매핑,,2), INDEX([1]!카테고리매핑,,1), "미등록 카테고리")</f>
        <v>술</v>
      </c>
      <c r="C2839" t="s">
        <v>42</v>
      </c>
      <c r="D2839" t="str">
        <f>VLOOKUP(C2839, '[1]VLOOKUP 함수용 카테고리'!$A$1:$B$59, 2, 0)</f>
        <v>ALCOHOL</v>
      </c>
      <c r="E2839" t="s">
        <v>4771</v>
      </c>
    </row>
    <row r="2840" spans="1:6" x14ac:dyDescent="0.3">
      <c r="A2840" t="s">
        <v>4772</v>
      </c>
      <c r="B2840" t="str" cm="1">
        <f t="array" ref="B2840">_xlfn.XLOOKUP(C2840, INDEX([1]!카테고리매핑,,2), INDEX([1]!카테고리매핑,,1), "미등록 카테고리")</f>
        <v>수산물</v>
      </c>
      <c r="C2840" t="s">
        <v>101</v>
      </c>
      <c r="D2840" t="str">
        <f>VLOOKUP(C2840, '[1]VLOOKUP 함수용 카테고리'!$A$1:$B$59, 2, 0)</f>
        <v>DRIED_SEAFOOD</v>
      </c>
      <c r="E2840" t="s">
        <v>601</v>
      </c>
      <c r="F2840" t="s">
        <v>856</v>
      </c>
    </row>
    <row r="2841" spans="1:6" x14ac:dyDescent="0.3">
      <c r="A2841" t="s">
        <v>4773</v>
      </c>
      <c r="B2841" t="str" cm="1">
        <f t="array" ref="B2841">_xlfn.XLOOKUP(C2841, INDEX([1]!카테고리매핑,,2), INDEX([1]!카테고리매핑,,1), "미등록 카테고리")</f>
        <v>수산물</v>
      </c>
      <c r="C2841" t="s">
        <v>140</v>
      </c>
      <c r="D2841" t="str">
        <f>VLOOKUP(C2841, '[1]VLOOKUP 함수용 카테고리'!$A$1:$B$59, 2, 0)</f>
        <v>SIMPLE_PROCESSED</v>
      </c>
      <c r="E2841" t="s">
        <v>141</v>
      </c>
      <c r="F2841" t="s">
        <v>2446</v>
      </c>
    </row>
    <row r="2842" spans="1:6" x14ac:dyDescent="0.3">
      <c r="A2842" t="s">
        <v>4774</v>
      </c>
      <c r="B2842" t="str" cm="1">
        <f t="array" ref="B2842">_xlfn.XLOOKUP(C2842, INDEX([1]!카테고리매핑,,2), INDEX([1]!카테고리매핑,,1), "미등록 카테고리")</f>
        <v>육류/계란</v>
      </c>
      <c r="C2842" t="s">
        <v>105</v>
      </c>
      <c r="D2842" t="str">
        <f>VLOOKUP(C2842, '[1]VLOOKUP 함수용 카테고리'!$A$1:$B$59, 2, 0)</f>
        <v>RAW_MEAT</v>
      </c>
      <c r="E2842" t="s">
        <v>294</v>
      </c>
      <c r="F2842" t="s">
        <v>350</v>
      </c>
    </row>
    <row r="2843" spans="1:6" x14ac:dyDescent="0.3">
      <c r="A2843" t="s">
        <v>4775</v>
      </c>
      <c r="B2843" t="str" cm="1">
        <f t="array" ref="B2843">_xlfn.XLOOKUP(C2843, INDEX([1]!카테고리매핑,,2), INDEX([1]!카테고리매핑,,1), "미등록 카테고리")</f>
        <v>간편식</v>
      </c>
      <c r="C2843" t="s">
        <v>19</v>
      </c>
      <c r="D2843" t="str">
        <f>VLOOKUP(C2843, '[1]VLOOKUP 함수용 카테고리'!$A$1:$B$59, 2, 0)</f>
        <v>FROZEN_MEAL</v>
      </c>
      <c r="E2843" t="s">
        <v>763</v>
      </c>
      <c r="F2843" t="s">
        <v>889</v>
      </c>
    </row>
    <row r="2844" spans="1:6" x14ac:dyDescent="0.3">
      <c r="A2844" t="s">
        <v>4776</v>
      </c>
      <c r="B2844" t="str" cm="1">
        <f t="array" ref="B2844">_xlfn.XLOOKUP(C2844, INDEX([1]!카테고리매핑,,2), INDEX([1]!카테고리매핑,,1), "미등록 카테고리")</f>
        <v>유제품</v>
      </c>
      <c r="C2844" t="s">
        <v>123</v>
      </c>
      <c r="D2844" t="str">
        <f>VLOOKUP(C2844, '[1]VLOOKUP 함수용 카테고리'!$A$1:$B$59, 2, 0)</f>
        <v>DAIRY</v>
      </c>
      <c r="E2844" t="s">
        <v>190</v>
      </c>
      <c r="F2844" t="s">
        <v>543</v>
      </c>
    </row>
    <row r="2845" spans="1:6" x14ac:dyDescent="0.3">
      <c r="A2845" t="s">
        <v>4777</v>
      </c>
      <c r="B2845" t="str" cm="1">
        <f t="array" ref="B2845">_xlfn.XLOOKUP(C2845, INDEX([1]!카테고리매핑,,2), INDEX([1]!카테고리매핑,,1), "미등록 카테고리")</f>
        <v>조미료</v>
      </c>
      <c r="C2845" t="s">
        <v>84</v>
      </c>
      <c r="D2845" t="str">
        <f>VLOOKUP(C2845, '[1]VLOOKUP 함수용 카테고리'!$A$1:$B$59, 2, 0)</f>
        <v>SAUCE_SEASONING</v>
      </c>
      <c r="E2845" t="s">
        <v>2623</v>
      </c>
      <c r="F2845" t="s">
        <v>3851</v>
      </c>
    </row>
    <row r="2846" spans="1:6" x14ac:dyDescent="0.3">
      <c r="A2846" t="s">
        <v>4778</v>
      </c>
      <c r="B2846" t="str" cm="1">
        <f t="array" ref="B2846">_xlfn.XLOOKUP(C2846, INDEX([1]!카테고리매핑,,2), INDEX([1]!카테고리매핑,,1), "미등록 카테고리")</f>
        <v>과일/견과류</v>
      </c>
      <c r="C2846" t="s">
        <v>654</v>
      </c>
      <c r="D2846" t="str">
        <f>VLOOKUP(C2846, '[1]VLOOKUP 함수용 카테고리'!$A$1:$B$59, 2, 0)</f>
        <v>RAW_FRUIT</v>
      </c>
      <c r="E2846" t="s">
        <v>4746</v>
      </c>
      <c r="F2846" t="s">
        <v>350</v>
      </c>
    </row>
    <row r="2847" spans="1:6" x14ac:dyDescent="0.3">
      <c r="A2847" t="s">
        <v>4779</v>
      </c>
      <c r="B2847" t="str" cm="1">
        <f t="array" ref="B2847">_xlfn.XLOOKUP(C2847, INDEX([1]!카테고리매핑,,2), INDEX([1]!카테고리매핑,,1), "미등록 카테고리")</f>
        <v>조미료</v>
      </c>
      <c r="C2847" t="s">
        <v>117</v>
      </c>
      <c r="D2847" t="str">
        <f>VLOOKUP(C2847, '[1]VLOOKUP 함수용 카테고리'!$A$1:$B$59, 2, 0)</f>
        <v>SAUCE_SEASONING</v>
      </c>
      <c r="E2847" t="s">
        <v>1493</v>
      </c>
      <c r="F2847" t="s">
        <v>2372</v>
      </c>
    </row>
    <row r="2848" spans="1:6" x14ac:dyDescent="0.3">
      <c r="A2848" t="s">
        <v>4780</v>
      </c>
      <c r="B2848" t="str" cm="1">
        <f t="array" ref="B2848">_xlfn.XLOOKUP(C2848, INDEX([1]!카테고리매핑,,2), INDEX([1]!카테고리매핑,,1), "미등록 카테고리")</f>
        <v>육류/계란</v>
      </c>
      <c r="C2848" t="s">
        <v>149</v>
      </c>
      <c r="D2848" t="str">
        <f>VLOOKUP(C2848, '[1]VLOOKUP 함수용 카테고리'!$A$1:$B$59, 2, 0)</f>
        <v>RAW_MEAT</v>
      </c>
      <c r="E2848" t="s">
        <v>4781</v>
      </c>
      <c r="F2848" t="s">
        <v>4302</v>
      </c>
    </row>
    <row r="2849" spans="1:6" x14ac:dyDescent="0.3">
      <c r="A2849" t="s">
        <v>4782</v>
      </c>
      <c r="B2849" t="str" cm="1">
        <f t="array" ref="B2849">_xlfn.XLOOKUP(C2849, INDEX([1]!카테고리매핑,,2), INDEX([1]!카테고리매핑,,1), "미등록 카테고리")</f>
        <v>술</v>
      </c>
      <c r="C2849" t="s">
        <v>42</v>
      </c>
      <c r="D2849" t="str">
        <f>VLOOKUP(C2849, '[1]VLOOKUP 함수용 카테고리'!$A$1:$B$59, 2, 0)</f>
        <v>ALCOHOL</v>
      </c>
      <c r="E2849" t="s">
        <v>144</v>
      </c>
    </row>
    <row r="2850" spans="1:6" x14ac:dyDescent="0.3">
      <c r="A2850" t="s">
        <v>4783</v>
      </c>
      <c r="B2850" t="str" cm="1">
        <f t="array" ref="B2850">_xlfn.XLOOKUP(C2850, INDEX([1]!카테고리매핑,,2), INDEX([1]!카테고리매핑,,1), "미등록 카테고리")</f>
        <v>조미료</v>
      </c>
      <c r="C2850" t="s">
        <v>127</v>
      </c>
      <c r="D2850" t="str">
        <f>VLOOKUP(C2850, '[1]VLOOKUP 함수용 카테고리'!$A$1:$B$59, 2, 0)</f>
        <v>SAUCE_SEASONING</v>
      </c>
      <c r="E2850" t="s">
        <v>4529</v>
      </c>
      <c r="F2850" t="s">
        <v>4784</v>
      </c>
    </row>
    <row r="2851" spans="1:6" x14ac:dyDescent="0.3">
      <c r="A2851" t="s">
        <v>4785</v>
      </c>
      <c r="B2851" t="str" cm="1">
        <f t="array" ref="B2851">_xlfn.XLOOKUP(C2851, INDEX([1]!카테고리매핑,,2), INDEX([1]!카테고리매핑,,1), "미등록 카테고리")</f>
        <v>미등록 카테고리</v>
      </c>
      <c r="C2851" t="s">
        <v>334</v>
      </c>
      <c r="D2851" t="str">
        <f>VLOOKUP(C2851, '[1]VLOOKUP 함수용 카테고리'!$A$1:$B$59, 2, 0)</f>
        <v>UNKNOWN</v>
      </c>
      <c r="E2851" t="s">
        <v>334</v>
      </c>
      <c r="F2851" t="s">
        <v>812</v>
      </c>
    </row>
    <row r="2852" spans="1:6" x14ac:dyDescent="0.3">
      <c r="A2852" t="s">
        <v>4786</v>
      </c>
      <c r="B2852" t="str" cm="1">
        <f t="array" ref="B2852">_xlfn.XLOOKUP(C2852, INDEX([1]!카테고리매핑,,2), INDEX([1]!카테고리매핑,,1), "미등록 카테고리")</f>
        <v>간편식</v>
      </c>
      <c r="C2852" t="s">
        <v>19</v>
      </c>
      <c r="D2852" t="str">
        <f>VLOOKUP(C2852, '[1]VLOOKUP 함수용 카테고리'!$A$1:$B$59, 2, 0)</f>
        <v>FROZEN_MEAL</v>
      </c>
      <c r="E2852" t="s">
        <v>1854</v>
      </c>
      <c r="F2852" t="s">
        <v>350</v>
      </c>
    </row>
    <row r="2853" spans="1:6" x14ac:dyDescent="0.3">
      <c r="A2853" t="s">
        <v>4787</v>
      </c>
      <c r="B2853" t="str" cm="1">
        <f t="array" ref="B2853">_xlfn.XLOOKUP(C2853, INDEX([1]!카테고리매핑,,2), INDEX([1]!카테고리매핑,,1), "미등록 카테고리")</f>
        <v>상온식품</v>
      </c>
      <c r="C2853" t="s">
        <v>276</v>
      </c>
      <c r="D2853" t="str">
        <f>VLOOKUP(C2853, '[1]VLOOKUP 함수용 카테고리'!$A$1:$B$59, 2, 0)</f>
        <v>DRIED_SEAFOOD</v>
      </c>
      <c r="E2853" t="s">
        <v>277</v>
      </c>
      <c r="F2853" t="s">
        <v>736</v>
      </c>
    </row>
    <row r="2854" spans="1:6" x14ac:dyDescent="0.3">
      <c r="A2854" t="s">
        <v>4788</v>
      </c>
      <c r="B2854" t="str" cm="1">
        <f t="array" ref="B2854">_xlfn.XLOOKUP(C2854, INDEX([1]!카테고리매핑,,2), INDEX([1]!카테고리매핑,,1), "미등록 카테고리")</f>
        <v>채소/곡물류</v>
      </c>
      <c r="C2854" t="s">
        <v>7</v>
      </c>
      <c r="D2854" t="str">
        <f>VLOOKUP(C2854, '[1]VLOOKUP 함수용 카테고리'!$A$1:$B$59, 2, 0)</f>
        <v>RAW_PRODUCE</v>
      </c>
      <c r="E2854" t="s">
        <v>4597</v>
      </c>
    </row>
    <row r="2855" spans="1:6" x14ac:dyDescent="0.3">
      <c r="A2855" t="s">
        <v>4789</v>
      </c>
      <c r="B2855" t="str" cm="1">
        <f t="array" ref="B2855">_xlfn.XLOOKUP(C2855, INDEX([1]!카테고리매핑,,2), INDEX([1]!카테고리매핑,,1), "미등록 카테고리")</f>
        <v>조미료</v>
      </c>
      <c r="C2855" t="s">
        <v>127</v>
      </c>
      <c r="D2855" t="str">
        <f>VLOOKUP(C2855, '[1]VLOOKUP 함수용 카테고리'!$A$1:$B$59, 2, 0)</f>
        <v>SAUCE_SEASONING</v>
      </c>
      <c r="E2855" t="s">
        <v>248</v>
      </c>
      <c r="F2855" t="s">
        <v>4790</v>
      </c>
    </row>
    <row r="2856" spans="1:6" x14ac:dyDescent="0.3">
      <c r="A2856" t="s">
        <v>4791</v>
      </c>
      <c r="B2856" t="str" cm="1">
        <f t="array" ref="B2856">_xlfn.XLOOKUP(C2856, INDEX([1]!카테고리매핑,,2), INDEX([1]!카테고리매핑,,1), "미등록 카테고리")</f>
        <v>유제품</v>
      </c>
      <c r="C2856" t="s">
        <v>123</v>
      </c>
      <c r="D2856" t="str">
        <f>VLOOKUP(C2856, '[1]VLOOKUP 함수용 카테고리'!$A$1:$B$59, 2, 0)</f>
        <v>DAIRY</v>
      </c>
      <c r="E2856" t="s">
        <v>622</v>
      </c>
      <c r="F2856" t="s">
        <v>4792</v>
      </c>
    </row>
    <row r="2857" spans="1:6" x14ac:dyDescent="0.3">
      <c r="A2857" t="s">
        <v>4793</v>
      </c>
      <c r="B2857" t="str" cm="1">
        <f t="array" ref="B2857">_xlfn.XLOOKUP(C2857, INDEX([1]!카테고리매핑,,2), INDEX([1]!카테고리매핑,,1), "미등록 카테고리")</f>
        <v>간식류</v>
      </c>
      <c r="C2857" t="s">
        <v>15</v>
      </c>
      <c r="D2857" t="str">
        <f>VLOOKUP(C2857, '[1]VLOOKUP 함수용 카테고리'!$A$1:$B$59, 2, 0)</f>
        <v>BAKERY</v>
      </c>
      <c r="E2857" t="s">
        <v>200</v>
      </c>
      <c r="F2857" t="s">
        <v>2762</v>
      </c>
    </row>
    <row r="2858" spans="1:6" x14ac:dyDescent="0.3">
      <c r="A2858" t="s">
        <v>4794</v>
      </c>
      <c r="B2858" t="str" cm="1">
        <f t="array" ref="B2858">_xlfn.XLOOKUP(C2858, INDEX([1]!카테고리매핑,,2), INDEX([1]!카테고리매핑,,1), "미등록 카테고리")</f>
        <v>음료</v>
      </c>
      <c r="C2858" t="s">
        <v>23</v>
      </c>
      <c r="D2858" t="str">
        <f>VLOOKUP(C2858, '[1]VLOOKUP 함수용 카테고리'!$A$1:$B$59, 2, 0)</f>
        <v>BEVERAGE</v>
      </c>
      <c r="E2858" t="s">
        <v>74</v>
      </c>
      <c r="F2858" t="s">
        <v>975</v>
      </c>
    </row>
    <row r="2859" spans="1:6" x14ac:dyDescent="0.3">
      <c r="A2859" t="s">
        <v>4795</v>
      </c>
      <c r="B2859" t="str" cm="1">
        <f t="array" ref="B2859">_xlfn.XLOOKUP(C2859, INDEX([1]!카테고리매핑,,2), INDEX([1]!카테고리매핑,,1), "미등록 카테고리")</f>
        <v>간식류</v>
      </c>
      <c r="C2859" t="s">
        <v>38</v>
      </c>
      <c r="D2859" t="str">
        <f>VLOOKUP(C2859, '[1]VLOOKUP 함수용 카테고리'!$A$1:$B$59, 2, 0)</f>
        <v>SNACK</v>
      </c>
      <c r="E2859" t="s">
        <v>39</v>
      </c>
      <c r="F2859" t="s">
        <v>4796</v>
      </c>
    </row>
    <row r="2860" spans="1:6" x14ac:dyDescent="0.3">
      <c r="A2860" t="s">
        <v>4797</v>
      </c>
      <c r="B2860" t="str" cm="1">
        <f t="array" ref="B2860">_xlfn.XLOOKUP(C2860, INDEX([1]!카테고리매핑,,2), INDEX([1]!카테고리매핑,,1), "미등록 카테고리")</f>
        <v>간식류</v>
      </c>
      <c r="C2860" t="s">
        <v>109</v>
      </c>
      <c r="D2860" t="str">
        <f>VLOOKUP(C2860, '[1]VLOOKUP 함수용 카테고리'!$A$1:$B$59, 2, 0)</f>
        <v>SNACK</v>
      </c>
      <c r="E2860" t="s">
        <v>933</v>
      </c>
      <c r="F2860" t="s">
        <v>1730</v>
      </c>
    </row>
    <row r="2861" spans="1:6" x14ac:dyDescent="0.3">
      <c r="A2861" t="s">
        <v>4798</v>
      </c>
      <c r="B2861" t="str" cm="1">
        <f t="array" ref="B2861">_xlfn.XLOOKUP(C2861, INDEX([1]!카테고리매핑,,2), INDEX([1]!카테고리매핑,,1), "미등록 카테고리")</f>
        <v>조미료</v>
      </c>
      <c r="C2861" t="s">
        <v>84</v>
      </c>
      <c r="D2861" t="str">
        <f>VLOOKUP(C2861, '[1]VLOOKUP 함수용 카테고리'!$A$1:$B$59, 2, 0)</f>
        <v>SAUCE_SEASONING</v>
      </c>
      <c r="E2861" t="s">
        <v>85</v>
      </c>
      <c r="F2861" t="s">
        <v>4799</v>
      </c>
    </row>
    <row r="2862" spans="1:6" x14ac:dyDescent="0.3">
      <c r="A2862" t="s">
        <v>4800</v>
      </c>
      <c r="B2862" t="str" cm="1">
        <f t="array" ref="B2862">_xlfn.XLOOKUP(C2862, INDEX([1]!카테고리매핑,,2), INDEX([1]!카테고리매핑,,1), "미등록 카테고리")</f>
        <v>상온식품</v>
      </c>
      <c r="C2862" t="s">
        <v>276</v>
      </c>
      <c r="D2862" t="str">
        <f>VLOOKUP(C2862, '[1]VLOOKUP 함수용 카테고리'!$A$1:$B$59, 2, 0)</f>
        <v>DRIED_SEAFOOD</v>
      </c>
      <c r="E2862" t="s">
        <v>277</v>
      </c>
      <c r="F2862" t="s">
        <v>246</v>
      </c>
    </row>
    <row r="2863" spans="1:6" x14ac:dyDescent="0.3">
      <c r="A2863" t="s">
        <v>4801</v>
      </c>
      <c r="B2863" t="str" cm="1">
        <f t="array" ref="B2863">_xlfn.XLOOKUP(C2863, INDEX([1]!카테고리매핑,,2), INDEX([1]!카테고리매핑,,1), "미등록 카테고리")</f>
        <v>간식류</v>
      </c>
      <c r="C2863" t="s">
        <v>63</v>
      </c>
      <c r="D2863" t="str">
        <f>VLOOKUP(C2863, '[1]VLOOKUP 함수용 카테고리'!$A$1:$B$59, 2, 0)</f>
        <v>BAKERY</v>
      </c>
      <c r="E2863" t="s">
        <v>2774</v>
      </c>
      <c r="F2863" t="s">
        <v>582</v>
      </c>
    </row>
    <row r="2864" spans="1:6" x14ac:dyDescent="0.3">
      <c r="A2864" t="s">
        <v>4802</v>
      </c>
      <c r="B2864" t="str" cm="1">
        <f t="array" ref="B2864">_xlfn.XLOOKUP(C2864, INDEX([1]!카테고리매핑,,2), INDEX([1]!카테고리매핑,,1), "미등록 카테고리")</f>
        <v>간식류</v>
      </c>
      <c r="C2864" t="s">
        <v>63</v>
      </c>
      <c r="D2864" t="str">
        <f>VLOOKUP(C2864, '[1]VLOOKUP 함수용 카테고리'!$A$1:$B$59, 2, 0)</f>
        <v>BAKERY</v>
      </c>
      <c r="E2864" t="s">
        <v>1594</v>
      </c>
      <c r="F2864" t="s">
        <v>4803</v>
      </c>
    </row>
    <row r="2865" spans="1:6" x14ac:dyDescent="0.3">
      <c r="A2865" t="s">
        <v>4804</v>
      </c>
      <c r="B2865" t="str" cm="1">
        <f t="array" ref="B2865">_xlfn.XLOOKUP(C2865, INDEX([1]!카테고리매핑,,2), INDEX([1]!카테고리매핑,,1), "미등록 카테고리")</f>
        <v>유제품</v>
      </c>
      <c r="C2865" t="s">
        <v>123</v>
      </c>
      <c r="D2865" t="str">
        <f>VLOOKUP(C2865, '[1]VLOOKUP 함수용 카테고리'!$A$1:$B$59, 2, 0)</f>
        <v>DAIRY</v>
      </c>
      <c r="E2865" t="s">
        <v>239</v>
      </c>
      <c r="F2865" t="s">
        <v>953</v>
      </c>
    </row>
    <row r="2866" spans="1:6" x14ac:dyDescent="0.3">
      <c r="A2866" t="s">
        <v>4805</v>
      </c>
      <c r="B2866" t="str" cm="1">
        <f t="array" ref="B2866">_xlfn.XLOOKUP(C2866, INDEX([1]!카테고리매핑,,2), INDEX([1]!카테고리매핑,,1), "미등록 카테고리")</f>
        <v>간식류</v>
      </c>
      <c r="C2866" t="s">
        <v>15</v>
      </c>
      <c r="D2866" t="str">
        <f>VLOOKUP(C2866, '[1]VLOOKUP 함수용 카테고리'!$A$1:$B$59, 2, 0)</f>
        <v>BAKERY</v>
      </c>
      <c r="E2866" t="s">
        <v>4806</v>
      </c>
      <c r="F2866" t="s">
        <v>1784</v>
      </c>
    </row>
    <row r="2867" spans="1:6" x14ac:dyDescent="0.3">
      <c r="A2867" t="s">
        <v>4807</v>
      </c>
      <c r="B2867" t="str" cm="1">
        <f t="array" ref="B2867">_xlfn.XLOOKUP(C2867, INDEX([1]!카테고리매핑,,2), INDEX([1]!카테고리매핑,,1), "미등록 카테고리")</f>
        <v>조미료</v>
      </c>
      <c r="C2867" t="s">
        <v>84</v>
      </c>
      <c r="D2867" t="str">
        <f>VLOOKUP(C2867, '[1]VLOOKUP 함수용 카테고리'!$A$1:$B$59, 2, 0)</f>
        <v>SAUCE_SEASONING</v>
      </c>
      <c r="E2867" t="s">
        <v>2451</v>
      </c>
      <c r="F2867" t="s">
        <v>646</v>
      </c>
    </row>
    <row r="2868" spans="1:6" x14ac:dyDescent="0.3">
      <c r="A2868" t="s">
        <v>4808</v>
      </c>
      <c r="B2868" t="str" cm="1">
        <f t="array" ref="B2868">_xlfn.XLOOKUP(C2868, INDEX([1]!카테고리매핑,,2), INDEX([1]!카테고리매핑,,1), "미등록 카테고리")</f>
        <v>조미료</v>
      </c>
      <c r="C2868" t="s">
        <v>127</v>
      </c>
      <c r="D2868" t="str">
        <f>VLOOKUP(C2868, '[1]VLOOKUP 함수용 카테고리'!$A$1:$B$59, 2, 0)</f>
        <v>SAUCE_SEASONING</v>
      </c>
      <c r="E2868" t="s">
        <v>4809</v>
      </c>
      <c r="F2868" t="s">
        <v>182</v>
      </c>
    </row>
    <row r="2869" spans="1:6" x14ac:dyDescent="0.3">
      <c r="A2869" t="s">
        <v>4810</v>
      </c>
      <c r="B2869" t="str" cm="1">
        <f t="array" ref="B2869">_xlfn.XLOOKUP(C2869, INDEX([1]!카테고리매핑,,2), INDEX([1]!카테고리매핑,,1), "미등록 카테고리")</f>
        <v>조미료</v>
      </c>
      <c r="C2869" t="s">
        <v>84</v>
      </c>
      <c r="D2869" t="str">
        <f>VLOOKUP(C2869, '[1]VLOOKUP 함수용 카테고리'!$A$1:$B$59, 2, 0)</f>
        <v>SAUCE_SEASONING</v>
      </c>
      <c r="E2869" t="s">
        <v>85</v>
      </c>
      <c r="F2869" t="s">
        <v>4811</v>
      </c>
    </row>
    <row r="2870" spans="1:6" x14ac:dyDescent="0.3">
      <c r="A2870" t="s">
        <v>4812</v>
      </c>
      <c r="B2870" t="str" cm="1">
        <f t="array" ref="B2870">_xlfn.XLOOKUP(C2870, INDEX([1]!카테고리매핑,,2), INDEX([1]!카테고리매핑,,1), "미등록 카테고리")</f>
        <v>음료</v>
      </c>
      <c r="C2870" t="s">
        <v>23</v>
      </c>
      <c r="D2870" t="str">
        <f>VLOOKUP(C2870, '[1]VLOOKUP 함수용 카테고리'!$A$1:$B$59, 2, 0)</f>
        <v>BEVERAGE</v>
      </c>
      <c r="E2870" t="s">
        <v>288</v>
      </c>
      <c r="F2870" t="s">
        <v>4813</v>
      </c>
    </row>
    <row r="2871" spans="1:6" x14ac:dyDescent="0.3">
      <c r="A2871" t="s">
        <v>4814</v>
      </c>
      <c r="B2871" t="str" cm="1">
        <f t="array" ref="B2871">_xlfn.XLOOKUP(C2871, INDEX([1]!카테고리매핑,,2), INDEX([1]!카테고리매핑,,1), "미등록 카테고리")</f>
        <v>미등록 카테고리</v>
      </c>
      <c r="C2871" t="s">
        <v>334</v>
      </c>
      <c r="D2871" t="str">
        <f>VLOOKUP(C2871, '[1]VLOOKUP 함수용 카테고리'!$A$1:$B$59, 2, 0)</f>
        <v>UNKNOWN</v>
      </c>
      <c r="E2871" t="s">
        <v>334</v>
      </c>
      <c r="F2871" t="s">
        <v>4815</v>
      </c>
    </row>
    <row r="2872" spans="1:6" x14ac:dyDescent="0.3">
      <c r="A2872" t="s">
        <v>4816</v>
      </c>
      <c r="B2872" t="str" cm="1">
        <f t="array" ref="B2872">_xlfn.XLOOKUP(C2872, INDEX([1]!카테고리매핑,,2), INDEX([1]!카테고리매핑,,1), "미등록 카테고리")</f>
        <v>술</v>
      </c>
      <c r="C2872" t="s">
        <v>42</v>
      </c>
      <c r="D2872" t="str">
        <f>VLOOKUP(C2872, '[1]VLOOKUP 함수용 카테고리'!$A$1:$B$59, 2, 0)</f>
        <v>ALCOHOL</v>
      </c>
      <c r="E2872" t="s">
        <v>2696</v>
      </c>
      <c r="F2872" t="s">
        <v>4817</v>
      </c>
    </row>
    <row r="2873" spans="1:6" x14ac:dyDescent="0.3">
      <c r="A2873" t="s">
        <v>4818</v>
      </c>
      <c r="B2873" t="str" cm="1">
        <f t="array" ref="B2873">_xlfn.XLOOKUP(C2873, INDEX([1]!카테고리매핑,,2), INDEX([1]!카테고리매핑,,1), "미등록 카테고리")</f>
        <v>육류/계란</v>
      </c>
      <c r="C2873" t="s">
        <v>105</v>
      </c>
      <c r="D2873" t="str">
        <f>VLOOKUP(C2873, '[1]VLOOKUP 함수용 카테고리'!$A$1:$B$59, 2, 0)</f>
        <v>RAW_MEAT</v>
      </c>
      <c r="E2873" t="s">
        <v>1031</v>
      </c>
      <c r="F2873" t="s">
        <v>1476</v>
      </c>
    </row>
    <row r="2874" spans="1:6" x14ac:dyDescent="0.3">
      <c r="A2874" t="s">
        <v>4819</v>
      </c>
      <c r="B2874" t="str" cm="1">
        <f t="array" ref="B2874">_xlfn.XLOOKUP(C2874, INDEX([1]!카테고리매핑,,2), INDEX([1]!카테고리매핑,,1), "미등록 카테고리")</f>
        <v>간편식</v>
      </c>
      <c r="C2874" t="s">
        <v>131</v>
      </c>
      <c r="D2874" t="str">
        <f>VLOOKUP(C2874, '[1]VLOOKUP 함수용 카테고리'!$A$1:$B$59, 2, 0)</f>
        <v>SIMPLE_PROCESSED</v>
      </c>
      <c r="E2874" t="s">
        <v>2792</v>
      </c>
      <c r="F2874" t="s">
        <v>541</v>
      </c>
    </row>
    <row r="2875" spans="1:6" x14ac:dyDescent="0.3">
      <c r="A2875" t="s">
        <v>4820</v>
      </c>
      <c r="B2875" t="str" cm="1">
        <f t="array" ref="B2875">_xlfn.XLOOKUP(C2875, INDEX([1]!카테고리매핑,,2), INDEX([1]!카테고리매핑,,1), "미등록 카테고리")</f>
        <v>수산물</v>
      </c>
      <c r="C2875" t="s">
        <v>183</v>
      </c>
      <c r="D2875" t="str">
        <f>VLOOKUP(C2875, '[1]VLOOKUP 함수용 카테고리'!$A$1:$B$59, 2, 0)</f>
        <v>DRIED_SEAFOOD</v>
      </c>
      <c r="E2875" t="s">
        <v>4821</v>
      </c>
    </row>
    <row r="2876" spans="1:6" x14ac:dyDescent="0.3">
      <c r="A2876" t="s">
        <v>4822</v>
      </c>
      <c r="B2876" t="str" cm="1">
        <f t="array" ref="B2876">_xlfn.XLOOKUP(C2876, INDEX([1]!카테고리매핑,,2), INDEX([1]!카테고리매핑,,1), "미등록 카테고리")</f>
        <v>간편식</v>
      </c>
      <c r="C2876" t="s">
        <v>46</v>
      </c>
      <c r="D2876" t="str">
        <f>VLOOKUP(C2876, '[1]VLOOKUP 함수용 카테고리'!$A$1:$B$59, 2, 0)</f>
        <v>RTC_MEAL</v>
      </c>
      <c r="E2876" t="s">
        <v>46</v>
      </c>
      <c r="F2876" t="s">
        <v>156</v>
      </c>
    </row>
    <row r="2877" spans="1:6" x14ac:dyDescent="0.3">
      <c r="A2877" t="s">
        <v>4823</v>
      </c>
      <c r="B2877" t="str" cm="1">
        <f t="array" ref="B2877">_xlfn.XLOOKUP(C2877, INDEX([1]!카테고리매핑,,2), INDEX([1]!카테고리매핑,,1), "미등록 카테고리")</f>
        <v>수산물</v>
      </c>
      <c r="C2877" t="s">
        <v>101</v>
      </c>
      <c r="D2877" t="str">
        <f>VLOOKUP(C2877, '[1]VLOOKUP 함수용 카테고리'!$A$1:$B$59, 2, 0)</f>
        <v>DRIED_SEAFOOD</v>
      </c>
      <c r="E2877" t="s">
        <v>4824</v>
      </c>
      <c r="F2877" t="s">
        <v>1361</v>
      </c>
    </row>
    <row r="2878" spans="1:6" x14ac:dyDescent="0.3">
      <c r="A2878" t="s">
        <v>4825</v>
      </c>
      <c r="B2878" t="str" cm="1">
        <f t="array" ref="B2878">_xlfn.XLOOKUP(C2878, INDEX([1]!카테고리매핑,,2), INDEX([1]!카테고리매핑,,1), "미등록 카테고리")</f>
        <v>간식류</v>
      </c>
      <c r="C2878" t="s">
        <v>11</v>
      </c>
      <c r="D2878" t="str">
        <f>VLOOKUP(C2878, '[1]VLOOKUP 함수용 카테고리'!$A$1:$B$59, 2, 0)</f>
        <v>SNACK</v>
      </c>
      <c r="E2878" t="s">
        <v>4826</v>
      </c>
    </row>
    <row r="2879" spans="1:6" x14ac:dyDescent="0.3">
      <c r="A2879" t="s">
        <v>4827</v>
      </c>
      <c r="B2879" t="str" cm="1">
        <f t="array" ref="B2879">_xlfn.XLOOKUP(C2879, INDEX([1]!카테고리매핑,,2), INDEX([1]!카테고리매핑,,1), "미등록 카테고리")</f>
        <v>조미료</v>
      </c>
      <c r="C2879" t="s">
        <v>84</v>
      </c>
      <c r="D2879" t="str">
        <f>VLOOKUP(C2879, '[1]VLOOKUP 함수용 카테고리'!$A$1:$B$59, 2, 0)</f>
        <v>SAUCE_SEASONING</v>
      </c>
      <c r="E2879" t="s">
        <v>90</v>
      </c>
      <c r="F2879" t="s">
        <v>129</v>
      </c>
    </row>
    <row r="2880" spans="1:6" x14ac:dyDescent="0.3">
      <c r="A2880" t="s">
        <v>4828</v>
      </c>
      <c r="B2880" t="str" cm="1">
        <f t="array" ref="B2880">_xlfn.XLOOKUP(C2880, INDEX([1]!카테고리매핑,,2), INDEX([1]!카테고리매핑,,1), "미등록 카테고리")</f>
        <v>간식류</v>
      </c>
      <c r="C2880" t="s">
        <v>11</v>
      </c>
      <c r="D2880" t="str">
        <f>VLOOKUP(C2880, '[1]VLOOKUP 함수용 카테고리'!$A$1:$B$59, 2, 0)</f>
        <v>SNACK</v>
      </c>
      <c r="E2880" t="s">
        <v>2258</v>
      </c>
      <c r="F2880" t="s">
        <v>2115</v>
      </c>
    </row>
    <row r="2881" spans="1:6" x14ac:dyDescent="0.3">
      <c r="A2881" t="s">
        <v>4829</v>
      </c>
      <c r="B2881" t="str" cm="1">
        <f t="array" ref="B2881">_xlfn.XLOOKUP(C2881, INDEX([1]!카테고리매핑,,2), INDEX([1]!카테고리매핑,,1), "미등록 카테고리")</f>
        <v>미등록 카테고리</v>
      </c>
      <c r="C2881" t="s">
        <v>334</v>
      </c>
      <c r="D2881" t="str">
        <f>VLOOKUP(C2881, '[1]VLOOKUP 함수용 카테고리'!$A$1:$B$59, 2, 0)</f>
        <v>UNKNOWN</v>
      </c>
      <c r="E2881" t="s">
        <v>334</v>
      </c>
      <c r="F2881" t="s">
        <v>1381</v>
      </c>
    </row>
    <row r="2882" spans="1:6" x14ac:dyDescent="0.3">
      <c r="A2882" t="s">
        <v>4830</v>
      </c>
      <c r="B2882" t="str" cm="1">
        <f t="array" ref="B2882">_xlfn.XLOOKUP(C2882, INDEX([1]!카테고리매핑,,2), INDEX([1]!카테고리매핑,,1), "미등록 카테고리")</f>
        <v>간식류</v>
      </c>
      <c r="C2882" t="s">
        <v>15</v>
      </c>
      <c r="D2882" t="str">
        <f>VLOOKUP(C2882, '[1]VLOOKUP 함수용 카테고리'!$A$1:$B$59, 2, 0)</f>
        <v>BAKERY</v>
      </c>
      <c r="E2882" t="s">
        <v>3638</v>
      </c>
      <c r="F2882" t="s">
        <v>4831</v>
      </c>
    </row>
    <row r="2883" spans="1:6" x14ac:dyDescent="0.3">
      <c r="A2883" t="s">
        <v>4832</v>
      </c>
      <c r="B2883" t="str" cm="1">
        <f t="array" ref="B2883">_xlfn.XLOOKUP(C2883, INDEX([1]!카테고리매핑,,2), INDEX([1]!카테고리매핑,,1), "미등록 카테고리")</f>
        <v>음료</v>
      </c>
      <c r="C2883" t="s">
        <v>23</v>
      </c>
      <c r="D2883" t="str">
        <f>VLOOKUP(C2883, '[1]VLOOKUP 함수용 카테고리'!$A$1:$B$59, 2, 0)</f>
        <v>BEVERAGE</v>
      </c>
      <c r="E2883" t="s">
        <v>74</v>
      </c>
      <c r="F2883" t="s">
        <v>448</v>
      </c>
    </row>
    <row r="2884" spans="1:6" x14ac:dyDescent="0.3">
      <c r="A2884" t="s">
        <v>4833</v>
      </c>
      <c r="B2884" t="str" cm="1">
        <f t="array" ref="B2884">_xlfn.XLOOKUP(C2884, INDEX([1]!카테고리매핑,,2), INDEX([1]!카테고리매핑,,1), "미등록 카테고리")</f>
        <v>간식류</v>
      </c>
      <c r="C2884" t="s">
        <v>15</v>
      </c>
      <c r="D2884" t="str">
        <f>VLOOKUP(C2884, '[1]VLOOKUP 함수용 카테고리'!$A$1:$B$59, 2, 0)</f>
        <v>BAKERY</v>
      </c>
      <c r="E2884" t="s">
        <v>53</v>
      </c>
    </row>
    <row r="2885" spans="1:6" x14ac:dyDescent="0.3">
      <c r="A2885" t="s">
        <v>4834</v>
      </c>
      <c r="B2885" t="str" cm="1">
        <f t="array" ref="B2885">_xlfn.XLOOKUP(C2885, INDEX([1]!카테고리매핑,,2), INDEX([1]!카테고리매핑,,1), "미등록 카테고리")</f>
        <v>음료</v>
      </c>
      <c r="C2885" t="s">
        <v>23</v>
      </c>
      <c r="D2885" t="str">
        <f>VLOOKUP(C2885, '[1]VLOOKUP 함수용 카테고리'!$A$1:$B$59, 2, 0)</f>
        <v>BEVERAGE</v>
      </c>
      <c r="E2885" t="s">
        <v>4835</v>
      </c>
      <c r="F2885" t="s">
        <v>4836</v>
      </c>
    </row>
    <row r="2886" spans="1:6" x14ac:dyDescent="0.3">
      <c r="A2886" t="s">
        <v>4837</v>
      </c>
      <c r="B2886" t="str" cm="1">
        <f t="array" ref="B2886">_xlfn.XLOOKUP(C2886, INDEX([1]!카테고리매핑,,2), INDEX([1]!카테고리매핑,,1), "미등록 카테고리")</f>
        <v>조미료</v>
      </c>
      <c r="C2886" t="s">
        <v>117</v>
      </c>
      <c r="D2886" t="str">
        <f>VLOOKUP(C2886, '[1]VLOOKUP 함수용 카테고리'!$A$1:$B$59, 2, 0)</f>
        <v>SAUCE_SEASONING</v>
      </c>
      <c r="E2886" t="s">
        <v>4838</v>
      </c>
      <c r="F2886" t="s">
        <v>129</v>
      </c>
    </row>
    <row r="2887" spans="1:6" x14ac:dyDescent="0.3">
      <c r="A2887" t="s">
        <v>4839</v>
      </c>
      <c r="B2887" t="str" cm="1">
        <f t="array" ref="B2887">_xlfn.XLOOKUP(C2887, INDEX([1]!카테고리매핑,,2), INDEX([1]!카테고리매핑,,1), "미등록 카테고리")</f>
        <v>육류/계란</v>
      </c>
      <c r="C2887" t="s">
        <v>105</v>
      </c>
      <c r="D2887" t="str">
        <f>VLOOKUP(C2887, '[1]VLOOKUP 함수용 카테고리'!$A$1:$B$59, 2, 0)</f>
        <v>RAW_MEAT</v>
      </c>
      <c r="E2887" t="s">
        <v>2085</v>
      </c>
      <c r="F2887" t="s">
        <v>177</v>
      </c>
    </row>
    <row r="2888" spans="1:6" x14ac:dyDescent="0.3">
      <c r="A2888" t="s">
        <v>4840</v>
      </c>
      <c r="B2888" t="str" cm="1">
        <f t="array" ref="B2888">_xlfn.XLOOKUP(C2888, INDEX([1]!카테고리매핑,,2), INDEX([1]!카테고리매핑,,1), "미등록 카테고리")</f>
        <v>조미료</v>
      </c>
      <c r="C2888" t="s">
        <v>83</v>
      </c>
      <c r="D2888" t="str">
        <f>VLOOKUP(C2888, '[1]VLOOKUP 함수용 카테고리'!$A$1:$B$59, 2, 0)</f>
        <v>SAUCE_SEASONING</v>
      </c>
      <c r="E2888" t="s">
        <v>1036</v>
      </c>
      <c r="F2888" t="s">
        <v>4841</v>
      </c>
    </row>
    <row r="2889" spans="1:6" x14ac:dyDescent="0.3">
      <c r="A2889" t="s">
        <v>4842</v>
      </c>
      <c r="B2889" t="str" cm="1">
        <f t="array" ref="B2889">_xlfn.XLOOKUP(C2889, INDEX([1]!카테고리매핑,,2), INDEX([1]!카테고리매핑,,1), "미등록 카테고리")</f>
        <v>간편식</v>
      </c>
      <c r="C2889" t="s">
        <v>46</v>
      </c>
      <c r="D2889" t="str">
        <f>VLOOKUP(C2889, '[1]VLOOKUP 함수용 카테고리'!$A$1:$B$59, 2, 0)</f>
        <v>RTC_MEAL</v>
      </c>
      <c r="E2889" t="s">
        <v>46</v>
      </c>
      <c r="F2889" t="s">
        <v>3998</v>
      </c>
    </row>
    <row r="2890" spans="1:6" x14ac:dyDescent="0.3">
      <c r="A2890" t="s">
        <v>4843</v>
      </c>
      <c r="B2890" t="str" cm="1">
        <f t="array" ref="B2890">_xlfn.XLOOKUP(C2890, INDEX([1]!카테고리매핑,,2), INDEX([1]!카테고리매핑,,1), "미등록 카테고리")</f>
        <v>채소/곡물류</v>
      </c>
      <c r="C2890" t="s">
        <v>27</v>
      </c>
      <c r="D2890" t="str">
        <f>VLOOKUP(C2890, '[1]VLOOKUP 함수용 카테고리'!$A$1:$B$59, 2, 0)</f>
        <v>SIMPLE_PROCESSED</v>
      </c>
      <c r="E2890" t="s">
        <v>28</v>
      </c>
      <c r="F2890" t="s">
        <v>156</v>
      </c>
    </row>
    <row r="2891" spans="1:6" x14ac:dyDescent="0.3">
      <c r="A2891" t="s">
        <v>4844</v>
      </c>
      <c r="B2891" t="str" cm="1">
        <f t="array" ref="B2891">_xlfn.XLOOKUP(C2891, INDEX([1]!카테고리매핑,,2), INDEX([1]!카테고리매핑,,1), "미등록 카테고리")</f>
        <v>조미료</v>
      </c>
      <c r="C2891" t="s">
        <v>83</v>
      </c>
      <c r="D2891" t="str">
        <f>VLOOKUP(C2891, '[1]VLOOKUP 함수용 카테고리'!$A$1:$B$59, 2, 0)</f>
        <v>SAUCE_SEASONING</v>
      </c>
      <c r="E2891" t="s">
        <v>4845</v>
      </c>
      <c r="F2891" t="s">
        <v>4341</v>
      </c>
    </row>
    <row r="2892" spans="1:6" x14ac:dyDescent="0.3">
      <c r="A2892" t="s">
        <v>4846</v>
      </c>
      <c r="B2892" t="str" cm="1">
        <f t="array" ref="B2892">_xlfn.XLOOKUP(C2892, INDEX([1]!카테고리매핑,,2), INDEX([1]!카테고리매핑,,1), "미등록 카테고리")</f>
        <v>간편식</v>
      </c>
      <c r="C2892" t="s">
        <v>256</v>
      </c>
      <c r="D2892" t="str">
        <f>VLOOKUP(C2892, '[1]VLOOKUP 함수용 카테고리'!$A$1:$B$59, 2, 0)</f>
        <v>RTC_MEAL</v>
      </c>
      <c r="E2892" t="s">
        <v>256</v>
      </c>
      <c r="F2892" t="s">
        <v>7842</v>
      </c>
    </row>
    <row r="2893" spans="1:6" x14ac:dyDescent="0.3">
      <c r="A2893" t="s">
        <v>4847</v>
      </c>
      <c r="B2893" t="str" cm="1">
        <f t="array" ref="B2893">_xlfn.XLOOKUP(C2893, INDEX([1]!카테고리매핑,,2), INDEX([1]!카테고리매핑,,1), "미등록 카테고리")</f>
        <v>간식류</v>
      </c>
      <c r="C2893" t="s">
        <v>15</v>
      </c>
      <c r="D2893" t="str">
        <f>VLOOKUP(C2893, '[1]VLOOKUP 함수용 카테고리'!$A$1:$B$59, 2, 0)</f>
        <v>BAKERY</v>
      </c>
      <c r="E2893" t="s">
        <v>53</v>
      </c>
      <c r="F2893" t="s">
        <v>1369</v>
      </c>
    </row>
    <row r="2894" spans="1:6" x14ac:dyDescent="0.3">
      <c r="A2894" t="s">
        <v>4848</v>
      </c>
      <c r="B2894" t="str" cm="1">
        <f t="array" ref="B2894">_xlfn.XLOOKUP(C2894, INDEX([1]!카테고리매핑,,2), INDEX([1]!카테고리매핑,,1), "미등록 카테고리")</f>
        <v>채소/곡물류</v>
      </c>
      <c r="C2894" t="s">
        <v>7</v>
      </c>
      <c r="D2894" t="str">
        <f>VLOOKUP(C2894, '[1]VLOOKUP 함수용 카테고리'!$A$1:$B$59, 2, 0)</f>
        <v>RAW_PRODUCE</v>
      </c>
      <c r="E2894" t="s">
        <v>716</v>
      </c>
    </row>
    <row r="2895" spans="1:6" x14ac:dyDescent="0.3">
      <c r="A2895" t="s">
        <v>4849</v>
      </c>
      <c r="B2895" t="str" cm="1">
        <f t="array" ref="B2895">_xlfn.XLOOKUP(C2895, INDEX([1]!카테고리매핑,,2), INDEX([1]!카테고리매핑,,1), "미등록 카테고리")</f>
        <v>간식류</v>
      </c>
      <c r="C2895" t="s">
        <v>11</v>
      </c>
      <c r="D2895" t="str">
        <f>VLOOKUP(C2895, '[1]VLOOKUP 함수용 카테고리'!$A$1:$B$59, 2, 0)</f>
        <v>SNACK</v>
      </c>
      <c r="E2895" t="s">
        <v>361</v>
      </c>
      <c r="F2895" t="s">
        <v>2427</v>
      </c>
    </row>
    <row r="2896" spans="1:6" x14ac:dyDescent="0.3">
      <c r="A2896" t="s">
        <v>4850</v>
      </c>
      <c r="B2896" t="str" cm="1">
        <f t="array" ref="B2896">_xlfn.XLOOKUP(C2896, INDEX([1]!카테고리매핑,,2), INDEX([1]!카테고리매핑,,1), "미등록 카테고리")</f>
        <v>육류/계란</v>
      </c>
      <c r="C2896" t="s">
        <v>428</v>
      </c>
      <c r="D2896" t="str">
        <f>VLOOKUP(C2896, '[1]VLOOKUP 함수용 카테고리'!$A$1:$B$59, 2, 0)</f>
        <v>PROCESSED_MEAT</v>
      </c>
      <c r="E2896" t="s">
        <v>776</v>
      </c>
      <c r="F2896" t="s">
        <v>254</v>
      </c>
    </row>
    <row r="2897" spans="1:6" x14ac:dyDescent="0.3">
      <c r="A2897" t="s">
        <v>4851</v>
      </c>
      <c r="B2897" t="str" cm="1">
        <f t="array" ref="B2897">_xlfn.XLOOKUP(C2897, INDEX([1]!카테고리매핑,,2), INDEX([1]!카테고리매핑,,1), "미등록 카테고리")</f>
        <v>채소/곡물류</v>
      </c>
      <c r="C2897" t="s">
        <v>301</v>
      </c>
      <c r="D2897" t="str">
        <f>VLOOKUP(C2897, '[1]VLOOKUP 함수용 카테고리'!$A$1:$B$59, 2, 0)</f>
        <v>GRAIN</v>
      </c>
      <c r="E2897" t="s">
        <v>611</v>
      </c>
      <c r="F2897" t="s">
        <v>303</v>
      </c>
    </row>
    <row r="2898" spans="1:6" x14ac:dyDescent="0.3">
      <c r="A2898" t="s">
        <v>4852</v>
      </c>
      <c r="B2898" t="str" cm="1">
        <f t="array" ref="B2898">_xlfn.XLOOKUP(C2898, INDEX([1]!카테고리매핑,,2), INDEX([1]!카테고리매핑,,1), "미등록 카테고리")</f>
        <v>간식류</v>
      </c>
      <c r="C2898" t="s">
        <v>11</v>
      </c>
      <c r="D2898" t="str">
        <f>VLOOKUP(C2898, '[1]VLOOKUP 함수용 카테고리'!$A$1:$B$59, 2, 0)</f>
        <v>SNACK</v>
      </c>
      <c r="E2898" t="s">
        <v>4853</v>
      </c>
      <c r="F2898" t="s">
        <v>4854</v>
      </c>
    </row>
    <row r="2899" spans="1:6" x14ac:dyDescent="0.3">
      <c r="A2899" t="s">
        <v>4855</v>
      </c>
      <c r="B2899" t="str" cm="1">
        <f t="array" ref="B2899">_xlfn.XLOOKUP(C2899, INDEX([1]!카테고리매핑,,2), INDEX([1]!카테고리매핑,,1), "미등록 카테고리")</f>
        <v>육류/계란</v>
      </c>
      <c r="C2899" t="s">
        <v>428</v>
      </c>
      <c r="D2899" t="str">
        <f>VLOOKUP(C2899, '[1]VLOOKUP 함수용 카테고리'!$A$1:$B$59, 2, 0)</f>
        <v>PROCESSED_MEAT</v>
      </c>
      <c r="E2899" t="s">
        <v>776</v>
      </c>
      <c r="F2899" t="s">
        <v>4856</v>
      </c>
    </row>
    <row r="2900" spans="1:6" x14ac:dyDescent="0.3">
      <c r="A2900" t="s">
        <v>4857</v>
      </c>
      <c r="B2900" t="str" cm="1">
        <f t="array" ref="B2900">_xlfn.XLOOKUP(C2900, INDEX([1]!카테고리매핑,,2), INDEX([1]!카테고리매핑,,1), "미등록 카테고리")</f>
        <v>수산물</v>
      </c>
      <c r="C2900" t="s">
        <v>101</v>
      </c>
      <c r="D2900" t="str">
        <f>VLOOKUP(C2900, '[1]VLOOKUP 함수용 카테고리'!$A$1:$B$59, 2, 0)</f>
        <v>DRIED_SEAFOOD</v>
      </c>
      <c r="E2900" t="s">
        <v>693</v>
      </c>
      <c r="F2900" t="s">
        <v>1761</v>
      </c>
    </row>
    <row r="2901" spans="1:6" x14ac:dyDescent="0.3">
      <c r="A2901" t="s">
        <v>4858</v>
      </c>
      <c r="B2901" t="str" cm="1">
        <f t="array" ref="B2901">_xlfn.XLOOKUP(C2901, INDEX([1]!카테고리매핑,,2), INDEX([1]!카테고리매핑,,1), "미등록 카테고리")</f>
        <v>유제품</v>
      </c>
      <c r="C2901" t="s">
        <v>211</v>
      </c>
      <c r="D2901" t="str">
        <f>VLOOKUP(C2901, '[1]VLOOKUP 함수용 카테고리'!$A$1:$B$59, 2, 0)</f>
        <v>DAIRY</v>
      </c>
      <c r="E2901" t="s">
        <v>2223</v>
      </c>
      <c r="F2901" t="s">
        <v>4859</v>
      </c>
    </row>
    <row r="2902" spans="1:6" x14ac:dyDescent="0.3">
      <c r="A2902" t="s">
        <v>4860</v>
      </c>
      <c r="B2902" t="str" cm="1">
        <f t="array" ref="B2902">_xlfn.XLOOKUP(C2902, INDEX([1]!카테고리매핑,,2), INDEX([1]!카테고리매핑,,1), "미등록 카테고리")</f>
        <v>음료</v>
      </c>
      <c r="C2902" t="s">
        <v>584</v>
      </c>
      <c r="D2902" t="str">
        <f>VLOOKUP(C2902, '[1]VLOOKUP 함수용 카테고리'!$A$1:$B$59, 2, 0)</f>
        <v>BEVERAGE</v>
      </c>
      <c r="E2902" t="s">
        <v>4861</v>
      </c>
      <c r="F2902" t="s">
        <v>4862</v>
      </c>
    </row>
    <row r="2903" spans="1:6" x14ac:dyDescent="0.3">
      <c r="A2903" t="s">
        <v>4863</v>
      </c>
      <c r="B2903" t="str" cm="1">
        <f t="array" ref="B2903">_xlfn.XLOOKUP(C2903, INDEX([1]!카테고리매핑,,2), INDEX([1]!카테고리매핑,,1), "미등록 카테고리")</f>
        <v>간식류</v>
      </c>
      <c r="C2903" t="s">
        <v>109</v>
      </c>
      <c r="D2903" t="str">
        <f>VLOOKUP(C2903, '[1]VLOOKUP 함수용 카테고리'!$A$1:$B$59, 2, 0)</f>
        <v>SNACK</v>
      </c>
      <c r="E2903" t="s">
        <v>4864</v>
      </c>
      <c r="F2903" t="s">
        <v>4865</v>
      </c>
    </row>
    <row r="2904" spans="1:6" x14ac:dyDescent="0.3">
      <c r="A2904" t="s">
        <v>4866</v>
      </c>
      <c r="B2904" t="str" cm="1">
        <f t="array" ref="B2904">_xlfn.XLOOKUP(C2904, INDEX([1]!카테고리매핑,,2), INDEX([1]!카테고리매핑,,1), "미등록 카테고리")</f>
        <v>유제품</v>
      </c>
      <c r="C2904" t="s">
        <v>123</v>
      </c>
      <c r="D2904" t="str">
        <f>VLOOKUP(C2904, '[1]VLOOKUP 함수용 카테고리'!$A$1:$B$59, 2, 0)</f>
        <v>DAIRY</v>
      </c>
      <c r="E2904" t="s">
        <v>190</v>
      </c>
      <c r="F2904" t="s">
        <v>1663</v>
      </c>
    </row>
    <row r="2905" spans="1:6" x14ac:dyDescent="0.3">
      <c r="A2905" t="s">
        <v>4867</v>
      </c>
      <c r="B2905" t="str" cm="1">
        <f t="array" ref="B2905">_xlfn.XLOOKUP(C2905, INDEX([1]!카테고리매핑,,2), INDEX([1]!카테고리매핑,,1), "미등록 카테고리")</f>
        <v>육류/계란</v>
      </c>
      <c r="C2905" t="s">
        <v>34</v>
      </c>
      <c r="D2905" t="str">
        <f>VLOOKUP(C2905, '[1]VLOOKUP 함수용 카테고리'!$A$1:$B$59, 2, 0)</f>
        <v>RAW_MEAT</v>
      </c>
      <c r="E2905" t="s">
        <v>4868</v>
      </c>
      <c r="F2905" t="s">
        <v>36</v>
      </c>
    </row>
    <row r="2906" spans="1:6" x14ac:dyDescent="0.3">
      <c r="A2906" t="s">
        <v>4869</v>
      </c>
      <c r="B2906" t="str" cm="1">
        <f t="array" ref="B2906">_xlfn.XLOOKUP(C2906, INDEX([1]!카테고리매핑,,2), INDEX([1]!카테고리매핑,,1), "미등록 카테고리")</f>
        <v>간식류</v>
      </c>
      <c r="C2906" t="s">
        <v>15</v>
      </c>
      <c r="D2906" t="str">
        <f>VLOOKUP(C2906, '[1]VLOOKUP 함수용 카테고리'!$A$1:$B$59, 2, 0)</f>
        <v>BAKERY</v>
      </c>
      <c r="E2906" t="s">
        <v>898</v>
      </c>
      <c r="F2906" t="s">
        <v>2087</v>
      </c>
    </row>
    <row r="2907" spans="1:6" x14ac:dyDescent="0.3">
      <c r="A2907" t="s">
        <v>4870</v>
      </c>
      <c r="B2907" t="str" cm="1">
        <f t="array" ref="B2907">_xlfn.XLOOKUP(C2907, INDEX([1]!카테고리매핑,,2), INDEX([1]!카테고리매핑,,1), "미등록 카테고리")</f>
        <v>간편식</v>
      </c>
      <c r="C2907" t="s">
        <v>46</v>
      </c>
      <c r="D2907" t="str">
        <f>VLOOKUP(C2907, '[1]VLOOKUP 함수용 카테고리'!$A$1:$B$59, 2, 0)</f>
        <v>RTC_MEAL</v>
      </c>
      <c r="E2907" t="s">
        <v>46</v>
      </c>
      <c r="F2907" t="s">
        <v>111</v>
      </c>
    </row>
    <row r="2908" spans="1:6" x14ac:dyDescent="0.3">
      <c r="A2908" t="s">
        <v>4871</v>
      </c>
      <c r="B2908" t="str" cm="1">
        <f t="array" ref="B2908">_xlfn.XLOOKUP(C2908, INDEX([1]!카테고리매핑,,2), INDEX([1]!카테고리매핑,,1), "미등록 카테고리")</f>
        <v>조미료</v>
      </c>
      <c r="C2908" t="s">
        <v>127</v>
      </c>
      <c r="D2908" t="str">
        <f>VLOOKUP(C2908, '[1]VLOOKUP 함수용 카테고리'!$A$1:$B$59, 2, 0)</f>
        <v>SAUCE_SEASONING</v>
      </c>
      <c r="E2908" t="s">
        <v>4872</v>
      </c>
      <c r="F2908" t="s">
        <v>182</v>
      </c>
    </row>
    <row r="2909" spans="1:6" x14ac:dyDescent="0.3">
      <c r="A2909" t="s">
        <v>4873</v>
      </c>
      <c r="B2909" t="str" cm="1">
        <f t="array" ref="B2909">_xlfn.XLOOKUP(C2909, INDEX([1]!카테고리매핑,,2), INDEX([1]!카테고리매핑,,1), "미등록 카테고리")</f>
        <v>미등록 카테고리</v>
      </c>
      <c r="C2909" t="s">
        <v>334</v>
      </c>
      <c r="D2909" t="str">
        <f>VLOOKUP(C2909, '[1]VLOOKUP 함수용 카테고리'!$A$1:$B$59, 2, 0)</f>
        <v>UNKNOWN</v>
      </c>
      <c r="E2909" t="s">
        <v>334</v>
      </c>
      <c r="F2909" t="s">
        <v>4874</v>
      </c>
    </row>
    <row r="2910" spans="1:6" x14ac:dyDescent="0.3">
      <c r="A2910" t="s">
        <v>4875</v>
      </c>
      <c r="B2910" t="str" cm="1">
        <f t="array" ref="B2910">_xlfn.XLOOKUP(C2910, INDEX([1]!카테고리매핑,,2), INDEX([1]!카테고리매핑,,1), "미등록 카테고리")</f>
        <v>상온식품</v>
      </c>
      <c r="C2910" t="s">
        <v>276</v>
      </c>
      <c r="D2910" t="str">
        <f>VLOOKUP(C2910, '[1]VLOOKUP 함수용 카테고리'!$A$1:$B$59, 2, 0)</f>
        <v>DRIED_SEAFOOD</v>
      </c>
      <c r="E2910" t="s">
        <v>277</v>
      </c>
      <c r="F2910" t="s">
        <v>899</v>
      </c>
    </row>
    <row r="2911" spans="1:6" x14ac:dyDescent="0.3">
      <c r="A2911" t="s">
        <v>4876</v>
      </c>
      <c r="B2911" t="str" cm="1">
        <f t="array" ref="B2911">_xlfn.XLOOKUP(C2911, INDEX([1]!카테고리매핑,,2), INDEX([1]!카테고리매핑,,1), "미등록 카테고리")</f>
        <v>간식류</v>
      </c>
      <c r="C2911" t="s">
        <v>38</v>
      </c>
      <c r="D2911" t="str">
        <f>VLOOKUP(C2911, '[1]VLOOKUP 함수용 카테고리'!$A$1:$B$59, 2, 0)</f>
        <v>SNACK</v>
      </c>
      <c r="E2911" t="s">
        <v>179</v>
      </c>
      <c r="F2911" t="s">
        <v>442</v>
      </c>
    </row>
    <row r="2912" spans="1:6" x14ac:dyDescent="0.3">
      <c r="A2912" t="s">
        <v>4877</v>
      </c>
      <c r="B2912" t="str" cm="1">
        <f t="array" ref="B2912">_xlfn.XLOOKUP(C2912, INDEX([1]!카테고리매핑,,2), INDEX([1]!카테고리매핑,,1), "미등록 카테고리")</f>
        <v>상온식품</v>
      </c>
      <c r="C2912" t="s">
        <v>835</v>
      </c>
      <c r="D2912" t="str">
        <f>VLOOKUP(C2912, '[1]VLOOKUP 함수용 카테고리'!$A$1:$B$59, 2, 0)</f>
        <v>SAUCE_SEASONING</v>
      </c>
      <c r="E2912" t="s">
        <v>4878</v>
      </c>
      <c r="F2912" t="s">
        <v>2644</v>
      </c>
    </row>
    <row r="2913" spans="1:6" x14ac:dyDescent="0.3">
      <c r="A2913" t="s">
        <v>4879</v>
      </c>
      <c r="B2913" t="str" cm="1">
        <f t="array" ref="B2913">_xlfn.XLOOKUP(C2913, INDEX([1]!카테고리매핑,,2), INDEX([1]!카테고리매핑,,1), "미등록 카테고리")</f>
        <v>간편식</v>
      </c>
      <c r="C2913" t="s">
        <v>19</v>
      </c>
      <c r="D2913" t="str">
        <f>VLOOKUP(C2913, '[1]VLOOKUP 함수용 카테고리'!$A$1:$B$59, 2, 0)</f>
        <v>FROZEN_MEAL</v>
      </c>
      <c r="E2913" t="s">
        <v>4880</v>
      </c>
      <c r="F2913" t="s">
        <v>1515</v>
      </c>
    </row>
    <row r="2914" spans="1:6" x14ac:dyDescent="0.3">
      <c r="A2914" t="s">
        <v>4881</v>
      </c>
      <c r="B2914" t="str" cm="1">
        <f t="array" ref="B2914">_xlfn.XLOOKUP(C2914, INDEX([1]!카테고리매핑,,2), INDEX([1]!카테고리매핑,,1), "미등록 카테고리")</f>
        <v>수산물</v>
      </c>
      <c r="C2914" t="s">
        <v>183</v>
      </c>
      <c r="D2914" t="str">
        <f>VLOOKUP(C2914, '[1]VLOOKUP 함수용 카테고리'!$A$1:$B$59, 2, 0)</f>
        <v>DRIED_SEAFOOD</v>
      </c>
      <c r="E2914" t="s">
        <v>184</v>
      </c>
      <c r="F2914" t="s">
        <v>4882</v>
      </c>
    </row>
    <row r="2915" spans="1:6" x14ac:dyDescent="0.3">
      <c r="A2915" t="s">
        <v>4883</v>
      </c>
      <c r="B2915" t="str" cm="1">
        <f t="array" ref="B2915">_xlfn.XLOOKUP(C2915, INDEX([1]!카테고리매핑,,2), INDEX([1]!카테고리매핑,,1), "미등록 카테고리")</f>
        <v>유제품</v>
      </c>
      <c r="C2915" t="s">
        <v>211</v>
      </c>
      <c r="D2915" t="str">
        <f>VLOOKUP(C2915, '[1]VLOOKUP 함수용 카테고리'!$A$1:$B$59, 2, 0)</f>
        <v>DAIRY</v>
      </c>
      <c r="E2915" t="s">
        <v>211</v>
      </c>
      <c r="F2915" t="s">
        <v>1021</v>
      </c>
    </row>
    <row r="2916" spans="1:6" x14ac:dyDescent="0.3">
      <c r="A2916" t="s">
        <v>4884</v>
      </c>
      <c r="B2916" t="str" cm="1">
        <f t="array" ref="B2916">_xlfn.XLOOKUP(C2916, INDEX([1]!카테고리매핑,,2), INDEX([1]!카테고리매핑,,1), "미등록 카테고리")</f>
        <v>육류/계란</v>
      </c>
      <c r="C2916" t="s">
        <v>428</v>
      </c>
      <c r="D2916" t="str">
        <f>VLOOKUP(C2916, '[1]VLOOKUP 함수용 카테고리'!$A$1:$B$59, 2, 0)</f>
        <v>PROCESSED_MEAT</v>
      </c>
      <c r="E2916" t="s">
        <v>804</v>
      </c>
      <c r="F2916" t="s">
        <v>4885</v>
      </c>
    </row>
    <row r="2917" spans="1:6" x14ac:dyDescent="0.3">
      <c r="A2917" t="s">
        <v>4886</v>
      </c>
      <c r="B2917" t="str" cm="1">
        <f t="array" ref="B2917">_xlfn.XLOOKUP(C2917, INDEX([1]!카테고리매핑,,2), INDEX([1]!카테고리매핑,,1), "미등록 카테고리")</f>
        <v>간식류</v>
      </c>
      <c r="C2917" t="s">
        <v>63</v>
      </c>
      <c r="D2917" t="str">
        <f>VLOOKUP(C2917, '[1]VLOOKUP 함수용 카테고리'!$A$1:$B$59, 2, 0)</f>
        <v>BAKERY</v>
      </c>
      <c r="E2917" t="s">
        <v>4887</v>
      </c>
      <c r="F2917" t="s">
        <v>4888</v>
      </c>
    </row>
    <row r="2918" spans="1:6" x14ac:dyDescent="0.3">
      <c r="A2918" t="s">
        <v>4889</v>
      </c>
      <c r="B2918" t="str" cm="1">
        <f t="array" ref="B2918">_xlfn.XLOOKUP(C2918, INDEX([1]!카테고리매핑,,2), INDEX([1]!카테고리매핑,,1), "미등록 카테고리")</f>
        <v>육류/계란</v>
      </c>
      <c r="C2918" t="s">
        <v>149</v>
      </c>
      <c r="D2918" t="str">
        <f>VLOOKUP(C2918, '[1]VLOOKUP 함수용 카테고리'!$A$1:$B$59, 2, 0)</f>
        <v>RAW_MEAT</v>
      </c>
      <c r="E2918" t="s">
        <v>4501</v>
      </c>
      <c r="F2918" t="s">
        <v>7782</v>
      </c>
    </row>
    <row r="2919" spans="1:6" x14ac:dyDescent="0.3">
      <c r="A2919" t="s">
        <v>4890</v>
      </c>
      <c r="B2919" t="str" cm="1">
        <f t="array" ref="B2919">_xlfn.XLOOKUP(C2919, INDEX([1]!카테고리매핑,,2), INDEX([1]!카테고리매핑,,1), "미등록 카테고리")</f>
        <v>유제품</v>
      </c>
      <c r="C2919" t="s">
        <v>123</v>
      </c>
      <c r="D2919" t="str">
        <f>VLOOKUP(C2919, '[1]VLOOKUP 함수용 카테고리'!$A$1:$B$59, 2, 0)</f>
        <v>DAIRY</v>
      </c>
      <c r="E2919" t="s">
        <v>190</v>
      </c>
      <c r="F2919" t="s">
        <v>4891</v>
      </c>
    </row>
    <row r="2920" spans="1:6" x14ac:dyDescent="0.3">
      <c r="A2920" t="s">
        <v>4892</v>
      </c>
      <c r="B2920" t="str" cm="1">
        <f t="array" ref="B2920">_xlfn.XLOOKUP(C2920, INDEX([1]!카테고리매핑,,2), INDEX([1]!카테고리매핑,,1), "미등록 카테고리")</f>
        <v>음료</v>
      </c>
      <c r="C2920" t="s">
        <v>23</v>
      </c>
      <c r="D2920" t="str">
        <f>VLOOKUP(C2920, '[1]VLOOKUP 함수용 카테고리'!$A$1:$B$59, 2, 0)</f>
        <v>BEVERAGE</v>
      </c>
      <c r="E2920" t="s">
        <v>24</v>
      </c>
      <c r="F2920" t="s">
        <v>324</v>
      </c>
    </row>
    <row r="2921" spans="1:6" x14ac:dyDescent="0.3">
      <c r="A2921" t="s">
        <v>4893</v>
      </c>
      <c r="B2921" t="str" cm="1">
        <f t="array" ref="B2921">_xlfn.XLOOKUP(C2921, INDEX([1]!카테고리매핑,,2), INDEX([1]!카테고리매핑,,1), "미등록 카테고리")</f>
        <v>상온식품</v>
      </c>
      <c r="C2921" t="s">
        <v>835</v>
      </c>
      <c r="D2921" t="str">
        <f>VLOOKUP(C2921, '[1]VLOOKUP 함수용 카테고리'!$A$1:$B$59, 2, 0)</f>
        <v>SAUCE_SEASONING</v>
      </c>
      <c r="E2921" t="s">
        <v>2157</v>
      </c>
      <c r="F2921" t="s">
        <v>4894</v>
      </c>
    </row>
    <row r="2922" spans="1:6" x14ac:dyDescent="0.3">
      <c r="A2922" t="s">
        <v>4895</v>
      </c>
      <c r="B2922" t="str" cm="1">
        <f t="array" ref="B2922">_xlfn.XLOOKUP(C2922, INDEX([1]!카테고리매핑,,2), INDEX([1]!카테고리매핑,,1), "미등록 카테고리")</f>
        <v>간식류</v>
      </c>
      <c r="C2922" t="s">
        <v>15</v>
      </c>
      <c r="D2922" t="str">
        <f>VLOOKUP(C2922, '[1]VLOOKUP 함수용 카테고리'!$A$1:$B$59, 2, 0)</f>
        <v>BAKERY</v>
      </c>
      <c r="E2922" t="s">
        <v>1692</v>
      </c>
      <c r="F2922" t="s">
        <v>4896</v>
      </c>
    </row>
    <row r="2923" spans="1:6" x14ac:dyDescent="0.3">
      <c r="A2923" t="s">
        <v>4897</v>
      </c>
      <c r="B2923" t="str" cm="1">
        <f t="array" ref="B2923">_xlfn.XLOOKUP(C2923, INDEX([1]!카테고리매핑,,2), INDEX([1]!카테고리매핑,,1), "미등록 카테고리")</f>
        <v>미등록 카테고리</v>
      </c>
      <c r="C2923" t="s">
        <v>334</v>
      </c>
      <c r="D2923" t="str">
        <f>VLOOKUP(C2923, '[1]VLOOKUP 함수용 카테고리'!$A$1:$B$59, 2, 0)</f>
        <v>UNKNOWN</v>
      </c>
      <c r="E2923" t="s">
        <v>334</v>
      </c>
    </row>
    <row r="2924" spans="1:6" x14ac:dyDescent="0.3">
      <c r="A2924" t="s">
        <v>4898</v>
      </c>
      <c r="B2924" t="str" cm="1">
        <f t="array" ref="B2924">_xlfn.XLOOKUP(C2924, INDEX([1]!카테고리매핑,,2), INDEX([1]!카테고리매핑,,1), "미등록 카테고리")</f>
        <v>유제품</v>
      </c>
      <c r="C2924" t="s">
        <v>123</v>
      </c>
      <c r="D2924" t="str">
        <f>VLOOKUP(C2924, '[1]VLOOKUP 함수용 카테고리'!$A$1:$B$59, 2, 0)</f>
        <v>DAIRY</v>
      </c>
      <c r="E2924" t="s">
        <v>239</v>
      </c>
      <c r="F2924" t="s">
        <v>240</v>
      </c>
    </row>
    <row r="2925" spans="1:6" x14ac:dyDescent="0.3">
      <c r="A2925" t="s">
        <v>4899</v>
      </c>
      <c r="B2925" t="str" cm="1">
        <f t="array" ref="B2925">_xlfn.XLOOKUP(C2925, INDEX([1]!카테고리매핑,,2), INDEX([1]!카테고리매핑,,1), "미등록 카테고리")</f>
        <v>조미료</v>
      </c>
      <c r="C2925" t="s">
        <v>83</v>
      </c>
      <c r="D2925" t="str">
        <f>VLOOKUP(C2925, '[1]VLOOKUP 함수용 카테고리'!$A$1:$B$59, 2, 0)</f>
        <v>SAUCE_SEASONING</v>
      </c>
      <c r="E2925" t="s">
        <v>4900</v>
      </c>
      <c r="F2925" t="s">
        <v>350</v>
      </c>
    </row>
    <row r="2926" spans="1:6" x14ac:dyDescent="0.3">
      <c r="A2926" t="s">
        <v>4901</v>
      </c>
      <c r="B2926" t="str" cm="1">
        <f t="array" ref="B2926">_xlfn.XLOOKUP(C2926, INDEX([1]!카테고리매핑,,2), INDEX([1]!카테고리매핑,,1), "미등록 카테고리")</f>
        <v>간편식</v>
      </c>
      <c r="C2926" t="s">
        <v>131</v>
      </c>
      <c r="D2926" t="str">
        <f>VLOOKUP(C2926, '[1]VLOOKUP 함수용 카테고리'!$A$1:$B$59, 2, 0)</f>
        <v>SIMPLE_PROCESSED</v>
      </c>
      <c r="E2926" t="s">
        <v>678</v>
      </c>
      <c r="F2926" t="s">
        <v>3217</v>
      </c>
    </row>
    <row r="2927" spans="1:6" x14ac:dyDescent="0.3">
      <c r="A2927" t="s">
        <v>4902</v>
      </c>
      <c r="B2927" t="str" cm="1">
        <f t="array" ref="B2927">_xlfn.XLOOKUP(C2927, INDEX([1]!카테고리매핑,,2), INDEX([1]!카테고리매핑,,1), "미등록 카테고리")</f>
        <v>음료</v>
      </c>
      <c r="C2927" t="s">
        <v>23</v>
      </c>
      <c r="D2927" t="str">
        <f>VLOOKUP(C2927, '[1]VLOOKUP 함수용 카테고리'!$A$1:$B$59, 2, 0)</f>
        <v>BEVERAGE</v>
      </c>
      <c r="E2927" t="s">
        <v>323</v>
      </c>
      <c r="F2927" t="s">
        <v>7754</v>
      </c>
    </row>
    <row r="2928" spans="1:6" x14ac:dyDescent="0.3">
      <c r="A2928" t="s">
        <v>4903</v>
      </c>
      <c r="B2928" t="str" cm="1">
        <f t="array" ref="B2928">_xlfn.XLOOKUP(C2928, INDEX([1]!카테고리매핑,,2), INDEX([1]!카테고리매핑,,1), "미등록 카테고리")</f>
        <v>유제품</v>
      </c>
      <c r="C2928" t="s">
        <v>98</v>
      </c>
      <c r="D2928" t="str">
        <f>VLOOKUP(C2928, '[1]VLOOKUP 함수용 카테고리'!$A$1:$B$59, 2, 0)</f>
        <v>DAIRY</v>
      </c>
      <c r="E2928" t="s">
        <v>3523</v>
      </c>
      <c r="F2928" t="s">
        <v>4904</v>
      </c>
    </row>
    <row r="2929" spans="1:6" x14ac:dyDescent="0.3">
      <c r="A2929" t="s">
        <v>4905</v>
      </c>
      <c r="B2929" t="str" cm="1">
        <f t="array" ref="B2929">_xlfn.XLOOKUP(C2929, INDEX([1]!카테고리매핑,,2), INDEX([1]!카테고리매핑,,1), "미등록 카테고리")</f>
        <v>수산물</v>
      </c>
      <c r="C2929" t="s">
        <v>203</v>
      </c>
      <c r="D2929" t="str">
        <f>VLOOKUP(C2929, '[1]VLOOKUP 함수용 카테고리'!$A$1:$B$59, 2, 0)</f>
        <v>RAW_SEAFOOD</v>
      </c>
      <c r="E2929" t="s">
        <v>2043</v>
      </c>
      <c r="F2929" t="s">
        <v>538</v>
      </c>
    </row>
    <row r="2930" spans="1:6" x14ac:dyDescent="0.3">
      <c r="A2930" t="s">
        <v>4906</v>
      </c>
      <c r="B2930" t="str" cm="1">
        <f t="array" ref="B2930">_xlfn.XLOOKUP(C2930, INDEX([1]!카테고리매핑,,2), INDEX([1]!카테고리매핑,,1), "미등록 카테고리")</f>
        <v>음료</v>
      </c>
      <c r="C2930" t="s">
        <v>708</v>
      </c>
      <c r="D2930" t="str">
        <f>VLOOKUP(C2930, '[1]VLOOKUP 함수용 카테고리'!$A$1:$B$59, 2, 0)</f>
        <v>BEVERAGE</v>
      </c>
      <c r="E2930" t="s">
        <v>708</v>
      </c>
      <c r="F2930" t="s">
        <v>709</v>
      </c>
    </row>
    <row r="2931" spans="1:6" x14ac:dyDescent="0.3">
      <c r="A2931" t="s">
        <v>4907</v>
      </c>
      <c r="B2931" t="str" cm="1">
        <f t="array" ref="B2931">_xlfn.XLOOKUP(C2931, INDEX([1]!카테고리매핑,,2), INDEX([1]!카테고리매핑,,1), "미등록 카테고리")</f>
        <v>간식류</v>
      </c>
      <c r="C2931" t="s">
        <v>11</v>
      </c>
      <c r="D2931" t="str">
        <f>VLOOKUP(C2931, '[1]VLOOKUP 함수용 카테고리'!$A$1:$B$59, 2, 0)</f>
        <v>SNACK</v>
      </c>
      <c r="E2931" t="s">
        <v>1261</v>
      </c>
      <c r="F2931" t="s">
        <v>1261</v>
      </c>
    </row>
    <row r="2932" spans="1:6" x14ac:dyDescent="0.3">
      <c r="A2932" t="s">
        <v>4908</v>
      </c>
      <c r="B2932" t="str" cm="1">
        <f t="array" ref="B2932">_xlfn.XLOOKUP(C2932, INDEX([1]!카테고리매핑,,2), INDEX([1]!카테고리매핑,,1), "미등록 카테고리")</f>
        <v>간편식</v>
      </c>
      <c r="C2932" t="s">
        <v>158</v>
      </c>
      <c r="D2932" t="str">
        <f>VLOOKUP(C2932, '[1]VLOOKUP 함수용 카테고리'!$A$1:$B$59, 2, 0)</f>
        <v>INSTANT</v>
      </c>
      <c r="E2932" t="s">
        <v>4909</v>
      </c>
      <c r="F2932" t="s">
        <v>129</v>
      </c>
    </row>
    <row r="2933" spans="1:6" x14ac:dyDescent="0.3">
      <c r="A2933" t="s">
        <v>4910</v>
      </c>
      <c r="B2933" t="str" cm="1">
        <f t="array" ref="B2933">_xlfn.XLOOKUP(C2933, INDEX([1]!카테고리매핑,,2), INDEX([1]!카테고리매핑,,1), "미등록 카테고리")</f>
        <v>유제품</v>
      </c>
      <c r="C2933" t="s">
        <v>123</v>
      </c>
      <c r="D2933" t="str">
        <f>VLOOKUP(C2933, '[1]VLOOKUP 함수용 카테고리'!$A$1:$B$59, 2, 0)</f>
        <v>DAIRY</v>
      </c>
      <c r="E2933" t="s">
        <v>239</v>
      </c>
      <c r="F2933" t="s">
        <v>4911</v>
      </c>
    </row>
    <row r="2934" spans="1:6" x14ac:dyDescent="0.3">
      <c r="A2934" t="s">
        <v>4912</v>
      </c>
      <c r="B2934" t="str" cm="1">
        <f t="array" ref="B2934">_xlfn.XLOOKUP(C2934, INDEX([1]!카테고리매핑,,2), INDEX([1]!카테고리매핑,,1), "미등록 카테고리")</f>
        <v>간식류</v>
      </c>
      <c r="C2934" t="s">
        <v>11</v>
      </c>
      <c r="D2934" t="str">
        <f>VLOOKUP(C2934, '[1]VLOOKUP 함수용 카테고리'!$A$1:$B$59, 2, 0)</f>
        <v>SNACK</v>
      </c>
      <c r="E2934" t="s">
        <v>2199</v>
      </c>
      <c r="F2934" t="s">
        <v>2637</v>
      </c>
    </row>
    <row r="2935" spans="1:6" x14ac:dyDescent="0.3">
      <c r="A2935" t="s">
        <v>4913</v>
      </c>
      <c r="B2935" t="str" cm="1">
        <f t="array" ref="B2935">_xlfn.XLOOKUP(C2935, INDEX([1]!카테고리매핑,,2), INDEX([1]!카테고리매핑,,1), "미등록 카테고리")</f>
        <v>조미료</v>
      </c>
      <c r="C2935" t="s">
        <v>84</v>
      </c>
      <c r="D2935" t="str">
        <f>VLOOKUP(C2935, '[1]VLOOKUP 함수용 카테고리'!$A$1:$B$59, 2, 0)</f>
        <v>SAUCE_SEASONING</v>
      </c>
      <c r="E2935" t="s">
        <v>90</v>
      </c>
      <c r="F2935" t="s">
        <v>246</v>
      </c>
    </row>
    <row r="2936" spans="1:6" x14ac:dyDescent="0.3">
      <c r="A2936" t="s">
        <v>4914</v>
      </c>
      <c r="B2936" t="str" cm="1">
        <f t="array" ref="B2936">_xlfn.XLOOKUP(C2936, INDEX([1]!카테고리매핑,,2), INDEX([1]!카테고리매핑,,1), "미등록 카테고리")</f>
        <v>술</v>
      </c>
      <c r="C2936" t="s">
        <v>42</v>
      </c>
      <c r="D2936" t="str">
        <f>VLOOKUP(C2936, '[1]VLOOKUP 함수용 카테고리'!$A$1:$B$59, 2, 0)</f>
        <v>ALCOHOL</v>
      </c>
      <c r="E2936" t="s">
        <v>1074</v>
      </c>
    </row>
    <row r="2937" spans="1:6" x14ac:dyDescent="0.3">
      <c r="A2937" t="s">
        <v>4915</v>
      </c>
      <c r="B2937" t="str" cm="1">
        <f t="array" ref="B2937">_xlfn.XLOOKUP(C2937, INDEX([1]!카테고리매핑,,2), INDEX([1]!카테고리매핑,,1), "미등록 카테고리")</f>
        <v>간편식</v>
      </c>
      <c r="C2937" t="s">
        <v>131</v>
      </c>
      <c r="D2937" t="str">
        <f>VLOOKUP(C2937, '[1]VLOOKUP 함수용 카테고리'!$A$1:$B$59, 2, 0)</f>
        <v>SIMPLE_PROCESSED</v>
      </c>
      <c r="E2937" t="s">
        <v>132</v>
      </c>
      <c r="F2937" t="s">
        <v>133</v>
      </c>
    </row>
    <row r="2938" spans="1:6" x14ac:dyDescent="0.3">
      <c r="A2938" t="s">
        <v>4916</v>
      </c>
      <c r="B2938" t="str" cm="1">
        <f t="array" ref="B2938">_xlfn.XLOOKUP(C2938, INDEX([1]!카테고리매핑,,2), INDEX([1]!카테고리매핑,,1), "미등록 카테고리")</f>
        <v>미등록 카테고리</v>
      </c>
      <c r="C2938" t="s">
        <v>334</v>
      </c>
      <c r="D2938" t="str">
        <f>VLOOKUP(C2938, '[1]VLOOKUP 함수용 카테고리'!$A$1:$B$59, 2, 0)</f>
        <v>UNKNOWN</v>
      </c>
      <c r="E2938" t="s">
        <v>334</v>
      </c>
      <c r="F2938" t="s">
        <v>4917</v>
      </c>
    </row>
    <row r="2939" spans="1:6" x14ac:dyDescent="0.3">
      <c r="A2939" t="s">
        <v>4918</v>
      </c>
      <c r="B2939" t="str" cm="1">
        <f t="array" ref="B2939">_xlfn.XLOOKUP(C2939, INDEX([1]!카테고리매핑,,2), INDEX([1]!카테고리매핑,,1), "미등록 카테고리")</f>
        <v>조미료</v>
      </c>
      <c r="C2939" t="s">
        <v>84</v>
      </c>
      <c r="D2939" t="str">
        <f>VLOOKUP(C2939, '[1]VLOOKUP 함수용 카테고리'!$A$1:$B$59, 2, 0)</f>
        <v>SAUCE_SEASONING</v>
      </c>
      <c r="E2939" t="s">
        <v>444</v>
      </c>
      <c r="F2939" t="s">
        <v>2490</v>
      </c>
    </row>
    <row r="2940" spans="1:6" x14ac:dyDescent="0.3">
      <c r="A2940" t="s">
        <v>4919</v>
      </c>
      <c r="B2940" t="str" cm="1">
        <f t="array" ref="B2940">_xlfn.XLOOKUP(C2940, INDEX([1]!카테고리매핑,,2), INDEX([1]!카테고리매핑,,1), "미등록 카테고리")</f>
        <v>조미료</v>
      </c>
      <c r="C2940" t="s">
        <v>83</v>
      </c>
      <c r="D2940" t="str">
        <f>VLOOKUP(C2940, '[1]VLOOKUP 함수용 카테고리'!$A$1:$B$59, 2, 0)</f>
        <v>SAUCE_SEASONING</v>
      </c>
      <c r="E2940" t="s">
        <v>1391</v>
      </c>
      <c r="F2940" t="s">
        <v>4920</v>
      </c>
    </row>
    <row r="2941" spans="1:6" x14ac:dyDescent="0.3">
      <c r="A2941" t="s">
        <v>4921</v>
      </c>
      <c r="B2941" t="str" cm="1">
        <f t="array" ref="B2941">_xlfn.XLOOKUP(C2941, INDEX([1]!카테고리매핑,,2), INDEX([1]!카테고리매핑,,1), "미등록 카테고리")</f>
        <v>간편식</v>
      </c>
      <c r="C2941" t="s">
        <v>256</v>
      </c>
      <c r="D2941" t="str">
        <f>VLOOKUP(C2941, '[1]VLOOKUP 함수용 카테고리'!$A$1:$B$59, 2, 0)</f>
        <v>RTC_MEAL</v>
      </c>
      <c r="E2941" t="s">
        <v>256</v>
      </c>
      <c r="F2941" t="s">
        <v>615</v>
      </c>
    </row>
    <row r="2942" spans="1:6" x14ac:dyDescent="0.3">
      <c r="A2942" t="s">
        <v>4922</v>
      </c>
      <c r="B2942" t="str" cm="1">
        <f t="array" ref="B2942">_xlfn.XLOOKUP(C2942, INDEX([1]!카테고리매핑,,2), INDEX([1]!카테고리매핑,,1), "미등록 카테고리")</f>
        <v>간식류</v>
      </c>
      <c r="C2942" t="s">
        <v>15</v>
      </c>
      <c r="D2942" t="str">
        <f>VLOOKUP(C2942, '[1]VLOOKUP 함수용 카테고리'!$A$1:$B$59, 2, 0)</f>
        <v>BAKERY</v>
      </c>
      <c r="E2942" t="s">
        <v>898</v>
      </c>
      <c r="F2942" t="s">
        <v>2858</v>
      </c>
    </row>
    <row r="2943" spans="1:6" x14ac:dyDescent="0.3">
      <c r="A2943" t="s">
        <v>4923</v>
      </c>
      <c r="B2943" t="str" cm="1">
        <f t="array" ref="B2943">_xlfn.XLOOKUP(C2943, INDEX([1]!카테고리매핑,,2), INDEX([1]!카테고리매핑,,1), "미등록 카테고리")</f>
        <v>간식류</v>
      </c>
      <c r="C2943" t="s">
        <v>15</v>
      </c>
      <c r="D2943" t="str">
        <f>VLOOKUP(C2943, '[1]VLOOKUP 함수용 카테고리'!$A$1:$B$59, 2, 0)</f>
        <v>BAKERY</v>
      </c>
      <c r="E2943" t="s">
        <v>4924</v>
      </c>
      <c r="F2943" t="s">
        <v>2593</v>
      </c>
    </row>
    <row r="2944" spans="1:6" x14ac:dyDescent="0.3">
      <c r="A2944" t="s">
        <v>4925</v>
      </c>
      <c r="B2944" t="str" cm="1">
        <f t="array" ref="B2944">_xlfn.XLOOKUP(C2944, INDEX([1]!카테고리매핑,,2), INDEX([1]!카테고리매핑,,1), "미등록 카테고리")</f>
        <v>육류/계란</v>
      </c>
      <c r="C2944" t="s">
        <v>105</v>
      </c>
      <c r="D2944" t="str">
        <f>VLOOKUP(C2944, '[1]VLOOKUP 함수용 카테고리'!$A$1:$B$59, 2, 0)</f>
        <v>RAW_MEAT</v>
      </c>
      <c r="E2944" t="s">
        <v>2085</v>
      </c>
      <c r="F2944" t="s">
        <v>4926</v>
      </c>
    </row>
    <row r="2945" spans="1:6" x14ac:dyDescent="0.3">
      <c r="A2945" t="s">
        <v>4927</v>
      </c>
      <c r="B2945" t="str" cm="1">
        <f t="array" ref="B2945">_xlfn.XLOOKUP(C2945, INDEX([1]!카테고리매핑,,2), INDEX([1]!카테고리매핑,,1), "미등록 카테고리")</f>
        <v>간식류</v>
      </c>
      <c r="C2945" t="s">
        <v>63</v>
      </c>
      <c r="D2945" t="str">
        <f>VLOOKUP(C2945, '[1]VLOOKUP 함수용 카테고리'!$A$1:$B$59, 2, 0)</f>
        <v>BAKERY</v>
      </c>
      <c r="E2945" t="s">
        <v>1594</v>
      </c>
      <c r="F2945" t="s">
        <v>2975</v>
      </c>
    </row>
    <row r="2946" spans="1:6" x14ac:dyDescent="0.3">
      <c r="A2946" t="s">
        <v>4928</v>
      </c>
      <c r="B2946" t="str" cm="1">
        <f t="array" ref="B2946">_xlfn.XLOOKUP(C2946, INDEX([1]!카테고리매핑,,2), INDEX([1]!카테고리매핑,,1), "미등록 카테고리")</f>
        <v>미등록 카테고리</v>
      </c>
      <c r="C2946" t="s">
        <v>334</v>
      </c>
      <c r="D2946" t="str">
        <f>VLOOKUP(C2946, '[1]VLOOKUP 함수용 카테고리'!$A$1:$B$59, 2, 0)</f>
        <v>UNKNOWN</v>
      </c>
      <c r="E2946" t="s">
        <v>334</v>
      </c>
      <c r="F2946" t="s">
        <v>2552</v>
      </c>
    </row>
    <row r="2947" spans="1:6" x14ac:dyDescent="0.3">
      <c r="A2947" t="s">
        <v>4929</v>
      </c>
      <c r="B2947" t="str" cm="1">
        <f t="array" ref="B2947">_xlfn.XLOOKUP(C2947, INDEX([1]!카테고리매핑,,2), INDEX([1]!카테고리매핑,,1), "미등록 카테고리")</f>
        <v>유제품</v>
      </c>
      <c r="C2947" t="s">
        <v>123</v>
      </c>
      <c r="D2947" t="str">
        <f>VLOOKUP(C2947, '[1]VLOOKUP 함수용 카테고리'!$A$1:$B$59, 2, 0)</f>
        <v>DAIRY</v>
      </c>
      <c r="E2947" t="s">
        <v>239</v>
      </c>
      <c r="F2947" t="s">
        <v>2906</v>
      </c>
    </row>
    <row r="2948" spans="1:6" x14ac:dyDescent="0.3">
      <c r="A2948" t="s">
        <v>4930</v>
      </c>
      <c r="B2948" t="str" cm="1">
        <f t="array" ref="B2948">_xlfn.XLOOKUP(C2948, INDEX([1]!카테고리매핑,,2), INDEX([1]!카테고리매핑,,1), "미등록 카테고리")</f>
        <v>간편식</v>
      </c>
      <c r="C2948" t="s">
        <v>167</v>
      </c>
      <c r="D2948" t="str">
        <f>VLOOKUP(C2948, '[1]VLOOKUP 함수용 카테고리'!$A$1:$B$59, 2, 0)</f>
        <v>INSTANT</v>
      </c>
      <c r="E2948" t="s">
        <v>271</v>
      </c>
      <c r="F2948" t="s">
        <v>2303</v>
      </c>
    </row>
    <row r="2949" spans="1:6" x14ac:dyDescent="0.3">
      <c r="A2949" t="s">
        <v>4931</v>
      </c>
      <c r="B2949" t="str" cm="1">
        <f t="array" ref="B2949">_xlfn.XLOOKUP(C2949, INDEX([1]!카테고리매핑,,2), INDEX([1]!카테고리매핑,,1), "미등록 카테고리")</f>
        <v>채소/곡물류</v>
      </c>
      <c r="C2949" t="s">
        <v>7</v>
      </c>
      <c r="D2949" t="str">
        <f>VLOOKUP(C2949, '[1]VLOOKUP 함수용 카테고리'!$A$1:$B$59, 2, 0)</f>
        <v>RAW_PRODUCE</v>
      </c>
      <c r="E2949" t="s">
        <v>188</v>
      </c>
    </row>
    <row r="2950" spans="1:6" x14ac:dyDescent="0.3">
      <c r="A2950" t="s">
        <v>4932</v>
      </c>
      <c r="B2950" t="str" cm="1">
        <f t="array" ref="B2950">_xlfn.XLOOKUP(C2950, INDEX([1]!카테고리매핑,,2), INDEX([1]!카테고리매핑,,1), "미등록 카테고리")</f>
        <v>유제품</v>
      </c>
      <c r="C2950" t="s">
        <v>98</v>
      </c>
      <c r="D2950" t="str">
        <f>VLOOKUP(C2950, '[1]VLOOKUP 함수용 카테고리'!$A$1:$B$59, 2, 0)</f>
        <v>DAIRY</v>
      </c>
      <c r="E2950" t="s">
        <v>1143</v>
      </c>
      <c r="F2950" t="s">
        <v>7843</v>
      </c>
    </row>
    <row r="2951" spans="1:6" x14ac:dyDescent="0.3">
      <c r="A2951" t="s">
        <v>4933</v>
      </c>
      <c r="B2951" t="str" cm="1">
        <f t="array" ref="B2951">_xlfn.XLOOKUP(C2951, INDEX([1]!카테고리매핑,,2), INDEX([1]!카테고리매핑,,1), "미등록 카테고리")</f>
        <v>수산물</v>
      </c>
      <c r="C2951" t="s">
        <v>183</v>
      </c>
      <c r="D2951" t="str">
        <f>VLOOKUP(C2951, '[1]VLOOKUP 함수용 카테고리'!$A$1:$B$59, 2, 0)</f>
        <v>DRIED_SEAFOOD</v>
      </c>
      <c r="E2951" t="s">
        <v>1210</v>
      </c>
    </row>
    <row r="2952" spans="1:6" x14ac:dyDescent="0.3">
      <c r="A2952" t="s">
        <v>4934</v>
      </c>
      <c r="B2952" t="str" cm="1">
        <f t="array" ref="B2952">_xlfn.XLOOKUP(C2952, INDEX([1]!카테고리매핑,,2), INDEX([1]!카테고리매핑,,1), "미등록 카테고리")</f>
        <v>음료</v>
      </c>
      <c r="C2952" t="s">
        <v>23</v>
      </c>
      <c r="D2952" t="str">
        <f>VLOOKUP(C2952, '[1]VLOOKUP 함수용 카테고리'!$A$1:$B$59, 2, 0)</f>
        <v>BEVERAGE</v>
      </c>
      <c r="E2952" t="s">
        <v>1156</v>
      </c>
      <c r="F2952" t="s">
        <v>306</v>
      </c>
    </row>
    <row r="2953" spans="1:6" x14ac:dyDescent="0.3">
      <c r="A2953" t="s">
        <v>4935</v>
      </c>
      <c r="B2953" t="str" cm="1">
        <f t="array" ref="B2953">_xlfn.XLOOKUP(C2953, INDEX([1]!카테고리매핑,,2), INDEX([1]!카테고리매핑,,1), "미등록 카테고리")</f>
        <v>채소/곡물류</v>
      </c>
      <c r="C2953" t="s">
        <v>27</v>
      </c>
      <c r="D2953" t="str">
        <f>VLOOKUP(C2953, '[1]VLOOKUP 함수용 카테고리'!$A$1:$B$59, 2, 0)</f>
        <v>SIMPLE_PROCESSED</v>
      </c>
      <c r="E2953" t="s">
        <v>28</v>
      </c>
      <c r="F2953" t="s">
        <v>350</v>
      </c>
    </row>
    <row r="2954" spans="1:6" x14ac:dyDescent="0.3">
      <c r="A2954" t="s">
        <v>4936</v>
      </c>
      <c r="B2954" t="str" cm="1">
        <f t="array" ref="B2954">_xlfn.XLOOKUP(C2954, INDEX([1]!카테고리매핑,,2), INDEX([1]!카테고리매핑,,1), "미등록 카테고리")</f>
        <v>채소/곡물류</v>
      </c>
      <c r="C2954" t="s">
        <v>301</v>
      </c>
      <c r="D2954" t="str">
        <f>VLOOKUP(C2954, '[1]VLOOKUP 함수용 카테고리'!$A$1:$B$59, 2, 0)</f>
        <v>GRAIN</v>
      </c>
      <c r="E2954" t="s">
        <v>490</v>
      </c>
      <c r="F2954" t="s">
        <v>4937</v>
      </c>
    </row>
    <row r="2955" spans="1:6" x14ac:dyDescent="0.3">
      <c r="A2955" t="s">
        <v>4938</v>
      </c>
      <c r="B2955" t="str" cm="1">
        <f t="array" ref="B2955">_xlfn.XLOOKUP(C2955, INDEX([1]!카테고리매핑,,2), INDEX([1]!카테고리매핑,,1), "미등록 카테고리")</f>
        <v>미등록 카테고리</v>
      </c>
      <c r="C2955" t="s">
        <v>334</v>
      </c>
      <c r="D2955" t="str">
        <f>VLOOKUP(C2955, '[1]VLOOKUP 함수용 카테고리'!$A$1:$B$59, 2, 0)</f>
        <v>UNKNOWN</v>
      </c>
      <c r="E2955" t="s">
        <v>334</v>
      </c>
      <c r="F2955" t="s">
        <v>2552</v>
      </c>
    </row>
    <row r="2956" spans="1:6" x14ac:dyDescent="0.3">
      <c r="A2956" t="s">
        <v>4939</v>
      </c>
      <c r="B2956" t="str" cm="1">
        <f t="array" ref="B2956">_xlfn.XLOOKUP(C2956, INDEX([1]!카테고리매핑,,2), INDEX([1]!카테고리매핑,,1), "미등록 카테고리")</f>
        <v>유제품</v>
      </c>
      <c r="C2956" t="s">
        <v>123</v>
      </c>
      <c r="D2956" t="str">
        <f>VLOOKUP(C2956, '[1]VLOOKUP 함수용 카테고리'!$A$1:$B$59, 2, 0)</f>
        <v>DAIRY</v>
      </c>
      <c r="E2956" t="s">
        <v>190</v>
      </c>
      <c r="F2956" t="s">
        <v>7844</v>
      </c>
    </row>
    <row r="2957" spans="1:6" x14ac:dyDescent="0.3">
      <c r="A2957" t="s">
        <v>4940</v>
      </c>
      <c r="B2957" t="str" cm="1">
        <f t="array" ref="B2957">_xlfn.XLOOKUP(C2957, INDEX([1]!카테고리매핑,,2), INDEX([1]!카테고리매핑,,1), "미등록 카테고리")</f>
        <v>음료</v>
      </c>
      <c r="C2957" t="s">
        <v>23</v>
      </c>
      <c r="D2957" t="str">
        <f>VLOOKUP(C2957, '[1]VLOOKUP 함수용 카테고리'!$A$1:$B$59, 2, 0)</f>
        <v>BEVERAGE</v>
      </c>
      <c r="E2957" t="s">
        <v>24</v>
      </c>
      <c r="F2957" t="s">
        <v>3496</v>
      </c>
    </row>
    <row r="2958" spans="1:6" x14ac:dyDescent="0.3">
      <c r="A2958" t="s">
        <v>4941</v>
      </c>
      <c r="B2958" t="str" cm="1">
        <f t="array" ref="B2958">_xlfn.XLOOKUP(C2958, INDEX([1]!카테고리매핑,,2), INDEX([1]!카테고리매핑,,1), "미등록 카테고리")</f>
        <v>술</v>
      </c>
      <c r="C2958" t="s">
        <v>42</v>
      </c>
      <c r="D2958" t="str">
        <f>VLOOKUP(C2958, '[1]VLOOKUP 함수용 카테고리'!$A$1:$B$59, 2, 0)</f>
        <v>ALCOHOL</v>
      </c>
      <c r="E2958" t="s">
        <v>43</v>
      </c>
    </row>
    <row r="2959" spans="1:6" x14ac:dyDescent="0.3">
      <c r="A2959" t="s">
        <v>4942</v>
      </c>
      <c r="B2959" t="str" cm="1">
        <f t="array" ref="B2959">_xlfn.XLOOKUP(C2959, INDEX([1]!카테고리매핑,,2), INDEX([1]!카테고리매핑,,1), "미등록 카테고리")</f>
        <v>유제품</v>
      </c>
      <c r="C2959" t="s">
        <v>123</v>
      </c>
      <c r="D2959" t="str">
        <f>VLOOKUP(C2959, '[1]VLOOKUP 함수용 카테고리'!$A$1:$B$59, 2, 0)</f>
        <v>DAIRY</v>
      </c>
      <c r="E2959" t="s">
        <v>239</v>
      </c>
      <c r="F2959" t="s">
        <v>4943</v>
      </c>
    </row>
    <row r="2960" spans="1:6" x14ac:dyDescent="0.3">
      <c r="A2960" t="s">
        <v>4944</v>
      </c>
      <c r="B2960" t="str" cm="1">
        <f t="array" ref="B2960">_xlfn.XLOOKUP(C2960, INDEX([1]!카테고리매핑,,2), INDEX([1]!카테고리매핑,,1), "미등록 카테고리")</f>
        <v>미등록 카테고리</v>
      </c>
      <c r="C2960" t="s">
        <v>334</v>
      </c>
      <c r="D2960" t="str">
        <f>VLOOKUP(C2960, '[1]VLOOKUP 함수용 카테고리'!$A$1:$B$59, 2, 0)</f>
        <v>UNKNOWN</v>
      </c>
      <c r="E2960" t="s">
        <v>334</v>
      </c>
      <c r="F2960" t="s">
        <v>2552</v>
      </c>
    </row>
    <row r="2961" spans="1:6" x14ac:dyDescent="0.3">
      <c r="A2961" t="s">
        <v>4945</v>
      </c>
      <c r="B2961" t="str" cm="1">
        <f t="array" ref="B2961">_xlfn.XLOOKUP(C2961, INDEX([1]!카테고리매핑,,2), INDEX([1]!카테고리매핑,,1), "미등록 카테고리")</f>
        <v>수산물</v>
      </c>
      <c r="C2961" t="s">
        <v>140</v>
      </c>
      <c r="D2961" t="str">
        <f>VLOOKUP(C2961, '[1]VLOOKUP 함수용 카테고리'!$A$1:$B$59, 2, 0)</f>
        <v>SIMPLE_PROCESSED</v>
      </c>
      <c r="E2961" t="s">
        <v>141</v>
      </c>
      <c r="F2961" t="s">
        <v>4946</v>
      </c>
    </row>
    <row r="2962" spans="1:6" x14ac:dyDescent="0.3">
      <c r="A2962" t="s">
        <v>4947</v>
      </c>
      <c r="B2962" t="str" cm="1">
        <f t="array" ref="B2962">_xlfn.XLOOKUP(C2962, INDEX([1]!카테고리매핑,,2), INDEX([1]!카테고리매핑,,1), "미등록 카테고리")</f>
        <v>간편식</v>
      </c>
      <c r="C2962" t="s">
        <v>19</v>
      </c>
      <c r="D2962" t="str">
        <f>VLOOKUP(C2962, '[1]VLOOKUP 함수용 카테고리'!$A$1:$B$59, 2, 0)</f>
        <v>FROZEN_MEAL</v>
      </c>
      <c r="E2962" t="s">
        <v>245</v>
      </c>
      <c r="F2962" t="s">
        <v>4948</v>
      </c>
    </row>
    <row r="2963" spans="1:6" x14ac:dyDescent="0.3">
      <c r="A2963" t="s">
        <v>4949</v>
      </c>
      <c r="B2963" t="str" cm="1">
        <f t="array" ref="B2963">_xlfn.XLOOKUP(C2963, INDEX([1]!카테고리매핑,,2), INDEX([1]!카테고리매핑,,1), "미등록 카테고리")</f>
        <v>간편식</v>
      </c>
      <c r="C2963" t="s">
        <v>131</v>
      </c>
      <c r="D2963" t="str">
        <f>VLOOKUP(C2963, '[1]VLOOKUP 함수용 카테고리'!$A$1:$B$59, 2, 0)</f>
        <v>SIMPLE_PROCESSED</v>
      </c>
      <c r="E2963" t="s">
        <v>4950</v>
      </c>
      <c r="F2963" t="s">
        <v>4951</v>
      </c>
    </row>
    <row r="2964" spans="1:6" x14ac:dyDescent="0.3">
      <c r="A2964" t="s">
        <v>4952</v>
      </c>
      <c r="B2964" t="str" cm="1">
        <f t="array" ref="B2964">_xlfn.XLOOKUP(C2964, INDEX([1]!카테고리매핑,,2), INDEX([1]!카테고리매핑,,1), "미등록 카테고리")</f>
        <v>간편식</v>
      </c>
      <c r="C2964" t="s">
        <v>256</v>
      </c>
      <c r="D2964" t="str">
        <f>VLOOKUP(C2964, '[1]VLOOKUP 함수용 카테고리'!$A$1:$B$59, 2, 0)</f>
        <v>RTC_MEAL</v>
      </c>
      <c r="E2964" t="s">
        <v>256</v>
      </c>
      <c r="F2964" t="s">
        <v>156</v>
      </c>
    </row>
    <row r="2965" spans="1:6" x14ac:dyDescent="0.3">
      <c r="A2965" t="s">
        <v>4953</v>
      </c>
      <c r="B2965" t="str" cm="1">
        <f t="array" ref="B2965">_xlfn.XLOOKUP(C2965, INDEX([1]!카테고리매핑,,2), INDEX([1]!카테고리매핑,,1), "미등록 카테고리")</f>
        <v>유제품</v>
      </c>
      <c r="C2965" t="s">
        <v>123</v>
      </c>
      <c r="D2965" t="str">
        <f>VLOOKUP(C2965, '[1]VLOOKUP 함수용 카테고리'!$A$1:$B$59, 2, 0)</f>
        <v>DAIRY</v>
      </c>
      <c r="E2965" t="s">
        <v>190</v>
      </c>
      <c r="F2965" t="s">
        <v>4954</v>
      </c>
    </row>
    <row r="2966" spans="1:6" x14ac:dyDescent="0.3">
      <c r="A2966" t="s">
        <v>4955</v>
      </c>
      <c r="B2966" t="str" cm="1">
        <f t="array" ref="B2966">_xlfn.XLOOKUP(C2966, INDEX([1]!카테고리매핑,,2), INDEX([1]!카테고리매핑,,1), "미등록 카테고리")</f>
        <v>조미료</v>
      </c>
      <c r="C2966" t="s">
        <v>84</v>
      </c>
      <c r="D2966" t="str">
        <f>VLOOKUP(C2966, '[1]VLOOKUP 함수용 카테고리'!$A$1:$B$59, 2, 0)</f>
        <v>SAUCE_SEASONING</v>
      </c>
      <c r="E2966" t="s">
        <v>85</v>
      </c>
      <c r="F2966" t="s">
        <v>7787</v>
      </c>
    </row>
    <row r="2967" spans="1:6" x14ac:dyDescent="0.3">
      <c r="A2967" t="s">
        <v>4956</v>
      </c>
      <c r="B2967" t="str" cm="1">
        <f t="array" ref="B2967">_xlfn.XLOOKUP(C2967, INDEX([1]!카테고리매핑,,2), INDEX([1]!카테고리매핑,,1), "미등록 카테고리")</f>
        <v>음료</v>
      </c>
      <c r="C2967" t="s">
        <v>708</v>
      </c>
      <c r="D2967" t="str">
        <f>VLOOKUP(C2967, '[1]VLOOKUP 함수용 카테고리'!$A$1:$B$59, 2, 0)</f>
        <v>BEVERAGE</v>
      </c>
      <c r="E2967" t="s">
        <v>708</v>
      </c>
      <c r="F2967" t="s">
        <v>1890</v>
      </c>
    </row>
    <row r="2968" spans="1:6" x14ac:dyDescent="0.3">
      <c r="A2968" t="s">
        <v>4957</v>
      </c>
      <c r="B2968" t="str" cm="1">
        <f t="array" ref="B2968">_xlfn.XLOOKUP(C2968, INDEX([1]!카테고리매핑,,2), INDEX([1]!카테고리매핑,,1), "미등록 카테고리")</f>
        <v>간편식</v>
      </c>
      <c r="C2968" t="s">
        <v>131</v>
      </c>
      <c r="D2968" t="str">
        <f>VLOOKUP(C2968, '[1]VLOOKUP 함수용 카테고리'!$A$1:$B$59, 2, 0)</f>
        <v>SIMPLE_PROCESSED</v>
      </c>
      <c r="E2968" t="s">
        <v>2239</v>
      </c>
      <c r="F2968" t="s">
        <v>541</v>
      </c>
    </row>
    <row r="2969" spans="1:6" x14ac:dyDescent="0.3">
      <c r="A2969" t="s">
        <v>4958</v>
      </c>
      <c r="B2969" t="str" cm="1">
        <f t="array" ref="B2969">_xlfn.XLOOKUP(C2969, INDEX([1]!카테고리매핑,,2), INDEX([1]!카테고리매핑,,1), "미등록 카테고리")</f>
        <v>미등록 카테고리</v>
      </c>
      <c r="C2969" t="s">
        <v>334</v>
      </c>
      <c r="D2969" t="str">
        <f>VLOOKUP(C2969, '[1]VLOOKUP 함수용 카테고리'!$A$1:$B$59, 2, 0)</f>
        <v>UNKNOWN</v>
      </c>
      <c r="E2969" t="s">
        <v>334</v>
      </c>
      <c r="F2969" t="s">
        <v>2552</v>
      </c>
    </row>
    <row r="2970" spans="1:6" x14ac:dyDescent="0.3">
      <c r="A2970" t="s">
        <v>4959</v>
      </c>
      <c r="B2970" t="str" cm="1">
        <f t="array" ref="B2970">_xlfn.XLOOKUP(C2970, INDEX([1]!카테고리매핑,,2), INDEX([1]!카테고리매핑,,1), "미등록 카테고리")</f>
        <v>조미료</v>
      </c>
      <c r="C2970" t="s">
        <v>127</v>
      </c>
      <c r="D2970" t="str">
        <f>VLOOKUP(C2970, '[1]VLOOKUP 함수용 카테고리'!$A$1:$B$59, 2, 0)</f>
        <v>SAUCE_SEASONING</v>
      </c>
      <c r="E2970" t="s">
        <v>4960</v>
      </c>
      <c r="F2970" t="s">
        <v>136</v>
      </c>
    </row>
    <row r="2971" spans="1:6" x14ac:dyDescent="0.3">
      <c r="A2971" t="s">
        <v>4961</v>
      </c>
      <c r="B2971" t="str" cm="1">
        <f t="array" ref="B2971">_xlfn.XLOOKUP(C2971, INDEX([1]!카테고리매핑,,2), INDEX([1]!카테고리매핑,,1), "미등록 카테고리")</f>
        <v>조미료</v>
      </c>
      <c r="C2971" t="s">
        <v>84</v>
      </c>
      <c r="D2971" t="str">
        <f>VLOOKUP(C2971, '[1]VLOOKUP 함수용 카테고리'!$A$1:$B$59, 2, 0)</f>
        <v>SAUCE_SEASONING</v>
      </c>
      <c r="E2971" t="s">
        <v>85</v>
      </c>
      <c r="F2971" t="s">
        <v>4962</v>
      </c>
    </row>
    <row r="2972" spans="1:6" x14ac:dyDescent="0.3">
      <c r="A2972" t="s">
        <v>4963</v>
      </c>
      <c r="B2972" t="str" cm="1">
        <f t="array" ref="B2972">_xlfn.XLOOKUP(C2972, INDEX([1]!카테고리매핑,,2), INDEX([1]!카테고리매핑,,1), "미등록 카테고리")</f>
        <v>채소/곡물류</v>
      </c>
      <c r="C2972" t="s">
        <v>7</v>
      </c>
      <c r="D2972" t="str">
        <f>VLOOKUP(C2972, '[1]VLOOKUP 함수용 카테고리'!$A$1:$B$59, 2, 0)</f>
        <v>RAW_PRODUCE</v>
      </c>
      <c r="E2972" t="s">
        <v>188</v>
      </c>
      <c r="F2972" t="s">
        <v>3808</v>
      </c>
    </row>
    <row r="2973" spans="1:6" x14ac:dyDescent="0.3">
      <c r="A2973" t="s">
        <v>4964</v>
      </c>
      <c r="B2973" t="str" cm="1">
        <f t="array" ref="B2973">_xlfn.XLOOKUP(C2973, INDEX([1]!카테고리매핑,,2), INDEX([1]!카테고리매핑,,1), "미등록 카테고리")</f>
        <v>조미료</v>
      </c>
      <c r="C2973" t="s">
        <v>84</v>
      </c>
      <c r="D2973" t="str">
        <f>VLOOKUP(C2973, '[1]VLOOKUP 함수용 카테고리'!$A$1:$B$59, 2, 0)</f>
        <v>SAUCE_SEASONING</v>
      </c>
      <c r="E2973" t="s">
        <v>90</v>
      </c>
      <c r="F2973" t="s">
        <v>4965</v>
      </c>
    </row>
    <row r="2974" spans="1:6" x14ac:dyDescent="0.3">
      <c r="A2974" t="s">
        <v>4966</v>
      </c>
      <c r="B2974" t="str" cm="1">
        <f t="array" ref="B2974">_xlfn.XLOOKUP(C2974, INDEX([1]!카테고리매핑,,2), INDEX([1]!카테고리매핑,,1), "미등록 카테고리")</f>
        <v>육류/계란</v>
      </c>
      <c r="C2974" t="s">
        <v>428</v>
      </c>
      <c r="D2974" t="str">
        <f>VLOOKUP(C2974, '[1]VLOOKUP 함수용 카테고리'!$A$1:$B$59, 2, 0)</f>
        <v>PROCESSED_MEAT</v>
      </c>
      <c r="E2974" t="s">
        <v>804</v>
      </c>
      <c r="F2974" t="s">
        <v>1808</v>
      </c>
    </row>
    <row r="2975" spans="1:6" x14ac:dyDescent="0.3">
      <c r="A2975" t="s">
        <v>4967</v>
      </c>
      <c r="B2975" t="str" cm="1">
        <f t="array" ref="B2975">_xlfn.XLOOKUP(C2975, INDEX([1]!카테고리매핑,,2), INDEX([1]!카테고리매핑,,1), "미등록 카테고리")</f>
        <v>술</v>
      </c>
      <c r="C2975" t="s">
        <v>974</v>
      </c>
      <c r="D2975" t="str">
        <f>VLOOKUP(C2975, '[1]VLOOKUP 함수용 카테고리'!$A$1:$B$59, 2, 0)</f>
        <v>ALCOHOL</v>
      </c>
      <c r="E2975" t="s">
        <v>974</v>
      </c>
    </row>
    <row r="2976" spans="1:6" x14ac:dyDescent="0.3">
      <c r="A2976" t="s">
        <v>4968</v>
      </c>
      <c r="B2976" t="str" cm="1">
        <f t="array" ref="B2976">_xlfn.XLOOKUP(C2976, INDEX([1]!카테고리매핑,,2), INDEX([1]!카테고리매핑,,1), "미등록 카테고리")</f>
        <v>유제품</v>
      </c>
      <c r="C2976" t="s">
        <v>123</v>
      </c>
      <c r="D2976" t="str">
        <f>VLOOKUP(C2976, '[1]VLOOKUP 함수용 카테고리'!$A$1:$B$59, 2, 0)</f>
        <v>DAIRY</v>
      </c>
      <c r="E2976" t="s">
        <v>622</v>
      </c>
      <c r="F2976" t="s">
        <v>475</v>
      </c>
    </row>
    <row r="2977" spans="1:6" x14ac:dyDescent="0.3">
      <c r="A2977" t="s">
        <v>4969</v>
      </c>
      <c r="B2977" t="str" cm="1">
        <f t="array" ref="B2977">_xlfn.XLOOKUP(C2977, INDEX([1]!카테고리매핑,,2), INDEX([1]!카테고리매핑,,1), "미등록 카테고리")</f>
        <v>육류/계란</v>
      </c>
      <c r="C2977" t="s">
        <v>34</v>
      </c>
      <c r="D2977" t="str">
        <f>VLOOKUP(C2977, '[1]VLOOKUP 함수용 카테고리'!$A$1:$B$59, 2, 0)</f>
        <v>RAW_MEAT</v>
      </c>
      <c r="E2977" t="s">
        <v>35</v>
      </c>
      <c r="F2977" t="s">
        <v>4970</v>
      </c>
    </row>
    <row r="2978" spans="1:6" x14ac:dyDescent="0.3">
      <c r="A2978" t="s">
        <v>4971</v>
      </c>
      <c r="B2978" t="str" cm="1">
        <f t="array" ref="B2978">_xlfn.XLOOKUP(C2978, INDEX([1]!카테고리매핑,,2), INDEX([1]!카테고리매핑,,1), "미등록 카테고리")</f>
        <v>채소/곡물류</v>
      </c>
      <c r="C2978" t="s">
        <v>301</v>
      </c>
      <c r="D2978" t="str">
        <f>VLOOKUP(C2978, '[1]VLOOKUP 함수용 카테고리'!$A$1:$B$59, 2, 0)</f>
        <v>GRAIN</v>
      </c>
      <c r="E2978" t="s">
        <v>1737</v>
      </c>
    </row>
    <row r="2979" spans="1:6" x14ac:dyDescent="0.3">
      <c r="A2979" t="s">
        <v>4972</v>
      </c>
      <c r="B2979" t="str" cm="1">
        <f t="array" ref="B2979">_xlfn.XLOOKUP(C2979, INDEX([1]!카테고리매핑,,2), INDEX([1]!카테고리매핑,,1), "미등록 카테고리")</f>
        <v>육류/계란</v>
      </c>
      <c r="C2979" t="s">
        <v>428</v>
      </c>
      <c r="D2979" t="str">
        <f>VLOOKUP(C2979, '[1]VLOOKUP 함수용 카테고리'!$A$1:$B$59, 2, 0)</f>
        <v>PROCESSED_MEAT</v>
      </c>
      <c r="E2979" t="s">
        <v>776</v>
      </c>
      <c r="F2979" t="s">
        <v>2506</v>
      </c>
    </row>
    <row r="2980" spans="1:6" x14ac:dyDescent="0.3">
      <c r="A2980" t="s">
        <v>4973</v>
      </c>
      <c r="B2980" t="str" cm="1">
        <f t="array" ref="B2980">_xlfn.XLOOKUP(C2980, INDEX([1]!카테고리매핑,,2), INDEX([1]!카테고리매핑,,1), "미등록 카테고리")</f>
        <v>조미료</v>
      </c>
      <c r="C2980" t="s">
        <v>558</v>
      </c>
      <c r="D2980" t="str">
        <f>VLOOKUP(C2980, '[1]VLOOKUP 함수용 카테고리'!$A$1:$B$59, 2, 0)</f>
        <v>SAUCE_SEASONING</v>
      </c>
      <c r="E2980" t="s">
        <v>3078</v>
      </c>
      <c r="F2980" t="s">
        <v>1923</v>
      </c>
    </row>
    <row r="2981" spans="1:6" x14ac:dyDescent="0.3">
      <c r="A2981" t="s">
        <v>4974</v>
      </c>
      <c r="B2981" t="str" cm="1">
        <f t="array" ref="B2981">_xlfn.XLOOKUP(C2981, INDEX([1]!카테고리매핑,,2), INDEX([1]!카테고리매핑,,1), "미등록 카테고리")</f>
        <v>미등록 카테고리</v>
      </c>
      <c r="C2981" t="s">
        <v>334</v>
      </c>
      <c r="D2981" t="str">
        <f>VLOOKUP(C2981, '[1]VLOOKUP 함수용 카테고리'!$A$1:$B$59, 2, 0)</f>
        <v>UNKNOWN</v>
      </c>
      <c r="E2981" t="s">
        <v>334</v>
      </c>
      <c r="F2981" t="s">
        <v>4975</v>
      </c>
    </row>
    <row r="2982" spans="1:6" x14ac:dyDescent="0.3">
      <c r="A2982" t="s">
        <v>4976</v>
      </c>
      <c r="B2982" t="str" cm="1">
        <f t="array" ref="B2982">_xlfn.XLOOKUP(C2982, INDEX([1]!카테고리매핑,,2), INDEX([1]!카테고리매핑,,1), "미등록 카테고리")</f>
        <v>육류/계란</v>
      </c>
      <c r="C2982" t="s">
        <v>34</v>
      </c>
      <c r="D2982" t="str">
        <f>VLOOKUP(C2982, '[1]VLOOKUP 함수용 카테고리'!$A$1:$B$59, 2, 0)</f>
        <v>RAW_MEAT</v>
      </c>
      <c r="E2982" t="s">
        <v>2514</v>
      </c>
      <c r="F2982" t="s">
        <v>1099</v>
      </c>
    </row>
    <row r="2983" spans="1:6" x14ac:dyDescent="0.3">
      <c r="A2983" t="s">
        <v>4977</v>
      </c>
      <c r="B2983" t="str" cm="1">
        <f t="array" ref="B2983">_xlfn.XLOOKUP(C2983, INDEX([1]!카테고리매핑,,2), INDEX([1]!카테고리매핑,,1), "미등록 카테고리")</f>
        <v>간식류</v>
      </c>
      <c r="C2983" t="s">
        <v>11</v>
      </c>
      <c r="D2983" t="str">
        <f>VLOOKUP(C2983, '[1]VLOOKUP 함수용 카테고리'!$A$1:$B$59, 2, 0)</f>
        <v>SNACK</v>
      </c>
      <c r="E2983" t="s">
        <v>1668</v>
      </c>
      <c r="F2983" t="s">
        <v>182</v>
      </c>
    </row>
    <row r="2984" spans="1:6" x14ac:dyDescent="0.3">
      <c r="A2984" t="s">
        <v>4978</v>
      </c>
      <c r="B2984" t="str" cm="1">
        <f t="array" ref="B2984">_xlfn.XLOOKUP(C2984, INDEX([1]!카테고리매핑,,2), INDEX([1]!카테고리매핑,,1), "미등록 카테고리")</f>
        <v>유제품</v>
      </c>
      <c r="C2984" t="s">
        <v>123</v>
      </c>
      <c r="D2984" t="str">
        <f>VLOOKUP(C2984, '[1]VLOOKUP 함수용 카테고리'!$A$1:$B$59, 2, 0)</f>
        <v>DAIRY</v>
      </c>
      <c r="E2984" t="s">
        <v>367</v>
      </c>
      <c r="F2984" t="s">
        <v>350</v>
      </c>
    </row>
    <row r="2985" spans="1:6" x14ac:dyDescent="0.3">
      <c r="A2985" t="s">
        <v>4979</v>
      </c>
      <c r="B2985" t="str" cm="1">
        <f t="array" ref="B2985">_xlfn.XLOOKUP(C2985, INDEX([1]!카테고리매핑,,2), INDEX([1]!카테고리매핑,,1), "미등록 카테고리")</f>
        <v>간편식</v>
      </c>
      <c r="C2985" t="s">
        <v>131</v>
      </c>
      <c r="D2985" t="str">
        <f>VLOOKUP(C2985, '[1]VLOOKUP 함수용 카테고리'!$A$1:$B$59, 2, 0)</f>
        <v>SIMPLE_PROCESSED</v>
      </c>
      <c r="E2985" t="s">
        <v>4980</v>
      </c>
      <c r="F2985" t="s">
        <v>4981</v>
      </c>
    </row>
    <row r="2986" spans="1:6" x14ac:dyDescent="0.3">
      <c r="A2986" t="s">
        <v>4982</v>
      </c>
      <c r="B2986" t="str" cm="1">
        <f t="array" ref="B2986">_xlfn.XLOOKUP(C2986, INDEX([1]!카테고리매핑,,2), INDEX([1]!카테고리매핑,,1), "미등록 카테고리")</f>
        <v>수산물</v>
      </c>
      <c r="C2986" t="s">
        <v>1397</v>
      </c>
      <c r="D2986" t="str">
        <f>VLOOKUP(C2986, '[1]VLOOKUP 함수용 카테고리'!$A$1:$B$59, 2, 0)</f>
        <v>RAW_SEAFOOD</v>
      </c>
      <c r="E2986" t="s">
        <v>3559</v>
      </c>
      <c r="F2986" t="s">
        <v>2986</v>
      </c>
    </row>
    <row r="2987" spans="1:6" x14ac:dyDescent="0.3">
      <c r="A2987" t="s">
        <v>4983</v>
      </c>
      <c r="B2987" t="str" cm="1">
        <f t="array" ref="B2987">_xlfn.XLOOKUP(C2987, INDEX([1]!카테고리매핑,,2), INDEX([1]!카테고리매핑,,1), "미등록 카테고리")</f>
        <v>음료</v>
      </c>
      <c r="C2987" t="s">
        <v>23</v>
      </c>
      <c r="D2987" t="str">
        <f>VLOOKUP(C2987, '[1]VLOOKUP 함수용 카테고리'!$A$1:$B$59, 2, 0)</f>
        <v>BEVERAGE</v>
      </c>
      <c r="E2987" t="s">
        <v>1156</v>
      </c>
      <c r="F2987" t="s">
        <v>306</v>
      </c>
    </row>
    <row r="2988" spans="1:6" x14ac:dyDescent="0.3">
      <c r="A2988" t="s">
        <v>4984</v>
      </c>
      <c r="B2988" t="str" cm="1">
        <f t="array" ref="B2988">_xlfn.XLOOKUP(C2988, INDEX([1]!카테고리매핑,,2), INDEX([1]!카테고리매핑,,1), "미등록 카테고리")</f>
        <v>간편식</v>
      </c>
      <c r="C2988" t="s">
        <v>46</v>
      </c>
      <c r="D2988" t="str">
        <f>VLOOKUP(C2988, '[1]VLOOKUP 함수용 카테고리'!$A$1:$B$59, 2, 0)</f>
        <v>RTC_MEAL</v>
      </c>
      <c r="E2988" t="s">
        <v>46</v>
      </c>
      <c r="F2988" t="s">
        <v>643</v>
      </c>
    </row>
    <row r="2989" spans="1:6" x14ac:dyDescent="0.3">
      <c r="A2989" t="s">
        <v>4985</v>
      </c>
      <c r="B2989" t="str" cm="1">
        <f t="array" ref="B2989">_xlfn.XLOOKUP(C2989, INDEX([1]!카테고리매핑,,2), INDEX([1]!카테고리매핑,,1), "미등록 카테고리")</f>
        <v>육류/계란</v>
      </c>
      <c r="C2989" t="s">
        <v>149</v>
      </c>
      <c r="D2989" t="str">
        <f>VLOOKUP(C2989, '[1]VLOOKUP 함수용 카테고리'!$A$1:$B$59, 2, 0)</f>
        <v>RAW_MEAT</v>
      </c>
      <c r="E2989" t="s">
        <v>573</v>
      </c>
      <c r="F2989" t="s">
        <v>1425</v>
      </c>
    </row>
    <row r="2990" spans="1:6" x14ac:dyDescent="0.3">
      <c r="A2990" t="s">
        <v>4986</v>
      </c>
      <c r="B2990" t="str" cm="1">
        <f t="array" ref="B2990">_xlfn.XLOOKUP(C2990, INDEX([1]!카테고리매핑,,2), INDEX([1]!카테고리매핑,,1), "미등록 카테고리")</f>
        <v>상온식품</v>
      </c>
      <c r="C2990" t="s">
        <v>769</v>
      </c>
      <c r="D2990" t="str">
        <f>VLOOKUP(C2990, '[1]VLOOKUP 함수용 카테고리'!$A$1:$B$59, 2, 0)</f>
        <v>GRAIN</v>
      </c>
      <c r="E2990" t="s">
        <v>770</v>
      </c>
      <c r="F2990" t="s">
        <v>4987</v>
      </c>
    </row>
    <row r="2991" spans="1:6" x14ac:dyDescent="0.3">
      <c r="A2991" t="s">
        <v>4988</v>
      </c>
      <c r="B2991" t="str" cm="1">
        <f t="array" ref="B2991">_xlfn.XLOOKUP(C2991, INDEX([1]!카테고리매핑,,2), INDEX([1]!카테고리매핑,,1), "미등록 카테고리")</f>
        <v>유제품</v>
      </c>
      <c r="C2991" t="s">
        <v>98</v>
      </c>
      <c r="D2991" t="str">
        <f>VLOOKUP(C2991, '[1]VLOOKUP 함수용 카테고리'!$A$1:$B$59, 2, 0)</f>
        <v>DAIRY</v>
      </c>
      <c r="E2991" t="s">
        <v>4989</v>
      </c>
      <c r="F2991" t="s">
        <v>2410</v>
      </c>
    </row>
    <row r="2992" spans="1:6" x14ac:dyDescent="0.3">
      <c r="A2992" t="s">
        <v>4990</v>
      </c>
      <c r="B2992" t="str" cm="1">
        <f t="array" ref="B2992">_xlfn.XLOOKUP(C2992, INDEX([1]!카테고리매핑,,2), INDEX([1]!카테고리매핑,,1), "미등록 카테고리")</f>
        <v>유제품</v>
      </c>
      <c r="C2992" t="s">
        <v>211</v>
      </c>
      <c r="D2992" t="str">
        <f>VLOOKUP(C2992, '[1]VLOOKUP 함수용 카테고리'!$A$1:$B$59, 2, 0)</f>
        <v>DAIRY</v>
      </c>
      <c r="E2992" t="s">
        <v>211</v>
      </c>
      <c r="F2992" t="s">
        <v>156</v>
      </c>
    </row>
    <row r="2993" spans="1:6" x14ac:dyDescent="0.3">
      <c r="A2993" t="s">
        <v>4991</v>
      </c>
      <c r="B2993" t="str" cm="1">
        <f t="array" ref="B2993">_xlfn.XLOOKUP(C2993, INDEX([1]!카테고리매핑,,2), INDEX([1]!카테고리매핑,,1), "미등록 카테고리")</f>
        <v>간식류</v>
      </c>
      <c r="C2993" t="s">
        <v>15</v>
      </c>
      <c r="D2993" t="str">
        <f>VLOOKUP(C2993, '[1]VLOOKUP 함수용 카테고리'!$A$1:$B$59, 2, 0)</f>
        <v>BAKERY</v>
      </c>
      <c r="E2993" t="s">
        <v>4152</v>
      </c>
      <c r="F2993" t="s">
        <v>17</v>
      </c>
    </row>
    <row r="2994" spans="1:6" x14ac:dyDescent="0.3">
      <c r="A2994" t="s">
        <v>4992</v>
      </c>
      <c r="B2994" t="str" cm="1">
        <f t="array" ref="B2994">_xlfn.XLOOKUP(C2994, INDEX([1]!카테고리매핑,,2), INDEX([1]!카테고리매핑,,1), "미등록 카테고리")</f>
        <v>유제품</v>
      </c>
      <c r="C2994" t="s">
        <v>98</v>
      </c>
      <c r="D2994" t="str">
        <f>VLOOKUP(C2994, '[1]VLOOKUP 함수용 카테고리'!$A$1:$B$59, 2, 0)</f>
        <v>DAIRY</v>
      </c>
      <c r="E2994" t="s">
        <v>4993</v>
      </c>
      <c r="F2994" t="s">
        <v>4375</v>
      </c>
    </row>
    <row r="2995" spans="1:6" x14ac:dyDescent="0.3">
      <c r="A2995" t="s">
        <v>4994</v>
      </c>
      <c r="B2995" t="str" cm="1">
        <f t="array" ref="B2995">_xlfn.XLOOKUP(C2995, INDEX([1]!카테고리매핑,,2), INDEX([1]!카테고리매핑,,1), "미등록 카테고리")</f>
        <v>유제품</v>
      </c>
      <c r="C2995" t="s">
        <v>123</v>
      </c>
      <c r="D2995" t="str">
        <f>VLOOKUP(C2995, '[1]VLOOKUP 함수용 카테고리'!$A$1:$B$59, 2, 0)</f>
        <v>DAIRY</v>
      </c>
      <c r="E2995" t="s">
        <v>190</v>
      </c>
      <c r="F2995" t="s">
        <v>193</v>
      </c>
    </row>
    <row r="2996" spans="1:6" x14ac:dyDescent="0.3">
      <c r="A2996" t="s">
        <v>4995</v>
      </c>
      <c r="B2996" t="str" cm="1">
        <f t="array" ref="B2996">_xlfn.XLOOKUP(C2996, INDEX([1]!카테고리매핑,,2), INDEX([1]!카테고리매핑,,1), "미등록 카테고리")</f>
        <v>유제품</v>
      </c>
      <c r="C2996" t="s">
        <v>211</v>
      </c>
      <c r="D2996" t="str">
        <f>VLOOKUP(C2996, '[1]VLOOKUP 함수용 카테고리'!$A$1:$B$59, 2, 0)</f>
        <v>DAIRY</v>
      </c>
      <c r="E2996" t="s">
        <v>211</v>
      </c>
      <c r="F2996" t="s">
        <v>2950</v>
      </c>
    </row>
    <row r="2997" spans="1:6" x14ac:dyDescent="0.3">
      <c r="A2997" t="s">
        <v>4996</v>
      </c>
      <c r="B2997" t="str" cm="1">
        <f t="array" ref="B2997">_xlfn.XLOOKUP(C2997, INDEX([1]!카테고리매핑,,2), INDEX([1]!카테고리매핑,,1), "미등록 카테고리")</f>
        <v>술</v>
      </c>
      <c r="C2997" t="s">
        <v>42</v>
      </c>
      <c r="D2997" t="str">
        <f>VLOOKUP(C2997, '[1]VLOOKUP 함수용 카테고리'!$A$1:$B$59, 2, 0)</f>
        <v>ALCOHOL</v>
      </c>
      <c r="E2997" t="s">
        <v>1074</v>
      </c>
    </row>
    <row r="2998" spans="1:6" x14ac:dyDescent="0.3">
      <c r="A2998" t="s">
        <v>4997</v>
      </c>
      <c r="B2998" t="str" cm="1">
        <f t="array" ref="B2998">_xlfn.XLOOKUP(C2998, INDEX([1]!카테고리매핑,,2), INDEX([1]!카테고리매핑,,1), "미등록 카테고리")</f>
        <v>미등록 카테고리</v>
      </c>
      <c r="C2998" t="s">
        <v>334</v>
      </c>
      <c r="D2998" t="str">
        <f>VLOOKUP(C2998, '[1]VLOOKUP 함수용 카테고리'!$A$1:$B$59, 2, 0)</f>
        <v>UNKNOWN</v>
      </c>
      <c r="E2998" t="s">
        <v>334</v>
      </c>
      <c r="F2998" t="s">
        <v>2552</v>
      </c>
    </row>
    <row r="2999" spans="1:6" x14ac:dyDescent="0.3">
      <c r="A2999" t="s">
        <v>4998</v>
      </c>
      <c r="B2999" t="str" cm="1">
        <f t="array" ref="B2999">_xlfn.XLOOKUP(C2999, INDEX([1]!카테고리매핑,,2), INDEX([1]!카테고리매핑,,1), "미등록 카테고리")</f>
        <v>채소/곡물류</v>
      </c>
      <c r="C2999" t="s">
        <v>27</v>
      </c>
      <c r="D2999" t="str">
        <f>VLOOKUP(C2999, '[1]VLOOKUP 함수용 카테고리'!$A$1:$B$59, 2, 0)</f>
        <v>SIMPLE_PROCESSED</v>
      </c>
      <c r="E2999" t="s">
        <v>2344</v>
      </c>
      <c r="F2999" t="s">
        <v>303</v>
      </c>
    </row>
    <row r="3000" spans="1:6" x14ac:dyDescent="0.3">
      <c r="A3000" t="s">
        <v>4999</v>
      </c>
      <c r="B3000" t="str" cm="1">
        <f t="array" ref="B3000">_xlfn.XLOOKUP(C3000, INDEX([1]!카테고리매핑,,2), INDEX([1]!카테고리매핑,,1), "미등록 카테고리")</f>
        <v>조미료</v>
      </c>
      <c r="C3000" t="s">
        <v>83</v>
      </c>
      <c r="D3000" t="str">
        <f>VLOOKUP(C3000, '[1]VLOOKUP 함수용 카테고리'!$A$1:$B$59, 2, 0)</f>
        <v>SAUCE_SEASONING</v>
      </c>
      <c r="E3000" t="s">
        <v>1036</v>
      </c>
      <c r="F3000" t="s">
        <v>182</v>
      </c>
    </row>
    <row r="3001" spans="1:6" x14ac:dyDescent="0.3">
      <c r="A3001" t="s">
        <v>5000</v>
      </c>
      <c r="B3001" t="str" cm="1">
        <f t="array" ref="B3001">_xlfn.XLOOKUP(C3001, INDEX([1]!카테고리매핑,,2), INDEX([1]!카테고리매핑,,1), "미등록 카테고리")</f>
        <v>조미료</v>
      </c>
      <c r="C3001" t="s">
        <v>127</v>
      </c>
      <c r="D3001" t="str">
        <f>VLOOKUP(C3001, '[1]VLOOKUP 함수용 카테고리'!$A$1:$B$59, 2, 0)</f>
        <v>SAUCE_SEASONING</v>
      </c>
      <c r="E3001" t="s">
        <v>248</v>
      </c>
      <c r="F3001" t="s">
        <v>5001</v>
      </c>
    </row>
    <row r="3002" spans="1:6" x14ac:dyDescent="0.3">
      <c r="A3002" t="s">
        <v>5002</v>
      </c>
      <c r="B3002" t="str" cm="1">
        <f t="array" ref="B3002">_xlfn.XLOOKUP(C3002, INDEX([1]!카테고리매핑,,2), INDEX([1]!카테고리매핑,,1), "미등록 카테고리")</f>
        <v>간편식</v>
      </c>
      <c r="C3002" t="s">
        <v>256</v>
      </c>
      <c r="D3002" t="str">
        <f>VLOOKUP(C3002, '[1]VLOOKUP 함수용 카테고리'!$A$1:$B$59, 2, 0)</f>
        <v>RTC_MEAL</v>
      </c>
      <c r="E3002" t="s">
        <v>256</v>
      </c>
      <c r="F3002" t="s">
        <v>4951</v>
      </c>
    </row>
    <row r="3003" spans="1:6" x14ac:dyDescent="0.3">
      <c r="A3003" t="s">
        <v>5003</v>
      </c>
      <c r="B3003" t="str" cm="1">
        <f t="array" ref="B3003">_xlfn.XLOOKUP(C3003, INDEX([1]!카테고리매핑,,2), INDEX([1]!카테고리매핑,,1), "미등록 카테고리")</f>
        <v>채소/곡물류</v>
      </c>
      <c r="C3003" t="s">
        <v>7</v>
      </c>
      <c r="D3003" t="str">
        <f>VLOOKUP(C3003, '[1]VLOOKUP 함수용 카테고리'!$A$1:$B$59, 2, 0)</f>
        <v>RAW_PRODUCE</v>
      </c>
      <c r="E3003" t="s">
        <v>3035</v>
      </c>
      <c r="F3003" t="s">
        <v>1193</v>
      </c>
    </row>
    <row r="3004" spans="1:6" x14ac:dyDescent="0.3">
      <c r="A3004" t="s">
        <v>5004</v>
      </c>
      <c r="B3004" t="str" cm="1">
        <f t="array" ref="B3004">_xlfn.XLOOKUP(C3004, INDEX([1]!카테고리매핑,,2), INDEX([1]!카테고리매핑,,1), "미등록 카테고리")</f>
        <v>간식류</v>
      </c>
      <c r="C3004" t="s">
        <v>11</v>
      </c>
      <c r="D3004" t="str">
        <f>VLOOKUP(C3004, '[1]VLOOKUP 함수용 카테고리'!$A$1:$B$59, 2, 0)</f>
        <v>SNACK</v>
      </c>
      <c r="E3004" t="s">
        <v>371</v>
      </c>
      <c r="F3004" t="s">
        <v>5005</v>
      </c>
    </row>
    <row r="3005" spans="1:6" x14ac:dyDescent="0.3">
      <c r="A3005" t="s">
        <v>5006</v>
      </c>
      <c r="B3005" t="str" cm="1">
        <f t="array" ref="B3005">_xlfn.XLOOKUP(C3005, INDEX([1]!카테고리매핑,,2), INDEX([1]!카테고리매핑,,1), "미등록 카테고리")</f>
        <v>유제품</v>
      </c>
      <c r="C3005" t="s">
        <v>123</v>
      </c>
      <c r="D3005" t="str">
        <f>VLOOKUP(C3005, '[1]VLOOKUP 함수용 카테고리'!$A$1:$B$59, 2, 0)</f>
        <v>DAIRY</v>
      </c>
      <c r="E3005" t="s">
        <v>239</v>
      </c>
      <c r="F3005" t="s">
        <v>240</v>
      </c>
    </row>
    <row r="3006" spans="1:6" x14ac:dyDescent="0.3">
      <c r="A3006" t="s">
        <v>5007</v>
      </c>
      <c r="B3006" t="str" cm="1">
        <f t="array" ref="B3006">_xlfn.XLOOKUP(C3006, INDEX([1]!카테고리매핑,,2), INDEX([1]!카테고리매핑,,1), "미등록 카테고리")</f>
        <v>간식류</v>
      </c>
      <c r="C3006" t="s">
        <v>15</v>
      </c>
      <c r="D3006" t="str">
        <f>VLOOKUP(C3006, '[1]VLOOKUP 함수용 카테고리'!$A$1:$B$59, 2, 0)</f>
        <v>BAKERY</v>
      </c>
      <c r="E3006" t="s">
        <v>53</v>
      </c>
      <c r="F3006" t="s">
        <v>5008</v>
      </c>
    </row>
    <row r="3007" spans="1:6" x14ac:dyDescent="0.3">
      <c r="A3007" t="s">
        <v>5009</v>
      </c>
      <c r="B3007" t="str" cm="1">
        <f t="array" ref="B3007">_xlfn.XLOOKUP(C3007, INDEX([1]!카테고리매핑,,2), INDEX([1]!카테고리매핑,,1), "미등록 카테고리")</f>
        <v>조미료</v>
      </c>
      <c r="C3007" t="s">
        <v>127</v>
      </c>
      <c r="D3007" t="str">
        <f>VLOOKUP(C3007, '[1]VLOOKUP 함수용 카테고리'!$A$1:$B$59, 2, 0)</f>
        <v>SAUCE_SEASONING</v>
      </c>
      <c r="E3007" t="s">
        <v>248</v>
      </c>
      <c r="F3007" t="s">
        <v>5010</v>
      </c>
    </row>
    <row r="3008" spans="1:6" x14ac:dyDescent="0.3">
      <c r="A3008" t="s">
        <v>5011</v>
      </c>
      <c r="B3008" t="str" cm="1">
        <f t="array" ref="B3008">_xlfn.XLOOKUP(C3008, INDEX([1]!카테고리매핑,,2), INDEX([1]!카테고리매핑,,1), "미등록 카테고리")</f>
        <v>음료</v>
      </c>
      <c r="C3008" t="s">
        <v>23</v>
      </c>
      <c r="D3008" t="str">
        <f>VLOOKUP(C3008, '[1]VLOOKUP 함수용 카테고리'!$A$1:$B$59, 2, 0)</f>
        <v>BEVERAGE</v>
      </c>
      <c r="E3008" t="s">
        <v>5012</v>
      </c>
      <c r="F3008" t="s">
        <v>5013</v>
      </c>
    </row>
    <row r="3009" spans="1:6" x14ac:dyDescent="0.3">
      <c r="A3009" t="s">
        <v>5014</v>
      </c>
      <c r="B3009" t="str" cm="1">
        <f t="array" ref="B3009">_xlfn.XLOOKUP(C3009, INDEX([1]!카테고리매핑,,2), INDEX([1]!카테고리매핑,,1), "미등록 카테고리")</f>
        <v>간편식</v>
      </c>
      <c r="C3009" t="s">
        <v>19</v>
      </c>
      <c r="D3009" t="str">
        <f>VLOOKUP(C3009, '[1]VLOOKUP 함수용 카테고리'!$A$1:$B$59, 2, 0)</f>
        <v>FROZEN_MEAL</v>
      </c>
      <c r="E3009" t="s">
        <v>245</v>
      </c>
      <c r="F3009" t="s">
        <v>7845</v>
      </c>
    </row>
    <row r="3010" spans="1:6" x14ac:dyDescent="0.3">
      <c r="A3010" t="s">
        <v>5015</v>
      </c>
      <c r="B3010" t="str" cm="1">
        <f t="array" ref="B3010">_xlfn.XLOOKUP(C3010, INDEX([1]!카테고리매핑,,2), INDEX([1]!카테고리매핑,,1), "미등록 카테고리")</f>
        <v>조미료</v>
      </c>
      <c r="C3010" t="s">
        <v>117</v>
      </c>
      <c r="D3010" t="str">
        <f>VLOOKUP(C3010, '[1]VLOOKUP 함수용 카테고리'!$A$1:$B$59, 2, 0)</f>
        <v>SAUCE_SEASONING</v>
      </c>
      <c r="E3010" t="s">
        <v>118</v>
      </c>
      <c r="F3010" t="s">
        <v>5016</v>
      </c>
    </row>
    <row r="3011" spans="1:6" x14ac:dyDescent="0.3">
      <c r="A3011" t="s">
        <v>5017</v>
      </c>
      <c r="B3011" t="str" cm="1">
        <f t="array" ref="B3011">_xlfn.XLOOKUP(C3011, INDEX([1]!카테고리매핑,,2), INDEX([1]!카테고리매핑,,1), "미등록 카테고리")</f>
        <v>음료</v>
      </c>
      <c r="C3011" t="s">
        <v>23</v>
      </c>
      <c r="D3011" t="str">
        <f>VLOOKUP(C3011, '[1]VLOOKUP 함수용 카테고리'!$A$1:$B$59, 2, 0)</f>
        <v>BEVERAGE</v>
      </c>
      <c r="E3011" t="s">
        <v>355</v>
      </c>
      <c r="F3011" t="s">
        <v>356</v>
      </c>
    </row>
    <row r="3012" spans="1:6" x14ac:dyDescent="0.3">
      <c r="A3012" t="s">
        <v>5018</v>
      </c>
      <c r="B3012" t="str" cm="1">
        <f t="array" ref="B3012">_xlfn.XLOOKUP(C3012, INDEX([1]!카테고리매핑,,2), INDEX([1]!카테고리매핑,,1), "미등록 카테고리")</f>
        <v>미등록 카테고리</v>
      </c>
      <c r="C3012" t="s">
        <v>334</v>
      </c>
      <c r="D3012" t="str">
        <f>VLOOKUP(C3012, '[1]VLOOKUP 함수용 카테고리'!$A$1:$B$59, 2, 0)</f>
        <v>UNKNOWN</v>
      </c>
      <c r="E3012" t="s">
        <v>334</v>
      </c>
      <c r="F3012" t="s">
        <v>2552</v>
      </c>
    </row>
    <row r="3013" spans="1:6" x14ac:dyDescent="0.3">
      <c r="A3013" t="s">
        <v>5019</v>
      </c>
      <c r="B3013" t="str" cm="1">
        <f t="array" ref="B3013">_xlfn.XLOOKUP(C3013, INDEX([1]!카테고리매핑,,2), INDEX([1]!카테고리매핑,,1), "미등록 카테고리")</f>
        <v>간편식</v>
      </c>
      <c r="C3013" t="s">
        <v>46</v>
      </c>
      <c r="D3013" t="str">
        <f>VLOOKUP(C3013, '[1]VLOOKUP 함수용 카테고리'!$A$1:$B$59, 2, 0)</f>
        <v>RTC_MEAL</v>
      </c>
      <c r="E3013" t="s">
        <v>46</v>
      </c>
      <c r="F3013" t="s">
        <v>5020</v>
      </c>
    </row>
    <row r="3014" spans="1:6" x14ac:dyDescent="0.3">
      <c r="A3014" t="s">
        <v>5021</v>
      </c>
      <c r="B3014" t="str" cm="1">
        <f t="array" ref="B3014">_xlfn.XLOOKUP(C3014, INDEX([1]!카테고리매핑,,2), INDEX([1]!카테고리매핑,,1), "미등록 카테고리")</f>
        <v>유제품</v>
      </c>
      <c r="C3014" t="s">
        <v>98</v>
      </c>
      <c r="D3014" t="str">
        <f>VLOOKUP(C3014, '[1]VLOOKUP 함수용 카테고리'!$A$1:$B$59, 2, 0)</f>
        <v>DAIRY</v>
      </c>
      <c r="E3014" t="s">
        <v>98</v>
      </c>
      <c r="F3014" t="s">
        <v>3911</v>
      </c>
    </row>
    <row r="3015" spans="1:6" x14ac:dyDescent="0.3">
      <c r="A3015" t="s">
        <v>5022</v>
      </c>
      <c r="B3015" t="str" cm="1">
        <f t="array" ref="B3015">_xlfn.XLOOKUP(C3015, INDEX([1]!카테고리매핑,,2), INDEX([1]!카테고리매핑,,1), "미등록 카테고리")</f>
        <v>채소/곡물류</v>
      </c>
      <c r="C3015" t="s">
        <v>7</v>
      </c>
      <c r="D3015" t="str">
        <f>VLOOKUP(C3015, '[1]VLOOKUP 함수용 카테고리'!$A$1:$B$59, 2, 0)</f>
        <v>RAW_PRODUCE</v>
      </c>
      <c r="E3015" t="s">
        <v>1898</v>
      </c>
      <c r="F3015" t="s">
        <v>3985</v>
      </c>
    </row>
    <row r="3016" spans="1:6" x14ac:dyDescent="0.3">
      <c r="A3016" t="s">
        <v>5023</v>
      </c>
      <c r="B3016" t="str" cm="1">
        <f t="array" ref="B3016">_xlfn.XLOOKUP(C3016, INDEX([1]!카테고리매핑,,2), INDEX([1]!카테고리매핑,,1), "미등록 카테고리")</f>
        <v>유제품</v>
      </c>
      <c r="C3016" t="s">
        <v>123</v>
      </c>
      <c r="D3016" t="str">
        <f>VLOOKUP(C3016, '[1]VLOOKUP 함수용 카테고리'!$A$1:$B$59, 2, 0)</f>
        <v>DAIRY</v>
      </c>
      <c r="E3016" t="s">
        <v>190</v>
      </c>
      <c r="F3016" t="s">
        <v>623</v>
      </c>
    </row>
    <row r="3017" spans="1:6" x14ac:dyDescent="0.3">
      <c r="A3017" t="s">
        <v>5024</v>
      </c>
      <c r="B3017" t="str" cm="1">
        <f t="array" ref="B3017">_xlfn.XLOOKUP(C3017, INDEX([1]!카테고리매핑,,2), INDEX([1]!카테고리매핑,,1), "미등록 카테고리")</f>
        <v>음료</v>
      </c>
      <c r="C3017" t="s">
        <v>708</v>
      </c>
      <c r="D3017" t="str">
        <f>VLOOKUP(C3017, '[1]VLOOKUP 함수용 카테고리'!$A$1:$B$59, 2, 0)</f>
        <v>BEVERAGE</v>
      </c>
      <c r="E3017" t="s">
        <v>708</v>
      </c>
      <c r="F3017" t="s">
        <v>709</v>
      </c>
    </row>
    <row r="3018" spans="1:6" x14ac:dyDescent="0.3">
      <c r="A3018" t="s">
        <v>5025</v>
      </c>
      <c r="B3018" t="str" cm="1">
        <f t="array" ref="B3018">_xlfn.XLOOKUP(C3018, INDEX([1]!카테고리매핑,,2), INDEX([1]!카테고리매핑,,1), "미등록 카테고리")</f>
        <v>간식류</v>
      </c>
      <c r="C3018" t="s">
        <v>15</v>
      </c>
      <c r="D3018" t="str">
        <f>VLOOKUP(C3018, '[1]VLOOKUP 함수용 카테고리'!$A$1:$B$59, 2, 0)</f>
        <v>BAKERY</v>
      </c>
      <c r="E3018" t="s">
        <v>1011</v>
      </c>
      <c r="F3018" t="s">
        <v>7788</v>
      </c>
    </row>
    <row r="3019" spans="1:6" x14ac:dyDescent="0.3">
      <c r="A3019" t="s">
        <v>5026</v>
      </c>
      <c r="B3019" t="str" cm="1">
        <f t="array" ref="B3019">_xlfn.XLOOKUP(C3019, INDEX([1]!카테고리매핑,,2), INDEX([1]!카테고리매핑,,1), "미등록 카테고리")</f>
        <v>미등록 카테고리</v>
      </c>
      <c r="C3019" t="s">
        <v>334</v>
      </c>
      <c r="D3019" t="str">
        <f>VLOOKUP(C3019, '[1]VLOOKUP 함수용 카테고리'!$A$1:$B$59, 2, 0)</f>
        <v>UNKNOWN</v>
      </c>
      <c r="E3019" t="s">
        <v>334</v>
      </c>
      <c r="F3019" t="s">
        <v>7789</v>
      </c>
    </row>
    <row r="3020" spans="1:6" x14ac:dyDescent="0.3">
      <c r="A3020" t="s">
        <v>5027</v>
      </c>
      <c r="B3020" t="str" cm="1">
        <f t="array" ref="B3020">_xlfn.XLOOKUP(C3020, INDEX([1]!카테고리매핑,,2), INDEX([1]!카테고리매핑,,1), "미등록 카테고리")</f>
        <v>조미료</v>
      </c>
      <c r="C3020" t="s">
        <v>127</v>
      </c>
      <c r="D3020" t="str">
        <f>VLOOKUP(C3020, '[1]VLOOKUP 함수용 카테고리'!$A$1:$B$59, 2, 0)</f>
        <v>SAUCE_SEASONING</v>
      </c>
      <c r="E3020" t="s">
        <v>248</v>
      </c>
      <c r="F3020" t="s">
        <v>7777</v>
      </c>
    </row>
    <row r="3021" spans="1:6" x14ac:dyDescent="0.3">
      <c r="A3021" t="s">
        <v>5028</v>
      </c>
      <c r="B3021" t="str" cm="1">
        <f t="array" ref="B3021">_xlfn.XLOOKUP(C3021, INDEX([1]!카테고리매핑,,2), INDEX([1]!카테고리매핑,,1), "미등록 카테고리")</f>
        <v>과일/견과류</v>
      </c>
      <c r="C3021" t="s">
        <v>5029</v>
      </c>
      <c r="D3021" t="str">
        <f>VLOOKUP(C3021, '[1]VLOOKUP 함수용 카테고리'!$A$1:$B$59, 2, 0)</f>
        <v>SIMPLE_PROCESSED</v>
      </c>
      <c r="E3021" t="s">
        <v>5030</v>
      </c>
      <c r="F3021" t="s">
        <v>5031</v>
      </c>
    </row>
    <row r="3022" spans="1:6" x14ac:dyDescent="0.3">
      <c r="A3022" t="s">
        <v>5032</v>
      </c>
      <c r="B3022" t="str" cm="1">
        <f t="array" ref="B3022">_xlfn.XLOOKUP(C3022, INDEX([1]!카테고리매핑,,2), INDEX([1]!카테고리매핑,,1), "미등록 카테고리")</f>
        <v>육류/계란</v>
      </c>
      <c r="C3022" t="s">
        <v>34</v>
      </c>
      <c r="D3022" t="str">
        <f>VLOOKUP(C3022, '[1]VLOOKUP 함수용 카테고리'!$A$1:$B$59, 2, 0)</f>
        <v>RAW_MEAT</v>
      </c>
      <c r="E3022" t="s">
        <v>35</v>
      </c>
      <c r="F3022" t="s">
        <v>663</v>
      </c>
    </row>
    <row r="3023" spans="1:6" x14ac:dyDescent="0.3">
      <c r="A3023" t="s">
        <v>5033</v>
      </c>
      <c r="B3023" t="str" cm="1">
        <f t="array" ref="B3023">_xlfn.XLOOKUP(C3023, INDEX([1]!카테고리매핑,,2), INDEX([1]!카테고리매핑,,1), "미등록 카테고리")</f>
        <v>간식류</v>
      </c>
      <c r="C3023" t="s">
        <v>11</v>
      </c>
      <c r="D3023" t="str">
        <f>VLOOKUP(C3023, '[1]VLOOKUP 함수용 카테고리'!$A$1:$B$59, 2, 0)</f>
        <v>SNACK</v>
      </c>
      <c r="E3023" t="s">
        <v>5034</v>
      </c>
      <c r="F3023" t="s">
        <v>5035</v>
      </c>
    </row>
    <row r="3024" spans="1:6" x14ac:dyDescent="0.3">
      <c r="A3024" t="s">
        <v>5036</v>
      </c>
      <c r="B3024" t="str" cm="1">
        <f t="array" ref="B3024">_xlfn.XLOOKUP(C3024, INDEX([1]!카테고리매핑,,2), INDEX([1]!카테고리매핑,,1), "미등록 카테고리")</f>
        <v>채소/곡물류</v>
      </c>
      <c r="C3024" t="s">
        <v>164</v>
      </c>
      <c r="D3024" t="str">
        <f>VLOOKUP(C3024, '[1]VLOOKUP 함수용 카테고리'!$A$1:$B$59, 2, 0)</f>
        <v>RAW_PRODUCE</v>
      </c>
      <c r="E3024" t="s">
        <v>165</v>
      </c>
      <c r="F3024" t="s">
        <v>332</v>
      </c>
    </row>
    <row r="3025" spans="1:6" x14ac:dyDescent="0.3">
      <c r="A3025" t="s">
        <v>5037</v>
      </c>
      <c r="B3025" t="str" cm="1">
        <f t="array" ref="B3025">_xlfn.XLOOKUP(C3025, INDEX([1]!카테고리매핑,,2), INDEX([1]!카테고리매핑,,1), "미등록 카테고리")</f>
        <v>육류/계란</v>
      </c>
      <c r="C3025" t="s">
        <v>105</v>
      </c>
      <c r="D3025" t="str">
        <f>VLOOKUP(C3025, '[1]VLOOKUP 함수용 카테고리'!$A$1:$B$59, 2, 0)</f>
        <v>RAW_MEAT</v>
      </c>
      <c r="E3025" t="s">
        <v>294</v>
      </c>
      <c r="F3025" t="s">
        <v>5038</v>
      </c>
    </row>
    <row r="3026" spans="1:6" x14ac:dyDescent="0.3">
      <c r="A3026" t="s">
        <v>5039</v>
      </c>
      <c r="B3026" t="str" cm="1">
        <f t="array" ref="B3026">_xlfn.XLOOKUP(C3026, INDEX([1]!카테고리매핑,,2), INDEX([1]!카테고리매핑,,1), "미등록 카테고리")</f>
        <v>상온식품</v>
      </c>
      <c r="C3026" t="s">
        <v>276</v>
      </c>
      <c r="D3026" t="str">
        <f>VLOOKUP(C3026, '[1]VLOOKUP 함수용 카테고리'!$A$1:$B$59, 2, 0)</f>
        <v>DRIED_SEAFOOD</v>
      </c>
      <c r="E3026" t="s">
        <v>277</v>
      </c>
      <c r="F3026" t="s">
        <v>1076</v>
      </c>
    </row>
    <row r="3027" spans="1:6" x14ac:dyDescent="0.3">
      <c r="A3027" t="s">
        <v>5040</v>
      </c>
      <c r="B3027" t="str" cm="1">
        <f t="array" ref="B3027">_xlfn.XLOOKUP(C3027, INDEX([1]!카테고리매핑,,2), INDEX([1]!카테고리매핑,,1), "미등록 카테고리")</f>
        <v>육류/계란</v>
      </c>
      <c r="C3027" t="s">
        <v>34</v>
      </c>
      <c r="D3027" t="str">
        <f>VLOOKUP(C3027, '[1]VLOOKUP 함수용 카테고리'!$A$1:$B$59, 2, 0)</f>
        <v>RAW_MEAT</v>
      </c>
      <c r="E3027" t="s">
        <v>2514</v>
      </c>
      <c r="F3027" t="s">
        <v>916</v>
      </c>
    </row>
    <row r="3028" spans="1:6" x14ac:dyDescent="0.3">
      <c r="A3028" t="s">
        <v>5041</v>
      </c>
      <c r="B3028" t="str" cm="1">
        <f t="array" ref="B3028">_xlfn.XLOOKUP(C3028, INDEX([1]!카테고리매핑,,2), INDEX([1]!카테고리매핑,,1), "미등록 카테고리")</f>
        <v>간식류</v>
      </c>
      <c r="C3028" t="s">
        <v>11</v>
      </c>
      <c r="D3028" t="str">
        <f>VLOOKUP(C3028, '[1]VLOOKUP 함수용 카테고리'!$A$1:$B$59, 2, 0)</f>
        <v>SNACK</v>
      </c>
      <c r="E3028" t="s">
        <v>521</v>
      </c>
      <c r="F3028" t="s">
        <v>3908</v>
      </c>
    </row>
    <row r="3029" spans="1:6" x14ac:dyDescent="0.3">
      <c r="A3029" t="s">
        <v>5042</v>
      </c>
      <c r="B3029" t="str" cm="1">
        <f t="array" ref="B3029">_xlfn.XLOOKUP(C3029, INDEX([1]!카테고리매핑,,2), INDEX([1]!카테고리매핑,,1), "미등록 카테고리")</f>
        <v>간식류</v>
      </c>
      <c r="C3029" t="s">
        <v>15</v>
      </c>
      <c r="D3029" t="str">
        <f>VLOOKUP(C3029, '[1]VLOOKUP 함수용 카테고리'!$A$1:$B$59, 2, 0)</f>
        <v>BAKERY</v>
      </c>
      <c r="E3029" t="s">
        <v>16</v>
      </c>
      <c r="F3029" t="s">
        <v>17</v>
      </c>
    </row>
    <row r="3030" spans="1:6" x14ac:dyDescent="0.3">
      <c r="A3030" t="s">
        <v>5043</v>
      </c>
      <c r="B3030" t="str" cm="1">
        <f t="array" ref="B3030">_xlfn.XLOOKUP(C3030, INDEX([1]!카테고리매핑,,2), INDEX([1]!카테고리매핑,,1), "미등록 카테고리")</f>
        <v>유제품</v>
      </c>
      <c r="C3030" t="s">
        <v>211</v>
      </c>
      <c r="D3030" t="str">
        <f>VLOOKUP(C3030, '[1]VLOOKUP 함수용 카테고리'!$A$1:$B$59, 2, 0)</f>
        <v>DAIRY</v>
      </c>
      <c r="E3030" t="s">
        <v>212</v>
      </c>
      <c r="F3030" t="s">
        <v>475</v>
      </c>
    </row>
    <row r="3031" spans="1:6" x14ac:dyDescent="0.3">
      <c r="A3031" t="s">
        <v>5044</v>
      </c>
      <c r="B3031" t="str" cm="1">
        <f t="array" ref="B3031">_xlfn.XLOOKUP(C3031, INDEX([1]!카테고리매핑,,2), INDEX([1]!카테고리매핑,,1), "미등록 카테고리")</f>
        <v>간편식</v>
      </c>
      <c r="C3031" t="s">
        <v>131</v>
      </c>
      <c r="D3031" t="str">
        <f>VLOOKUP(C3031, '[1]VLOOKUP 함수용 카테고리'!$A$1:$B$59, 2, 0)</f>
        <v>SIMPLE_PROCESSED</v>
      </c>
      <c r="E3031" t="s">
        <v>4980</v>
      </c>
      <c r="F3031" t="s">
        <v>1802</v>
      </c>
    </row>
    <row r="3032" spans="1:6" x14ac:dyDescent="0.3">
      <c r="A3032" t="s">
        <v>5045</v>
      </c>
      <c r="B3032" t="str" cm="1">
        <f t="array" ref="B3032">_xlfn.XLOOKUP(C3032, INDEX([1]!카테고리매핑,,2), INDEX([1]!카테고리매핑,,1), "미등록 카테고리")</f>
        <v>채소/곡물류</v>
      </c>
      <c r="C3032" t="s">
        <v>7</v>
      </c>
      <c r="D3032" t="str">
        <f>VLOOKUP(C3032, '[1]VLOOKUP 함수용 카테고리'!$A$1:$B$59, 2, 0)</f>
        <v>RAW_PRODUCE</v>
      </c>
      <c r="E3032" t="s">
        <v>743</v>
      </c>
    </row>
    <row r="3033" spans="1:6" x14ac:dyDescent="0.3">
      <c r="A3033" t="s">
        <v>5046</v>
      </c>
      <c r="B3033" t="str" cm="1">
        <f t="array" ref="B3033">_xlfn.XLOOKUP(C3033, INDEX([1]!카테고리매핑,,2), INDEX([1]!카테고리매핑,,1), "미등록 카테고리")</f>
        <v>간식류</v>
      </c>
      <c r="C3033" t="s">
        <v>15</v>
      </c>
      <c r="D3033" t="str">
        <f>VLOOKUP(C3033, '[1]VLOOKUP 함수용 카테고리'!$A$1:$B$59, 2, 0)</f>
        <v>BAKERY</v>
      </c>
      <c r="E3033" t="s">
        <v>16</v>
      </c>
      <c r="F3033" t="s">
        <v>17</v>
      </c>
    </row>
    <row r="3034" spans="1:6" x14ac:dyDescent="0.3">
      <c r="A3034" t="s">
        <v>5047</v>
      </c>
      <c r="B3034" t="str" cm="1">
        <f t="array" ref="B3034">_xlfn.XLOOKUP(C3034, INDEX([1]!카테고리매핑,,2), INDEX([1]!카테고리매핑,,1), "미등록 카테고리")</f>
        <v>간식류</v>
      </c>
      <c r="C3034" t="s">
        <v>63</v>
      </c>
      <c r="D3034" t="str">
        <f>VLOOKUP(C3034, '[1]VLOOKUP 함수용 카테고리'!$A$1:$B$59, 2, 0)</f>
        <v>BAKERY</v>
      </c>
      <c r="E3034" t="s">
        <v>1594</v>
      </c>
      <c r="F3034" t="s">
        <v>5048</v>
      </c>
    </row>
    <row r="3035" spans="1:6" x14ac:dyDescent="0.3">
      <c r="A3035" t="s">
        <v>5049</v>
      </c>
      <c r="B3035" t="str" cm="1">
        <f t="array" ref="B3035">_xlfn.XLOOKUP(C3035, INDEX([1]!카테고리매핑,,2), INDEX([1]!카테고리매핑,,1), "미등록 카테고리")</f>
        <v>채소/곡물류</v>
      </c>
      <c r="C3035" t="s">
        <v>301</v>
      </c>
      <c r="D3035" t="str">
        <f>VLOOKUP(C3035, '[1]VLOOKUP 함수용 카테고리'!$A$1:$B$59, 2, 0)</f>
        <v>GRAIN</v>
      </c>
      <c r="E3035" t="s">
        <v>611</v>
      </c>
      <c r="F3035" t="s">
        <v>303</v>
      </c>
    </row>
    <row r="3036" spans="1:6" x14ac:dyDescent="0.3">
      <c r="A3036" t="s">
        <v>5050</v>
      </c>
      <c r="B3036" t="str" cm="1">
        <f t="array" ref="B3036">_xlfn.XLOOKUP(C3036, INDEX([1]!카테고리매핑,,2), INDEX([1]!카테고리매핑,,1), "미등록 카테고리")</f>
        <v>유제품</v>
      </c>
      <c r="C3036" t="s">
        <v>123</v>
      </c>
      <c r="D3036" t="str">
        <f>VLOOKUP(C3036, '[1]VLOOKUP 함수용 카테고리'!$A$1:$B$59, 2, 0)</f>
        <v>DAIRY</v>
      </c>
      <c r="E3036" t="s">
        <v>190</v>
      </c>
      <c r="F3036" t="s">
        <v>623</v>
      </c>
    </row>
    <row r="3037" spans="1:6" x14ac:dyDescent="0.3">
      <c r="A3037" t="s">
        <v>5051</v>
      </c>
      <c r="B3037" t="str" cm="1">
        <f t="array" ref="B3037">_xlfn.XLOOKUP(C3037, INDEX([1]!카테고리매핑,,2), INDEX([1]!카테고리매핑,,1), "미등록 카테고리")</f>
        <v>음료</v>
      </c>
      <c r="C3037" t="s">
        <v>708</v>
      </c>
      <c r="D3037" t="str">
        <f>VLOOKUP(C3037, '[1]VLOOKUP 함수용 카테고리'!$A$1:$B$59, 2, 0)</f>
        <v>BEVERAGE</v>
      </c>
      <c r="E3037" t="s">
        <v>708</v>
      </c>
      <c r="F3037" t="s">
        <v>5052</v>
      </c>
    </row>
    <row r="3038" spans="1:6" x14ac:dyDescent="0.3">
      <c r="A3038" t="s">
        <v>5053</v>
      </c>
      <c r="B3038" t="str" cm="1">
        <f t="array" ref="B3038">_xlfn.XLOOKUP(C3038, INDEX([1]!카테고리매핑,,2), INDEX([1]!카테고리매핑,,1), "미등록 카테고리")</f>
        <v>간식류</v>
      </c>
      <c r="C3038" t="s">
        <v>15</v>
      </c>
      <c r="D3038" t="str">
        <f>VLOOKUP(C3038, '[1]VLOOKUP 함수용 카테고리'!$A$1:$B$59, 2, 0)</f>
        <v>BAKERY</v>
      </c>
      <c r="E3038" t="s">
        <v>53</v>
      </c>
      <c r="F3038" t="s">
        <v>5054</v>
      </c>
    </row>
    <row r="3039" spans="1:6" x14ac:dyDescent="0.3">
      <c r="A3039" t="s">
        <v>5055</v>
      </c>
      <c r="B3039" t="str" cm="1">
        <f t="array" ref="B3039">_xlfn.XLOOKUP(C3039, INDEX([1]!카테고리매핑,,2), INDEX([1]!카테고리매핑,,1), "미등록 카테고리")</f>
        <v>유제품</v>
      </c>
      <c r="C3039" t="s">
        <v>123</v>
      </c>
      <c r="D3039" t="str">
        <f>VLOOKUP(C3039, '[1]VLOOKUP 함수용 카테고리'!$A$1:$B$59, 2, 0)</f>
        <v>DAIRY</v>
      </c>
      <c r="E3039" t="s">
        <v>190</v>
      </c>
      <c r="F3039" t="s">
        <v>1663</v>
      </c>
    </row>
    <row r="3040" spans="1:6" x14ac:dyDescent="0.3">
      <c r="A3040" t="s">
        <v>5056</v>
      </c>
      <c r="B3040" t="str" cm="1">
        <f t="array" ref="B3040">_xlfn.XLOOKUP(C3040, INDEX([1]!카테고리매핑,,2), INDEX([1]!카테고리매핑,,1), "미등록 카테고리")</f>
        <v>채소/곡물류</v>
      </c>
      <c r="C3040" t="s">
        <v>7</v>
      </c>
      <c r="D3040" t="str">
        <f>VLOOKUP(C3040, '[1]VLOOKUP 함수용 카테고리'!$A$1:$B$59, 2, 0)</f>
        <v>RAW_PRODUCE</v>
      </c>
      <c r="E3040" t="s">
        <v>2320</v>
      </c>
      <c r="F3040" t="s">
        <v>51</v>
      </c>
    </row>
    <row r="3041" spans="1:6" x14ac:dyDescent="0.3">
      <c r="A3041" t="s">
        <v>5057</v>
      </c>
      <c r="B3041" t="str" cm="1">
        <f t="array" ref="B3041">_xlfn.XLOOKUP(C3041, INDEX([1]!카테고리매핑,,2), INDEX([1]!카테고리매핑,,1), "미등록 카테고리")</f>
        <v>수산물</v>
      </c>
      <c r="C3041" t="s">
        <v>203</v>
      </c>
      <c r="D3041" t="str">
        <f>VLOOKUP(C3041, '[1]VLOOKUP 함수용 카테고리'!$A$1:$B$59, 2, 0)</f>
        <v>RAW_SEAFOOD</v>
      </c>
      <c r="E3041" t="s">
        <v>1801</v>
      </c>
      <c r="F3041" t="s">
        <v>151</v>
      </c>
    </row>
    <row r="3042" spans="1:6" x14ac:dyDescent="0.3">
      <c r="A3042" t="s">
        <v>5058</v>
      </c>
      <c r="B3042" t="str" cm="1">
        <f t="array" ref="B3042">_xlfn.XLOOKUP(C3042, INDEX([1]!카테고리매핑,,2), INDEX([1]!카테고리매핑,,1), "미등록 카테고리")</f>
        <v>조미료</v>
      </c>
      <c r="C3042" t="s">
        <v>127</v>
      </c>
      <c r="D3042" t="str">
        <f>VLOOKUP(C3042, '[1]VLOOKUP 함수용 카테고리'!$A$1:$B$59, 2, 0)</f>
        <v>SAUCE_SEASONING</v>
      </c>
      <c r="E3042" t="s">
        <v>5059</v>
      </c>
      <c r="F3042" t="s">
        <v>129</v>
      </c>
    </row>
    <row r="3043" spans="1:6" x14ac:dyDescent="0.3">
      <c r="A3043" t="s">
        <v>5060</v>
      </c>
      <c r="B3043" t="str" cm="1">
        <f t="array" ref="B3043">_xlfn.XLOOKUP(C3043, INDEX([1]!카테고리매핑,,2), INDEX([1]!카테고리매핑,,1), "미등록 카테고리")</f>
        <v>조미료</v>
      </c>
      <c r="C3043" t="s">
        <v>83</v>
      </c>
      <c r="D3043" t="str">
        <f>VLOOKUP(C3043, '[1]VLOOKUP 함수용 카테고리'!$A$1:$B$59, 2, 0)</f>
        <v>SAUCE_SEASONING</v>
      </c>
      <c r="E3043" t="s">
        <v>5061</v>
      </c>
      <c r="F3043" t="s">
        <v>3555</v>
      </c>
    </row>
    <row r="3044" spans="1:6" x14ac:dyDescent="0.3">
      <c r="A3044" t="s">
        <v>5062</v>
      </c>
      <c r="B3044" t="str" cm="1">
        <f t="array" ref="B3044">_xlfn.XLOOKUP(C3044, INDEX([1]!카테고리매핑,,2), INDEX([1]!카테고리매핑,,1), "미등록 카테고리")</f>
        <v>조미료</v>
      </c>
      <c r="C3044" t="s">
        <v>83</v>
      </c>
      <c r="D3044" t="str">
        <f>VLOOKUP(C3044, '[1]VLOOKUP 함수용 카테고리'!$A$1:$B$59, 2, 0)</f>
        <v>SAUCE_SEASONING</v>
      </c>
      <c r="E3044" t="s">
        <v>5063</v>
      </c>
      <c r="F3044" t="s">
        <v>2372</v>
      </c>
    </row>
    <row r="3045" spans="1:6" x14ac:dyDescent="0.3">
      <c r="A3045" t="s">
        <v>5064</v>
      </c>
      <c r="B3045" t="str" cm="1">
        <f t="array" ref="B3045">_xlfn.XLOOKUP(C3045, INDEX([1]!카테고리매핑,,2), INDEX([1]!카테고리매핑,,1), "미등록 카테고리")</f>
        <v>간편식</v>
      </c>
      <c r="C3045" t="s">
        <v>46</v>
      </c>
      <c r="D3045" t="str">
        <f>VLOOKUP(C3045, '[1]VLOOKUP 함수용 카테고리'!$A$1:$B$59, 2, 0)</f>
        <v>RTC_MEAL</v>
      </c>
      <c r="E3045" t="s">
        <v>46</v>
      </c>
      <c r="F3045" t="s">
        <v>5065</v>
      </c>
    </row>
    <row r="3046" spans="1:6" x14ac:dyDescent="0.3">
      <c r="A3046" t="s">
        <v>5066</v>
      </c>
      <c r="B3046" t="str" cm="1">
        <f t="array" ref="B3046">_xlfn.XLOOKUP(C3046, INDEX([1]!카테고리매핑,,2), INDEX([1]!카테고리매핑,,1), "미등록 카테고리")</f>
        <v>조미료</v>
      </c>
      <c r="C3046" t="s">
        <v>558</v>
      </c>
      <c r="D3046" t="str">
        <f>VLOOKUP(C3046, '[1]VLOOKUP 함수용 카테고리'!$A$1:$B$59, 2, 0)</f>
        <v>SAUCE_SEASONING</v>
      </c>
      <c r="E3046" t="s">
        <v>559</v>
      </c>
      <c r="F3046" t="s">
        <v>5067</v>
      </c>
    </row>
    <row r="3047" spans="1:6" x14ac:dyDescent="0.3">
      <c r="A3047" t="s">
        <v>5068</v>
      </c>
      <c r="B3047" t="str" cm="1">
        <f t="array" ref="B3047">_xlfn.XLOOKUP(C3047, INDEX([1]!카테고리매핑,,2), INDEX([1]!카테고리매핑,,1), "미등록 카테고리")</f>
        <v>상온식품</v>
      </c>
      <c r="C3047" t="s">
        <v>276</v>
      </c>
      <c r="D3047" t="str">
        <f>VLOOKUP(C3047, '[1]VLOOKUP 함수용 카테고리'!$A$1:$B$59, 2, 0)</f>
        <v>DRIED_SEAFOOD</v>
      </c>
      <c r="E3047" t="s">
        <v>277</v>
      </c>
      <c r="F3047" t="s">
        <v>7846</v>
      </c>
    </row>
    <row r="3048" spans="1:6" x14ac:dyDescent="0.3">
      <c r="A3048" t="s">
        <v>5069</v>
      </c>
      <c r="B3048" t="str" cm="1">
        <f t="array" ref="B3048">_xlfn.XLOOKUP(C3048, INDEX([1]!카테고리매핑,,2), INDEX([1]!카테고리매핑,,1), "미등록 카테고리")</f>
        <v>육류/계란</v>
      </c>
      <c r="C3048" t="s">
        <v>105</v>
      </c>
      <c r="D3048" t="str">
        <f>VLOOKUP(C3048, '[1]VLOOKUP 함수용 카테고리'!$A$1:$B$59, 2, 0)</f>
        <v>RAW_MEAT</v>
      </c>
      <c r="E3048" t="s">
        <v>2085</v>
      </c>
    </row>
    <row r="3049" spans="1:6" x14ac:dyDescent="0.3">
      <c r="A3049" t="s">
        <v>5070</v>
      </c>
      <c r="B3049" t="str" cm="1">
        <f t="array" ref="B3049">_xlfn.XLOOKUP(C3049, INDEX([1]!카테고리매핑,,2), INDEX([1]!카테고리매핑,,1), "미등록 카테고리")</f>
        <v>간편식</v>
      </c>
      <c r="C3049" t="s">
        <v>256</v>
      </c>
      <c r="D3049" t="str">
        <f>VLOOKUP(C3049, '[1]VLOOKUP 함수용 카테고리'!$A$1:$B$59, 2, 0)</f>
        <v>RTC_MEAL</v>
      </c>
      <c r="E3049" t="s">
        <v>256</v>
      </c>
      <c r="F3049" t="s">
        <v>5071</v>
      </c>
    </row>
    <row r="3050" spans="1:6" x14ac:dyDescent="0.3">
      <c r="A3050" t="s">
        <v>5072</v>
      </c>
      <c r="B3050" t="str" cm="1">
        <f t="array" ref="B3050">_xlfn.XLOOKUP(C3050, INDEX([1]!카테고리매핑,,2), INDEX([1]!카테고리매핑,,1), "미등록 카테고리")</f>
        <v>음료</v>
      </c>
      <c r="C3050" t="s">
        <v>23</v>
      </c>
      <c r="D3050" t="str">
        <f>VLOOKUP(C3050, '[1]VLOOKUP 함수용 카테고리'!$A$1:$B$59, 2, 0)</f>
        <v>BEVERAGE</v>
      </c>
      <c r="E3050" t="s">
        <v>74</v>
      </c>
    </row>
    <row r="3051" spans="1:6" x14ac:dyDescent="0.3">
      <c r="A3051" t="s">
        <v>5073</v>
      </c>
      <c r="B3051" t="str" cm="1">
        <f t="array" ref="B3051">_xlfn.XLOOKUP(C3051, INDEX([1]!카테고리매핑,,2), INDEX([1]!카테고리매핑,,1), "미등록 카테고리")</f>
        <v>육류/계란</v>
      </c>
      <c r="C3051" t="s">
        <v>149</v>
      </c>
      <c r="D3051" t="str">
        <f>VLOOKUP(C3051, '[1]VLOOKUP 함수용 카테고리'!$A$1:$B$59, 2, 0)</f>
        <v>RAW_MEAT</v>
      </c>
      <c r="E3051" t="s">
        <v>573</v>
      </c>
      <c r="F3051" t="s">
        <v>1006</v>
      </c>
    </row>
    <row r="3052" spans="1:6" x14ac:dyDescent="0.3">
      <c r="A3052" t="s">
        <v>5074</v>
      </c>
      <c r="B3052" t="str" cm="1">
        <f t="array" ref="B3052">_xlfn.XLOOKUP(C3052, INDEX([1]!카테고리매핑,,2), INDEX([1]!카테고리매핑,,1), "미등록 카테고리")</f>
        <v>간식류</v>
      </c>
      <c r="C3052" t="s">
        <v>11</v>
      </c>
      <c r="D3052" t="str">
        <f>VLOOKUP(C3052, '[1]VLOOKUP 함수용 카테고리'!$A$1:$B$59, 2, 0)</f>
        <v>SNACK</v>
      </c>
      <c r="E3052" t="s">
        <v>2851</v>
      </c>
      <c r="F3052" t="s">
        <v>215</v>
      </c>
    </row>
    <row r="3053" spans="1:6" x14ac:dyDescent="0.3">
      <c r="A3053" t="s">
        <v>5075</v>
      </c>
      <c r="B3053" t="str" cm="1">
        <f t="array" ref="B3053">_xlfn.XLOOKUP(C3053, INDEX([1]!카테고리매핑,,2), INDEX([1]!카테고리매핑,,1), "미등록 카테고리")</f>
        <v>채소/곡물류</v>
      </c>
      <c r="C3053" t="s">
        <v>7</v>
      </c>
      <c r="D3053" t="str">
        <f>VLOOKUP(C3053, '[1]VLOOKUP 함수용 카테고리'!$A$1:$B$59, 2, 0)</f>
        <v>RAW_PRODUCE</v>
      </c>
      <c r="E3053" t="s">
        <v>535</v>
      </c>
      <c r="F3053" t="s">
        <v>2174</v>
      </c>
    </row>
    <row r="3054" spans="1:6" x14ac:dyDescent="0.3">
      <c r="A3054" t="s">
        <v>5076</v>
      </c>
      <c r="B3054" t="str" cm="1">
        <f t="array" ref="B3054">_xlfn.XLOOKUP(C3054, INDEX([1]!카테고리매핑,,2), INDEX([1]!카테고리매핑,,1), "미등록 카테고리")</f>
        <v>유제품</v>
      </c>
      <c r="C3054" t="s">
        <v>432</v>
      </c>
      <c r="D3054" t="str">
        <f>VLOOKUP(C3054, '[1]VLOOKUP 함수용 카테고리'!$A$1:$B$59, 2, 0)</f>
        <v>DAIRY</v>
      </c>
      <c r="E3054" t="s">
        <v>4614</v>
      </c>
      <c r="F3054" t="s">
        <v>706</v>
      </c>
    </row>
    <row r="3055" spans="1:6" x14ac:dyDescent="0.3">
      <c r="A3055" t="s">
        <v>5077</v>
      </c>
      <c r="B3055" t="str" cm="1">
        <f t="array" ref="B3055">_xlfn.XLOOKUP(C3055, INDEX([1]!카테고리매핑,,2), INDEX([1]!카테고리매핑,,1), "미등록 카테고리")</f>
        <v>유제품</v>
      </c>
      <c r="C3055" t="s">
        <v>98</v>
      </c>
      <c r="D3055" t="str">
        <f>VLOOKUP(C3055, '[1]VLOOKUP 함수용 카테고리'!$A$1:$B$59, 2, 0)</f>
        <v>DAIRY</v>
      </c>
      <c r="E3055" t="s">
        <v>1358</v>
      </c>
      <c r="F3055" t="s">
        <v>5078</v>
      </c>
    </row>
    <row r="3056" spans="1:6" x14ac:dyDescent="0.3">
      <c r="A3056" t="s">
        <v>5079</v>
      </c>
      <c r="B3056" t="str" cm="1">
        <f t="array" ref="B3056">_xlfn.XLOOKUP(C3056, INDEX([1]!카테고리매핑,,2), INDEX([1]!카테고리매핑,,1), "미등록 카테고리")</f>
        <v>미등록 카테고리</v>
      </c>
      <c r="C3056" t="s">
        <v>334</v>
      </c>
      <c r="D3056" t="str">
        <f>VLOOKUP(C3056, '[1]VLOOKUP 함수용 카테고리'!$A$1:$B$59, 2, 0)</f>
        <v>UNKNOWN</v>
      </c>
      <c r="E3056" t="s">
        <v>334</v>
      </c>
      <c r="F3056" t="s">
        <v>7789</v>
      </c>
    </row>
    <row r="3057" spans="1:6" x14ac:dyDescent="0.3">
      <c r="A3057" t="s">
        <v>5080</v>
      </c>
      <c r="B3057" t="str" cm="1">
        <f t="array" ref="B3057">_xlfn.XLOOKUP(C3057, INDEX([1]!카테고리매핑,,2), INDEX([1]!카테고리매핑,,1), "미등록 카테고리")</f>
        <v>미등록 카테고리</v>
      </c>
      <c r="C3057" t="s">
        <v>334</v>
      </c>
      <c r="D3057" t="str">
        <f>VLOOKUP(C3057, '[1]VLOOKUP 함수용 카테고리'!$A$1:$B$59, 2, 0)</f>
        <v>UNKNOWN</v>
      </c>
      <c r="E3057" t="s">
        <v>334</v>
      </c>
      <c r="F3057" t="s">
        <v>2552</v>
      </c>
    </row>
    <row r="3058" spans="1:6" x14ac:dyDescent="0.3">
      <c r="A3058" t="s">
        <v>5081</v>
      </c>
      <c r="B3058" t="str" cm="1">
        <f t="array" ref="B3058">_xlfn.XLOOKUP(C3058, INDEX([1]!카테고리매핑,,2), INDEX([1]!카테고리매핑,,1), "미등록 카테고리")</f>
        <v>간식류</v>
      </c>
      <c r="C3058" t="s">
        <v>38</v>
      </c>
      <c r="D3058" t="str">
        <f>VLOOKUP(C3058, '[1]VLOOKUP 함수용 카테고리'!$A$1:$B$59, 2, 0)</f>
        <v>SNACK</v>
      </c>
      <c r="E3058" t="s">
        <v>811</v>
      </c>
      <c r="F3058" t="s">
        <v>5082</v>
      </c>
    </row>
    <row r="3059" spans="1:6" x14ac:dyDescent="0.3">
      <c r="A3059" t="s">
        <v>5083</v>
      </c>
      <c r="B3059" t="str" cm="1">
        <f t="array" ref="B3059">_xlfn.XLOOKUP(C3059, INDEX([1]!카테고리매핑,,2), INDEX([1]!카테고리매핑,,1), "미등록 카테고리")</f>
        <v>미등록 카테고리</v>
      </c>
      <c r="C3059" t="s">
        <v>334</v>
      </c>
      <c r="D3059" t="str">
        <f>VLOOKUP(C3059, '[1]VLOOKUP 함수용 카테고리'!$A$1:$B$59, 2, 0)</f>
        <v>UNKNOWN</v>
      </c>
      <c r="E3059" t="s">
        <v>334</v>
      </c>
      <c r="F3059" t="s">
        <v>2552</v>
      </c>
    </row>
    <row r="3060" spans="1:6" x14ac:dyDescent="0.3">
      <c r="A3060" t="s">
        <v>5084</v>
      </c>
      <c r="B3060" t="str" cm="1">
        <f t="array" ref="B3060">_xlfn.XLOOKUP(C3060, INDEX([1]!카테고리매핑,,2), INDEX([1]!카테고리매핑,,1), "미등록 카테고리")</f>
        <v>육류/계란</v>
      </c>
      <c r="C3060" t="s">
        <v>105</v>
      </c>
      <c r="D3060" t="str">
        <f>VLOOKUP(C3060, '[1]VLOOKUP 함수용 카테고리'!$A$1:$B$59, 2, 0)</f>
        <v>RAW_MEAT</v>
      </c>
      <c r="E3060" t="s">
        <v>1109</v>
      </c>
      <c r="F3060" t="s">
        <v>350</v>
      </c>
    </row>
    <row r="3061" spans="1:6" x14ac:dyDescent="0.3">
      <c r="A3061" t="s">
        <v>5085</v>
      </c>
      <c r="B3061" t="str" cm="1">
        <f t="array" ref="B3061">_xlfn.XLOOKUP(C3061, INDEX([1]!카테고리매핑,,2), INDEX([1]!카테고리매핑,,1), "미등록 카테고리")</f>
        <v>간식류</v>
      </c>
      <c r="C3061" t="s">
        <v>11</v>
      </c>
      <c r="D3061" t="str">
        <f>VLOOKUP(C3061, '[1]VLOOKUP 함수용 카테고리'!$A$1:$B$59, 2, 0)</f>
        <v>SNACK</v>
      </c>
      <c r="E3061" t="s">
        <v>5086</v>
      </c>
      <c r="F3061" t="s">
        <v>2049</v>
      </c>
    </row>
    <row r="3062" spans="1:6" x14ac:dyDescent="0.3">
      <c r="A3062" t="s">
        <v>5087</v>
      </c>
      <c r="B3062" t="str" cm="1">
        <f t="array" ref="B3062">_xlfn.XLOOKUP(C3062, INDEX([1]!카테고리매핑,,2), INDEX([1]!카테고리매핑,,1), "미등록 카테고리")</f>
        <v>간식류</v>
      </c>
      <c r="C3062" t="s">
        <v>15</v>
      </c>
      <c r="D3062" t="str">
        <f>VLOOKUP(C3062, '[1]VLOOKUP 함수용 카테고리'!$A$1:$B$59, 2, 0)</f>
        <v>BAKERY</v>
      </c>
      <c r="E3062" t="s">
        <v>200</v>
      </c>
      <c r="F3062" t="s">
        <v>1969</v>
      </c>
    </row>
    <row r="3063" spans="1:6" x14ac:dyDescent="0.3">
      <c r="A3063" t="s">
        <v>5088</v>
      </c>
      <c r="B3063" t="str" cm="1">
        <f t="array" ref="B3063">_xlfn.XLOOKUP(C3063, INDEX([1]!카테고리매핑,,2), INDEX([1]!카테고리매핑,,1), "미등록 카테고리")</f>
        <v>상온식품</v>
      </c>
      <c r="C3063" t="s">
        <v>276</v>
      </c>
      <c r="D3063" t="str">
        <f>VLOOKUP(C3063, '[1]VLOOKUP 함수용 카테고리'!$A$1:$B$59, 2, 0)</f>
        <v>DRIED_SEAFOOD</v>
      </c>
      <c r="E3063" t="s">
        <v>277</v>
      </c>
      <c r="F3063" t="s">
        <v>278</v>
      </c>
    </row>
    <row r="3064" spans="1:6" x14ac:dyDescent="0.3">
      <c r="A3064" t="s">
        <v>5089</v>
      </c>
      <c r="B3064" t="str" cm="1">
        <f t="array" ref="B3064">_xlfn.XLOOKUP(C3064, INDEX([1]!카테고리매핑,,2), INDEX([1]!카테고리매핑,,1), "미등록 카테고리")</f>
        <v>간편식</v>
      </c>
      <c r="C3064" t="s">
        <v>161</v>
      </c>
      <c r="D3064" t="str">
        <f>VLOOKUP(C3064, '[1]VLOOKUP 함수용 카테고리'!$A$1:$B$59, 2, 0)</f>
        <v>RTC_MEAL</v>
      </c>
      <c r="E3064" t="s">
        <v>5090</v>
      </c>
      <c r="F3064" t="s">
        <v>5091</v>
      </c>
    </row>
    <row r="3065" spans="1:6" x14ac:dyDescent="0.3">
      <c r="A3065" t="s">
        <v>5092</v>
      </c>
      <c r="B3065" t="str" cm="1">
        <f t="array" ref="B3065">_xlfn.XLOOKUP(C3065, INDEX([1]!카테고리매핑,,2), INDEX([1]!카테고리매핑,,1), "미등록 카테고리")</f>
        <v>간편식</v>
      </c>
      <c r="C3065" t="s">
        <v>46</v>
      </c>
      <c r="D3065" t="str">
        <f>VLOOKUP(C3065, '[1]VLOOKUP 함수용 카테고리'!$A$1:$B$59, 2, 0)</f>
        <v>RTC_MEAL</v>
      </c>
      <c r="E3065" t="s">
        <v>46</v>
      </c>
      <c r="F3065" t="s">
        <v>883</v>
      </c>
    </row>
    <row r="3066" spans="1:6" x14ac:dyDescent="0.3">
      <c r="A3066" t="s">
        <v>5093</v>
      </c>
      <c r="B3066" t="str" cm="1">
        <f t="array" ref="B3066">_xlfn.XLOOKUP(C3066, INDEX([1]!카테고리매핑,,2), INDEX([1]!카테고리매핑,,1), "미등록 카테고리")</f>
        <v>간편식</v>
      </c>
      <c r="C3066" t="s">
        <v>19</v>
      </c>
      <c r="D3066" t="str">
        <f>VLOOKUP(C3066, '[1]VLOOKUP 함수용 카테고리'!$A$1:$B$59, 2, 0)</f>
        <v>FROZEN_MEAL</v>
      </c>
      <c r="E3066" t="s">
        <v>5094</v>
      </c>
      <c r="F3066" t="s">
        <v>5095</v>
      </c>
    </row>
    <row r="3067" spans="1:6" x14ac:dyDescent="0.3">
      <c r="A3067" t="s">
        <v>5096</v>
      </c>
      <c r="B3067" t="str" cm="1">
        <f t="array" ref="B3067">_xlfn.XLOOKUP(C3067, INDEX([1]!카테고리매핑,,2), INDEX([1]!카테고리매핑,,1), "미등록 카테고리")</f>
        <v>술</v>
      </c>
      <c r="C3067" t="s">
        <v>42</v>
      </c>
      <c r="D3067" t="str">
        <f>VLOOKUP(C3067, '[1]VLOOKUP 함수용 카테고리'!$A$1:$B$59, 2, 0)</f>
        <v>ALCOHOL</v>
      </c>
      <c r="E3067" t="s">
        <v>4674</v>
      </c>
      <c r="F3067" t="s">
        <v>5097</v>
      </c>
    </row>
    <row r="3068" spans="1:6" x14ac:dyDescent="0.3">
      <c r="A3068" t="s">
        <v>5098</v>
      </c>
      <c r="B3068" t="str" cm="1">
        <f t="array" ref="B3068">_xlfn.XLOOKUP(C3068, INDEX([1]!카테고리매핑,,2), INDEX([1]!카테고리매핑,,1), "미등록 카테고리")</f>
        <v>유제품</v>
      </c>
      <c r="C3068" t="s">
        <v>123</v>
      </c>
      <c r="D3068" t="str">
        <f>VLOOKUP(C3068, '[1]VLOOKUP 함수용 카테고리'!$A$1:$B$59, 2, 0)</f>
        <v>DAIRY</v>
      </c>
      <c r="E3068" t="s">
        <v>190</v>
      </c>
      <c r="F3068" t="s">
        <v>5099</v>
      </c>
    </row>
    <row r="3069" spans="1:6" x14ac:dyDescent="0.3">
      <c r="A3069" t="s">
        <v>5100</v>
      </c>
      <c r="B3069" t="str" cm="1">
        <f t="array" ref="B3069">_xlfn.XLOOKUP(C3069, INDEX([1]!카테고리매핑,,2), INDEX([1]!카테고리매핑,,1), "미등록 카테고리")</f>
        <v>채소/곡물류</v>
      </c>
      <c r="C3069" t="s">
        <v>164</v>
      </c>
      <c r="D3069" t="str">
        <f>VLOOKUP(C3069, '[1]VLOOKUP 함수용 카테고리'!$A$1:$B$59, 2, 0)</f>
        <v>RAW_PRODUCE</v>
      </c>
      <c r="E3069" t="s">
        <v>5101</v>
      </c>
      <c r="F3069" t="s">
        <v>151</v>
      </c>
    </row>
    <row r="3070" spans="1:6" x14ac:dyDescent="0.3">
      <c r="A3070" t="s">
        <v>5102</v>
      </c>
      <c r="B3070" t="str" cm="1">
        <f t="array" ref="B3070">_xlfn.XLOOKUP(C3070, INDEX([1]!카테고리매핑,,2), INDEX([1]!카테고리매핑,,1), "미등록 카테고리")</f>
        <v>육류/계란</v>
      </c>
      <c r="C3070" t="s">
        <v>149</v>
      </c>
      <c r="D3070" t="str">
        <f>VLOOKUP(C3070, '[1]VLOOKUP 함수용 카테고리'!$A$1:$B$59, 2, 0)</f>
        <v>RAW_MEAT</v>
      </c>
      <c r="E3070" t="s">
        <v>1151</v>
      </c>
      <c r="F3070" t="s">
        <v>1340</v>
      </c>
    </row>
    <row r="3071" spans="1:6" x14ac:dyDescent="0.3">
      <c r="A3071" t="s">
        <v>5103</v>
      </c>
      <c r="B3071" t="str" cm="1">
        <f t="array" ref="B3071">_xlfn.XLOOKUP(C3071, INDEX([1]!카테고리매핑,,2), INDEX([1]!카테고리매핑,,1), "미등록 카테고리")</f>
        <v>음료</v>
      </c>
      <c r="C3071" t="s">
        <v>23</v>
      </c>
      <c r="D3071" t="str">
        <f>VLOOKUP(C3071, '[1]VLOOKUP 함수용 카테고리'!$A$1:$B$59, 2, 0)</f>
        <v>BEVERAGE</v>
      </c>
      <c r="E3071" t="s">
        <v>355</v>
      </c>
      <c r="F3071" t="s">
        <v>1043</v>
      </c>
    </row>
    <row r="3072" spans="1:6" x14ac:dyDescent="0.3">
      <c r="A3072" t="s">
        <v>5104</v>
      </c>
      <c r="B3072" t="str" cm="1">
        <f t="array" ref="B3072">_xlfn.XLOOKUP(C3072, INDEX([1]!카테고리매핑,,2), INDEX([1]!카테고리매핑,,1), "미등록 카테고리")</f>
        <v>상온식품</v>
      </c>
      <c r="C3072" t="s">
        <v>835</v>
      </c>
      <c r="D3072" t="str">
        <f>VLOOKUP(C3072, '[1]VLOOKUP 함수용 카테고리'!$A$1:$B$59, 2, 0)</f>
        <v>SAUCE_SEASONING</v>
      </c>
      <c r="E3072" t="s">
        <v>2157</v>
      </c>
      <c r="F3072" t="s">
        <v>4077</v>
      </c>
    </row>
    <row r="3073" spans="1:6" x14ac:dyDescent="0.3">
      <c r="A3073" t="s">
        <v>5105</v>
      </c>
      <c r="B3073" t="str" cm="1">
        <f t="array" ref="B3073">_xlfn.XLOOKUP(C3073, INDEX([1]!카테고리매핑,,2), INDEX([1]!카테고리매핑,,1), "미등록 카테고리")</f>
        <v>미등록 카테고리</v>
      </c>
      <c r="C3073" t="s">
        <v>334</v>
      </c>
      <c r="D3073" t="str">
        <f>VLOOKUP(C3073, '[1]VLOOKUP 함수용 카테고리'!$A$1:$B$59, 2, 0)</f>
        <v>UNKNOWN</v>
      </c>
      <c r="E3073" t="s">
        <v>334</v>
      </c>
      <c r="F3073" t="s">
        <v>2552</v>
      </c>
    </row>
    <row r="3074" spans="1:6" x14ac:dyDescent="0.3">
      <c r="A3074" t="s">
        <v>5106</v>
      </c>
      <c r="B3074" t="str" cm="1">
        <f t="array" ref="B3074">_xlfn.XLOOKUP(C3074, INDEX([1]!카테고리매핑,,2), INDEX([1]!카테고리매핑,,1), "미등록 카테고리")</f>
        <v>간식류</v>
      </c>
      <c r="C3074" t="s">
        <v>15</v>
      </c>
      <c r="D3074" t="str">
        <f>VLOOKUP(C3074, '[1]VLOOKUP 함수용 카테고리'!$A$1:$B$59, 2, 0)</f>
        <v>BAKERY</v>
      </c>
      <c r="E3074" t="s">
        <v>53</v>
      </c>
      <c r="F3074" t="s">
        <v>156</v>
      </c>
    </row>
    <row r="3075" spans="1:6" x14ac:dyDescent="0.3">
      <c r="A3075" t="s">
        <v>5107</v>
      </c>
      <c r="B3075" t="str" cm="1">
        <f t="array" ref="B3075">_xlfn.XLOOKUP(C3075, INDEX([1]!카테고리매핑,,2), INDEX([1]!카테고리매핑,,1), "미등록 카테고리")</f>
        <v>채소/곡물류</v>
      </c>
      <c r="C3075" t="s">
        <v>7</v>
      </c>
      <c r="D3075" t="str">
        <f>VLOOKUP(C3075, '[1]VLOOKUP 함수용 카테고리'!$A$1:$B$59, 2, 0)</f>
        <v>RAW_PRODUCE</v>
      </c>
      <c r="E3075" t="s">
        <v>723</v>
      </c>
    </row>
    <row r="3076" spans="1:6" x14ac:dyDescent="0.3">
      <c r="A3076" t="s">
        <v>5108</v>
      </c>
      <c r="B3076" t="str" cm="1">
        <f t="array" ref="B3076">_xlfn.XLOOKUP(C3076, INDEX([1]!카테고리매핑,,2), INDEX([1]!카테고리매핑,,1), "미등록 카테고리")</f>
        <v>육류/계란</v>
      </c>
      <c r="C3076" t="s">
        <v>149</v>
      </c>
      <c r="D3076" t="str">
        <f>VLOOKUP(C3076, '[1]VLOOKUP 함수용 카테고리'!$A$1:$B$59, 2, 0)</f>
        <v>RAW_MEAT</v>
      </c>
      <c r="E3076" t="s">
        <v>150</v>
      </c>
    </row>
    <row r="3077" spans="1:6" x14ac:dyDescent="0.3">
      <c r="A3077" t="s">
        <v>5109</v>
      </c>
      <c r="B3077" t="str" cm="1">
        <f t="array" ref="B3077">_xlfn.XLOOKUP(C3077, INDEX([1]!카테고리매핑,,2), INDEX([1]!카테고리매핑,,1), "미등록 카테고리")</f>
        <v>수산물</v>
      </c>
      <c r="C3077" t="s">
        <v>1397</v>
      </c>
      <c r="D3077" t="str">
        <f>VLOOKUP(C3077, '[1]VLOOKUP 함수용 카테고리'!$A$1:$B$59, 2, 0)</f>
        <v>RAW_SEAFOOD</v>
      </c>
      <c r="E3077" t="s">
        <v>1398</v>
      </c>
      <c r="F3077" t="s">
        <v>3268</v>
      </c>
    </row>
    <row r="3078" spans="1:6" x14ac:dyDescent="0.3">
      <c r="A3078" t="s">
        <v>5110</v>
      </c>
      <c r="B3078" t="str" cm="1">
        <f t="array" ref="B3078">_xlfn.XLOOKUP(C3078, INDEX([1]!카테고리매핑,,2), INDEX([1]!카테고리매핑,,1), "미등록 카테고리")</f>
        <v>조미료</v>
      </c>
      <c r="C3078" t="s">
        <v>84</v>
      </c>
      <c r="D3078" t="str">
        <f>VLOOKUP(C3078, '[1]VLOOKUP 함수용 카테고리'!$A$1:$B$59, 2, 0)</f>
        <v>SAUCE_SEASONING</v>
      </c>
      <c r="E3078" t="s">
        <v>85</v>
      </c>
      <c r="F3078" t="s">
        <v>86</v>
      </c>
    </row>
    <row r="3079" spans="1:6" x14ac:dyDescent="0.3">
      <c r="A3079" t="s">
        <v>5111</v>
      </c>
      <c r="B3079" t="str" cm="1">
        <f t="array" ref="B3079">_xlfn.XLOOKUP(C3079, INDEX([1]!카테고리매핑,,2), INDEX([1]!카테고리매핑,,1), "미등록 카테고리")</f>
        <v>육류/계란</v>
      </c>
      <c r="C3079" t="s">
        <v>34</v>
      </c>
      <c r="D3079" t="str">
        <f>VLOOKUP(C3079, '[1]VLOOKUP 함수용 카테고리'!$A$1:$B$59, 2, 0)</f>
        <v>RAW_MEAT</v>
      </c>
      <c r="E3079" t="s">
        <v>35</v>
      </c>
      <c r="F3079" t="s">
        <v>3203</v>
      </c>
    </row>
    <row r="3080" spans="1:6" x14ac:dyDescent="0.3">
      <c r="A3080" t="s">
        <v>5112</v>
      </c>
      <c r="B3080" t="str" cm="1">
        <f t="array" ref="B3080">_xlfn.XLOOKUP(C3080, INDEX([1]!카테고리매핑,,2), INDEX([1]!카테고리매핑,,1), "미등록 카테고리")</f>
        <v>음료</v>
      </c>
      <c r="C3080" t="s">
        <v>23</v>
      </c>
      <c r="D3080" t="str">
        <f>VLOOKUP(C3080, '[1]VLOOKUP 함수용 카테고리'!$A$1:$B$59, 2, 0)</f>
        <v>BEVERAGE</v>
      </c>
      <c r="E3080" t="s">
        <v>4260</v>
      </c>
      <c r="F3080" t="s">
        <v>4261</v>
      </c>
    </row>
    <row r="3081" spans="1:6" x14ac:dyDescent="0.3">
      <c r="A3081" t="s">
        <v>5113</v>
      </c>
      <c r="B3081" t="str" cm="1">
        <f t="array" ref="B3081">_xlfn.XLOOKUP(C3081, INDEX([1]!카테고리매핑,,2), INDEX([1]!카테고리매핑,,1), "미등록 카테고리")</f>
        <v>간식류</v>
      </c>
      <c r="C3081" t="s">
        <v>63</v>
      </c>
      <c r="D3081" t="str">
        <f>VLOOKUP(C3081, '[1]VLOOKUP 함수용 카테고리'!$A$1:$B$59, 2, 0)</f>
        <v>BAKERY</v>
      </c>
      <c r="E3081" t="s">
        <v>496</v>
      </c>
      <c r="F3081" t="s">
        <v>2892</v>
      </c>
    </row>
    <row r="3082" spans="1:6" x14ac:dyDescent="0.3">
      <c r="A3082" t="s">
        <v>5114</v>
      </c>
      <c r="B3082" t="str" cm="1">
        <f t="array" ref="B3082">_xlfn.XLOOKUP(C3082, INDEX([1]!카테고리매핑,,2), INDEX([1]!카테고리매핑,,1), "미등록 카테고리")</f>
        <v>상온식품</v>
      </c>
      <c r="C3082" t="s">
        <v>276</v>
      </c>
      <c r="D3082" t="str">
        <f>VLOOKUP(C3082, '[1]VLOOKUP 함수용 카테고리'!$A$1:$B$59, 2, 0)</f>
        <v>DRIED_SEAFOOD</v>
      </c>
      <c r="E3082" t="s">
        <v>277</v>
      </c>
      <c r="F3082" t="s">
        <v>278</v>
      </c>
    </row>
    <row r="3083" spans="1:6" x14ac:dyDescent="0.3">
      <c r="A3083" t="s">
        <v>5115</v>
      </c>
      <c r="B3083" t="str" cm="1">
        <f t="array" ref="B3083">_xlfn.XLOOKUP(C3083, INDEX([1]!카테고리매핑,,2), INDEX([1]!카테고리매핑,,1), "미등록 카테고리")</f>
        <v>음료</v>
      </c>
      <c r="C3083" t="s">
        <v>23</v>
      </c>
      <c r="D3083" t="str">
        <f>VLOOKUP(C3083, '[1]VLOOKUP 함수용 카테고리'!$A$1:$B$59, 2, 0)</f>
        <v>BEVERAGE</v>
      </c>
      <c r="E3083" t="s">
        <v>5116</v>
      </c>
      <c r="F3083" t="s">
        <v>3201</v>
      </c>
    </row>
    <row r="3084" spans="1:6" x14ac:dyDescent="0.3">
      <c r="A3084" t="s">
        <v>5117</v>
      </c>
      <c r="B3084" t="str" cm="1">
        <f t="array" ref="B3084">_xlfn.XLOOKUP(C3084, INDEX([1]!카테고리매핑,,2), INDEX([1]!카테고리매핑,,1), "미등록 카테고리")</f>
        <v>수산물</v>
      </c>
      <c r="C3084" t="s">
        <v>263</v>
      </c>
      <c r="D3084" t="str">
        <f>VLOOKUP(C3084, '[1]VLOOKUP 함수용 카테고리'!$A$1:$B$59, 2, 0)</f>
        <v>RAW_SEAFOOD</v>
      </c>
      <c r="E3084" t="s">
        <v>5118</v>
      </c>
      <c r="F3084" t="s">
        <v>5119</v>
      </c>
    </row>
    <row r="3085" spans="1:6" x14ac:dyDescent="0.3">
      <c r="A3085" t="s">
        <v>5120</v>
      </c>
      <c r="B3085" t="str" cm="1">
        <f t="array" ref="B3085">_xlfn.XLOOKUP(C3085, INDEX([1]!카테고리매핑,,2), INDEX([1]!카테고리매핑,,1), "미등록 카테고리")</f>
        <v>조미료</v>
      </c>
      <c r="C3085" t="s">
        <v>83</v>
      </c>
      <c r="D3085" t="str">
        <f>VLOOKUP(C3085, '[1]VLOOKUP 함수용 카테고리'!$A$1:$B$59, 2, 0)</f>
        <v>SAUCE_SEASONING</v>
      </c>
      <c r="E3085" t="s">
        <v>7653</v>
      </c>
      <c r="F3085" t="s">
        <v>646</v>
      </c>
    </row>
    <row r="3086" spans="1:6" x14ac:dyDescent="0.3">
      <c r="A3086" t="s">
        <v>5121</v>
      </c>
      <c r="B3086" t="str" cm="1">
        <f t="array" ref="B3086">_xlfn.XLOOKUP(C3086, INDEX([1]!카테고리매핑,,2), INDEX([1]!카테고리매핑,,1), "미등록 카테고리")</f>
        <v>간식류</v>
      </c>
      <c r="C3086" t="s">
        <v>15</v>
      </c>
      <c r="D3086" t="str">
        <f>VLOOKUP(C3086, '[1]VLOOKUP 함수용 카테고리'!$A$1:$B$59, 2, 0)</f>
        <v>BAKERY</v>
      </c>
      <c r="E3086" t="s">
        <v>200</v>
      </c>
      <c r="F3086" t="s">
        <v>201</v>
      </c>
    </row>
    <row r="3087" spans="1:6" x14ac:dyDescent="0.3">
      <c r="A3087" t="s">
        <v>5122</v>
      </c>
      <c r="B3087" t="str" cm="1">
        <f t="array" ref="B3087">_xlfn.XLOOKUP(C3087, INDEX([1]!카테고리매핑,,2), INDEX([1]!카테고리매핑,,1), "미등록 카테고리")</f>
        <v>과일/견과류</v>
      </c>
      <c r="C3087" t="s">
        <v>654</v>
      </c>
      <c r="D3087" t="str">
        <f>VLOOKUP(C3087, '[1]VLOOKUP 함수용 카테고리'!$A$1:$B$59, 2, 0)</f>
        <v>RAW_FRUIT</v>
      </c>
      <c r="E3087" t="s">
        <v>1008</v>
      </c>
      <c r="F3087" t="s">
        <v>2115</v>
      </c>
    </row>
    <row r="3088" spans="1:6" x14ac:dyDescent="0.3">
      <c r="A3088" t="s">
        <v>5123</v>
      </c>
      <c r="B3088" t="str" cm="1">
        <f t="array" ref="B3088">_xlfn.XLOOKUP(C3088, INDEX([1]!카테고리매핑,,2), INDEX([1]!카테고리매핑,,1), "미등록 카테고리")</f>
        <v>간식류</v>
      </c>
      <c r="C3088" t="s">
        <v>38</v>
      </c>
      <c r="D3088" t="str">
        <f>VLOOKUP(C3088, '[1]VLOOKUP 함수용 카테고리'!$A$1:$B$59, 2, 0)</f>
        <v>SNACK</v>
      </c>
      <c r="E3088" t="s">
        <v>5124</v>
      </c>
      <c r="F3088" t="s">
        <v>2115</v>
      </c>
    </row>
    <row r="3089" spans="1:6" x14ac:dyDescent="0.3">
      <c r="A3089" t="s">
        <v>5125</v>
      </c>
      <c r="B3089" t="str" cm="1">
        <f t="array" ref="B3089">_xlfn.XLOOKUP(C3089, INDEX([1]!카테고리매핑,,2), INDEX([1]!카테고리매핑,,1), "미등록 카테고리")</f>
        <v>과일/견과류</v>
      </c>
      <c r="C3089" t="s">
        <v>1179</v>
      </c>
      <c r="D3089" t="str">
        <f>VLOOKUP(C3089, '[1]VLOOKUP 함수용 카테고리'!$A$1:$B$59, 2, 0)</f>
        <v>RAW_FRUIT</v>
      </c>
      <c r="E3089" t="s">
        <v>1180</v>
      </c>
      <c r="F3089" t="s">
        <v>2115</v>
      </c>
    </row>
    <row r="3090" spans="1:6" x14ac:dyDescent="0.3">
      <c r="A3090" t="s">
        <v>5126</v>
      </c>
      <c r="B3090" t="str" cm="1">
        <f t="array" ref="B3090">_xlfn.XLOOKUP(C3090, INDEX([1]!카테고리매핑,,2), INDEX([1]!카테고리매핑,,1), "미등록 카테고리")</f>
        <v>수산물</v>
      </c>
      <c r="C3090" t="s">
        <v>140</v>
      </c>
      <c r="D3090" t="str">
        <f>VLOOKUP(C3090, '[1]VLOOKUP 함수용 카테고리'!$A$1:$B$59, 2, 0)</f>
        <v>SIMPLE_PROCESSED</v>
      </c>
      <c r="E3090" t="s">
        <v>5127</v>
      </c>
      <c r="F3090" t="s">
        <v>5128</v>
      </c>
    </row>
    <row r="3091" spans="1:6" x14ac:dyDescent="0.3">
      <c r="A3091" t="s">
        <v>5129</v>
      </c>
      <c r="B3091" t="str" cm="1">
        <f t="array" ref="B3091">_xlfn.XLOOKUP(C3091, INDEX([1]!카테고리매핑,,2), INDEX([1]!카테고리매핑,,1), "미등록 카테고리")</f>
        <v>유제품</v>
      </c>
      <c r="C3091" t="s">
        <v>123</v>
      </c>
      <c r="D3091" t="str">
        <f>VLOOKUP(C3091, '[1]VLOOKUP 함수용 카테고리'!$A$1:$B$59, 2, 0)</f>
        <v>DAIRY</v>
      </c>
      <c r="E3091" t="s">
        <v>949</v>
      </c>
      <c r="F3091" t="s">
        <v>475</v>
      </c>
    </row>
    <row r="3092" spans="1:6" x14ac:dyDescent="0.3">
      <c r="A3092" t="s">
        <v>5130</v>
      </c>
      <c r="B3092" t="str" cm="1">
        <f t="array" ref="B3092">_xlfn.XLOOKUP(C3092, INDEX([1]!카테고리매핑,,2), INDEX([1]!카테고리매핑,,1), "미등록 카테고리")</f>
        <v>수산물</v>
      </c>
      <c r="C3092" t="s">
        <v>263</v>
      </c>
      <c r="D3092" t="str">
        <f>VLOOKUP(C3092, '[1]VLOOKUP 함수용 카테고리'!$A$1:$B$59, 2, 0)</f>
        <v>RAW_SEAFOOD</v>
      </c>
      <c r="E3092" t="s">
        <v>264</v>
      </c>
    </row>
    <row r="3093" spans="1:6" x14ac:dyDescent="0.3">
      <c r="A3093" t="s">
        <v>5131</v>
      </c>
      <c r="B3093" t="str" cm="1">
        <f t="array" ref="B3093">_xlfn.XLOOKUP(C3093, INDEX([1]!카테고리매핑,,2), INDEX([1]!카테고리매핑,,1), "미등록 카테고리")</f>
        <v>채소/곡물류</v>
      </c>
      <c r="C3093" t="s">
        <v>301</v>
      </c>
      <c r="D3093" t="str">
        <f>VLOOKUP(C3093, '[1]VLOOKUP 함수용 카테고리'!$A$1:$B$59, 2, 0)</f>
        <v>GRAIN</v>
      </c>
      <c r="E3093" t="s">
        <v>999</v>
      </c>
      <c r="F3093" t="s">
        <v>1000</v>
      </c>
    </row>
    <row r="3094" spans="1:6" x14ac:dyDescent="0.3">
      <c r="A3094" t="s">
        <v>5132</v>
      </c>
      <c r="B3094" t="str" cm="1">
        <f t="array" ref="B3094">_xlfn.XLOOKUP(C3094, INDEX([1]!카테고리매핑,,2), INDEX([1]!카테고리매핑,,1), "미등록 카테고리")</f>
        <v>간식류</v>
      </c>
      <c r="C3094" t="s">
        <v>63</v>
      </c>
      <c r="D3094" t="str">
        <f>VLOOKUP(C3094, '[1]VLOOKUP 함수용 카테고리'!$A$1:$B$59, 2, 0)</f>
        <v>BAKERY</v>
      </c>
      <c r="E3094" t="s">
        <v>5133</v>
      </c>
      <c r="F3094" t="s">
        <v>5134</v>
      </c>
    </row>
    <row r="3095" spans="1:6" x14ac:dyDescent="0.3">
      <c r="A3095" t="s">
        <v>5135</v>
      </c>
      <c r="B3095" t="str" cm="1">
        <f t="array" ref="B3095">_xlfn.XLOOKUP(C3095, INDEX([1]!카테고리매핑,,2), INDEX([1]!카테고리매핑,,1), "미등록 카테고리")</f>
        <v>간식류</v>
      </c>
      <c r="C3095" t="s">
        <v>11</v>
      </c>
      <c r="D3095" t="str">
        <f>VLOOKUP(C3095, '[1]VLOOKUP 함수용 카테고리'!$A$1:$B$59, 2, 0)</f>
        <v>SNACK</v>
      </c>
      <c r="E3095" t="s">
        <v>5136</v>
      </c>
      <c r="F3095" t="s">
        <v>154</v>
      </c>
    </row>
    <row r="3096" spans="1:6" x14ac:dyDescent="0.3">
      <c r="A3096" t="s">
        <v>5137</v>
      </c>
      <c r="B3096" t="str" cm="1">
        <f t="array" ref="B3096">_xlfn.XLOOKUP(C3096, INDEX([1]!카테고리매핑,,2), INDEX([1]!카테고리매핑,,1), "미등록 카테고리")</f>
        <v>간편식</v>
      </c>
      <c r="C3096" t="s">
        <v>46</v>
      </c>
      <c r="D3096" t="str">
        <f>VLOOKUP(C3096, '[1]VLOOKUP 함수용 카테고리'!$A$1:$B$59, 2, 0)</f>
        <v>RTC_MEAL</v>
      </c>
      <c r="E3096" t="s">
        <v>46</v>
      </c>
      <c r="F3096" t="s">
        <v>7847</v>
      </c>
    </row>
    <row r="3097" spans="1:6" x14ac:dyDescent="0.3">
      <c r="A3097" t="s">
        <v>5138</v>
      </c>
      <c r="B3097" t="str" cm="1">
        <f t="array" ref="B3097">_xlfn.XLOOKUP(C3097, INDEX([1]!카테고리매핑,,2), INDEX([1]!카테고리매핑,,1), "미등록 카테고리")</f>
        <v>조미료</v>
      </c>
      <c r="C3097" t="s">
        <v>127</v>
      </c>
      <c r="D3097" t="str">
        <f>VLOOKUP(C3097, '[1]VLOOKUP 함수용 카테고리'!$A$1:$B$59, 2, 0)</f>
        <v>SAUCE_SEASONING</v>
      </c>
      <c r="E3097" t="s">
        <v>1585</v>
      </c>
      <c r="F3097" t="s">
        <v>136</v>
      </c>
    </row>
    <row r="3098" spans="1:6" x14ac:dyDescent="0.3">
      <c r="A3098" t="s">
        <v>5139</v>
      </c>
      <c r="B3098" t="str" cm="1">
        <f t="array" ref="B3098">_xlfn.XLOOKUP(C3098, INDEX([1]!카테고리매핑,,2), INDEX([1]!카테고리매핑,,1), "미등록 카테고리")</f>
        <v>간편식</v>
      </c>
      <c r="C3098" t="s">
        <v>46</v>
      </c>
      <c r="D3098" t="str">
        <f>VLOOKUP(C3098, '[1]VLOOKUP 함수용 카테고리'!$A$1:$B$59, 2, 0)</f>
        <v>RTC_MEAL</v>
      </c>
      <c r="E3098" t="s">
        <v>46</v>
      </c>
      <c r="F3098" t="s">
        <v>5140</v>
      </c>
    </row>
    <row r="3099" spans="1:6" x14ac:dyDescent="0.3">
      <c r="A3099" t="s">
        <v>5141</v>
      </c>
      <c r="B3099" t="str" cm="1">
        <f t="array" ref="B3099">_xlfn.XLOOKUP(C3099, INDEX([1]!카테고리매핑,,2), INDEX([1]!카테고리매핑,,1), "미등록 카테고리")</f>
        <v>유제품</v>
      </c>
      <c r="C3099" t="s">
        <v>98</v>
      </c>
      <c r="D3099" t="str">
        <f>VLOOKUP(C3099, '[1]VLOOKUP 함수용 카테고리'!$A$1:$B$59, 2, 0)</f>
        <v>DAIRY</v>
      </c>
      <c r="E3099" t="s">
        <v>98</v>
      </c>
      <c r="F3099" t="s">
        <v>5142</v>
      </c>
    </row>
    <row r="3100" spans="1:6" x14ac:dyDescent="0.3">
      <c r="A3100" t="s">
        <v>5143</v>
      </c>
      <c r="B3100" t="str" cm="1">
        <f t="array" ref="B3100">_xlfn.XLOOKUP(C3100, INDEX([1]!카테고리매핑,,2), INDEX([1]!카테고리매핑,,1), "미등록 카테고리")</f>
        <v>상온식품</v>
      </c>
      <c r="C3100" t="s">
        <v>835</v>
      </c>
      <c r="D3100" t="str">
        <f>VLOOKUP(C3100, '[1]VLOOKUP 함수용 카테고리'!$A$1:$B$59, 2, 0)</f>
        <v>SAUCE_SEASONING</v>
      </c>
      <c r="E3100" t="s">
        <v>2266</v>
      </c>
      <c r="F3100" t="s">
        <v>65</v>
      </c>
    </row>
    <row r="3101" spans="1:6" x14ac:dyDescent="0.3">
      <c r="A3101" t="s">
        <v>5144</v>
      </c>
      <c r="B3101" t="str" cm="1">
        <f t="array" ref="B3101">_xlfn.XLOOKUP(C3101, INDEX([1]!카테고리매핑,,2), INDEX([1]!카테고리매핑,,1), "미등록 카테고리")</f>
        <v>육류/계란</v>
      </c>
      <c r="C3101" t="s">
        <v>149</v>
      </c>
      <c r="D3101" t="str">
        <f>VLOOKUP(C3101, '[1]VLOOKUP 함수용 카테고리'!$A$1:$B$59, 2, 0)</f>
        <v>RAW_MEAT</v>
      </c>
      <c r="E3101" t="s">
        <v>3715</v>
      </c>
      <c r="F3101" t="s">
        <v>5145</v>
      </c>
    </row>
    <row r="3102" spans="1:6" x14ac:dyDescent="0.3">
      <c r="A3102" t="s">
        <v>5146</v>
      </c>
      <c r="B3102" t="str" cm="1">
        <f t="array" ref="B3102">_xlfn.XLOOKUP(C3102, INDEX([1]!카테고리매핑,,2), INDEX([1]!카테고리매핑,,1), "미등록 카테고리")</f>
        <v>조미료</v>
      </c>
      <c r="C3102" t="s">
        <v>117</v>
      </c>
      <c r="D3102" t="str">
        <f>VLOOKUP(C3102, '[1]VLOOKUP 함수용 카테고리'!$A$1:$B$59, 2, 0)</f>
        <v>SAUCE_SEASONING</v>
      </c>
      <c r="E3102" t="s">
        <v>1055</v>
      </c>
      <c r="F3102" t="s">
        <v>350</v>
      </c>
    </row>
    <row r="3103" spans="1:6" x14ac:dyDescent="0.3">
      <c r="A3103" t="s">
        <v>5147</v>
      </c>
      <c r="B3103" t="str" cm="1">
        <f t="array" ref="B3103">_xlfn.XLOOKUP(C3103, INDEX([1]!카테고리매핑,,2), INDEX([1]!카테고리매핑,,1), "미등록 카테고리")</f>
        <v>육류/계란</v>
      </c>
      <c r="C3103" t="s">
        <v>428</v>
      </c>
      <c r="D3103" t="str">
        <f>VLOOKUP(C3103, '[1]VLOOKUP 함수용 카테고리'!$A$1:$B$59, 2, 0)</f>
        <v>PROCESSED_MEAT</v>
      </c>
      <c r="E3103" t="s">
        <v>3702</v>
      </c>
      <c r="F3103" t="s">
        <v>54</v>
      </c>
    </row>
    <row r="3104" spans="1:6" x14ac:dyDescent="0.3">
      <c r="A3104" t="s">
        <v>5148</v>
      </c>
      <c r="B3104" t="str" cm="1">
        <f t="array" ref="B3104">_xlfn.XLOOKUP(C3104, INDEX([1]!카테고리매핑,,2), INDEX([1]!카테고리매핑,,1), "미등록 카테고리")</f>
        <v>상온식품</v>
      </c>
      <c r="C3104" t="s">
        <v>276</v>
      </c>
      <c r="D3104" t="str">
        <f>VLOOKUP(C3104, '[1]VLOOKUP 함수용 카테고리'!$A$1:$B$59, 2, 0)</f>
        <v>DRIED_SEAFOOD</v>
      </c>
      <c r="E3104" t="s">
        <v>277</v>
      </c>
      <c r="F3104" t="s">
        <v>5149</v>
      </c>
    </row>
    <row r="3105" spans="1:6" x14ac:dyDescent="0.3">
      <c r="A3105" t="s">
        <v>5150</v>
      </c>
      <c r="B3105" t="str" cm="1">
        <f t="array" ref="B3105">_xlfn.XLOOKUP(C3105, INDEX([1]!카테고리매핑,,2), INDEX([1]!카테고리매핑,,1), "미등록 카테고리")</f>
        <v>간식류</v>
      </c>
      <c r="C3105" t="s">
        <v>38</v>
      </c>
      <c r="D3105" t="str">
        <f>VLOOKUP(C3105, '[1]VLOOKUP 함수용 카테고리'!$A$1:$B$59, 2, 0)</f>
        <v>SNACK</v>
      </c>
      <c r="E3105" t="s">
        <v>179</v>
      </c>
      <c r="F3105" t="s">
        <v>5151</v>
      </c>
    </row>
    <row r="3106" spans="1:6" x14ac:dyDescent="0.3">
      <c r="A3106" t="s">
        <v>5152</v>
      </c>
      <c r="B3106" t="str" cm="1">
        <f t="array" ref="B3106">_xlfn.XLOOKUP(C3106, INDEX([1]!카테고리매핑,,2), INDEX([1]!카테고리매핑,,1), "미등록 카테고리")</f>
        <v>간식류</v>
      </c>
      <c r="C3106" t="s">
        <v>63</v>
      </c>
      <c r="D3106" t="str">
        <f>VLOOKUP(C3106, '[1]VLOOKUP 함수용 카테고리'!$A$1:$B$59, 2, 0)</f>
        <v>BAKERY</v>
      </c>
      <c r="E3106" t="s">
        <v>496</v>
      </c>
      <c r="F3106" t="s">
        <v>3359</v>
      </c>
    </row>
    <row r="3107" spans="1:6" x14ac:dyDescent="0.3">
      <c r="A3107" t="s">
        <v>5153</v>
      </c>
      <c r="B3107" t="str" cm="1">
        <f t="array" ref="B3107">_xlfn.XLOOKUP(C3107, INDEX([1]!카테고리매핑,,2), INDEX([1]!카테고리매핑,,1), "미등록 카테고리")</f>
        <v>간편식</v>
      </c>
      <c r="C3107" t="s">
        <v>46</v>
      </c>
      <c r="D3107" t="str">
        <f>VLOOKUP(C3107, '[1]VLOOKUP 함수용 카테고리'!$A$1:$B$59, 2, 0)</f>
        <v>RTC_MEAL</v>
      </c>
      <c r="E3107" t="s">
        <v>46</v>
      </c>
      <c r="F3107" t="s">
        <v>5154</v>
      </c>
    </row>
    <row r="3108" spans="1:6" x14ac:dyDescent="0.3">
      <c r="A3108" t="s">
        <v>5155</v>
      </c>
      <c r="B3108" t="str" cm="1">
        <f t="array" ref="B3108">_xlfn.XLOOKUP(C3108, INDEX([1]!카테고리매핑,,2), INDEX([1]!카테고리매핑,,1), "미등록 카테고리")</f>
        <v>간식류</v>
      </c>
      <c r="C3108" t="s">
        <v>15</v>
      </c>
      <c r="D3108" t="str">
        <f>VLOOKUP(C3108, '[1]VLOOKUP 함수용 카테고리'!$A$1:$B$59, 2, 0)</f>
        <v>BAKERY</v>
      </c>
      <c r="E3108" t="s">
        <v>1787</v>
      </c>
      <c r="F3108" t="s">
        <v>1966</v>
      </c>
    </row>
    <row r="3109" spans="1:6" x14ac:dyDescent="0.3">
      <c r="A3109" t="s">
        <v>5156</v>
      </c>
      <c r="B3109" t="str" cm="1">
        <f t="array" ref="B3109">_xlfn.XLOOKUP(C3109, INDEX([1]!카테고리매핑,,2), INDEX([1]!카테고리매핑,,1), "미등록 카테고리")</f>
        <v>육류/계란</v>
      </c>
      <c r="C3109" t="s">
        <v>105</v>
      </c>
      <c r="D3109" t="str">
        <f>VLOOKUP(C3109, '[1]VLOOKUP 함수용 카테고리'!$A$1:$B$59, 2, 0)</f>
        <v>RAW_MEAT</v>
      </c>
      <c r="E3109" t="s">
        <v>1031</v>
      </c>
      <c r="F3109" t="s">
        <v>151</v>
      </c>
    </row>
    <row r="3110" spans="1:6" x14ac:dyDescent="0.3">
      <c r="A3110" t="s">
        <v>5157</v>
      </c>
      <c r="B3110" t="str" cm="1">
        <f t="array" ref="B3110">_xlfn.XLOOKUP(C3110, INDEX([1]!카테고리매핑,,2), INDEX([1]!카테고리매핑,,1), "미등록 카테고리")</f>
        <v>음료</v>
      </c>
      <c r="C3110" t="s">
        <v>23</v>
      </c>
      <c r="D3110" t="str">
        <f>VLOOKUP(C3110, '[1]VLOOKUP 함수용 카테고리'!$A$1:$B$59, 2, 0)</f>
        <v>BEVERAGE</v>
      </c>
      <c r="E3110" t="s">
        <v>24</v>
      </c>
      <c r="F3110" t="s">
        <v>3068</v>
      </c>
    </row>
    <row r="3111" spans="1:6" x14ac:dyDescent="0.3">
      <c r="A3111" t="s">
        <v>5158</v>
      </c>
      <c r="B3111" t="str" cm="1">
        <f t="array" ref="B3111">_xlfn.XLOOKUP(C3111, INDEX([1]!카테고리매핑,,2), INDEX([1]!카테고리매핑,,1), "미등록 카테고리")</f>
        <v>음료</v>
      </c>
      <c r="C3111" t="s">
        <v>23</v>
      </c>
      <c r="D3111" t="str">
        <f>VLOOKUP(C3111, '[1]VLOOKUP 함수용 카테고리'!$A$1:$B$59, 2, 0)</f>
        <v>BEVERAGE</v>
      </c>
      <c r="E3111" t="s">
        <v>5159</v>
      </c>
      <c r="F3111" t="s">
        <v>5160</v>
      </c>
    </row>
    <row r="3112" spans="1:6" x14ac:dyDescent="0.3">
      <c r="A3112" t="s">
        <v>5161</v>
      </c>
      <c r="B3112" t="str" cm="1">
        <f t="array" ref="B3112">_xlfn.XLOOKUP(C3112, INDEX([1]!카테고리매핑,,2), INDEX([1]!카테고리매핑,,1), "미등록 카테고리")</f>
        <v>수산물</v>
      </c>
      <c r="C3112" t="s">
        <v>203</v>
      </c>
      <c r="D3112" t="str">
        <f>VLOOKUP(C3112, '[1]VLOOKUP 함수용 카테고리'!$A$1:$B$59, 2, 0)</f>
        <v>RAW_SEAFOOD</v>
      </c>
      <c r="E3112" t="s">
        <v>1393</v>
      </c>
    </row>
    <row r="3113" spans="1:6" x14ac:dyDescent="0.3">
      <c r="A3113" t="s">
        <v>7790</v>
      </c>
      <c r="B3113" t="str" cm="1">
        <f t="array" ref="B3113">_xlfn.XLOOKUP(C3113, INDEX([1]!카테고리매핑,,2), INDEX([1]!카테고리매핑,,1), "미등록 카테고리")</f>
        <v>간식류</v>
      </c>
      <c r="C3113" t="s">
        <v>11</v>
      </c>
      <c r="D3113" t="str">
        <f>VLOOKUP(C3113, '[1]VLOOKUP 함수용 카테고리'!$A$1:$B$59, 2, 0)</f>
        <v>SNACK</v>
      </c>
      <c r="E3113" t="s">
        <v>5162</v>
      </c>
      <c r="F3113" t="s">
        <v>6256</v>
      </c>
    </row>
    <row r="3114" spans="1:6" x14ac:dyDescent="0.3">
      <c r="A3114" t="s">
        <v>5163</v>
      </c>
      <c r="B3114" t="str" cm="1">
        <f t="array" ref="B3114">_xlfn.XLOOKUP(C3114, INDEX([1]!카테고리매핑,,2), INDEX([1]!카테고리매핑,,1), "미등록 카테고리")</f>
        <v>수산물</v>
      </c>
      <c r="C3114" t="s">
        <v>140</v>
      </c>
      <c r="D3114" t="str">
        <f>VLOOKUP(C3114, '[1]VLOOKUP 함수용 카테고리'!$A$1:$B$59, 2, 0)</f>
        <v>SIMPLE_PROCESSED</v>
      </c>
      <c r="E3114" t="s">
        <v>141</v>
      </c>
      <c r="F3114" t="s">
        <v>1490</v>
      </c>
    </row>
    <row r="3115" spans="1:6" x14ac:dyDescent="0.3">
      <c r="A3115" t="s">
        <v>5164</v>
      </c>
      <c r="B3115" t="str" cm="1">
        <f t="array" ref="B3115">_xlfn.XLOOKUP(C3115, INDEX([1]!카테고리매핑,,2), INDEX([1]!카테고리매핑,,1), "미등록 카테고리")</f>
        <v>수산물</v>
      </c>
      <c r="C3115" t="s">
        <v>229</v>
      </c>
      <c r="D3115" t="str">
        <f>VLOOKUP(C3115, '[1]VLOOKUP 함수용 카테고리'!$A$1:$B$59, 2, 0)</f>
        <v>RAW_SEAFOOD</v>
      </c>
      <c r="E3115" t="s">
        <v>230</v>
      </c>
      <c r="F3115" t="s">
        <v>1070</v>
      </c>
    </row>
    <row r="3116" spans="1:6" x14ac:dyDescent="0.3">
      <c r="A3116" t="s">
        <v>5165</v>
      </c>
      <c r="B3116" t="str" cm="1">
        <f t="array" ref="B3116">_xlfn.XLOOKUP(C3116, INDEX([1]!카테고리매핑,,2), INDEX([1]!카테고리매핑,,1), "미등록 카테고리")</f>
        <v>간편식</v>
      </c>
      <c r="C3116" t="s">
        <v>46</v>
      </c>
      <c r="D3116" t="str">
        <f>VLOOKUP(C3116, '[1]VLOOKUP 함수용 카테고리'!$A$1:$B$59, 2, 0)</f>
        <v>RTC_MEAL</v>
      </c>
      <c r="E3116" t="s">
        <v>46</v>
      </c>
      <c r="F3116" t="s">
        <v>3499</v>
      </c>
    </row>
    <row r="3117" spans="1:6" x14ac:dyDescent="0.3">
      <c r="A3117" t="s">
        <v>5166</v>
      </c>
      <c r="B3117" t="str" cm="1">
        <f t="array" ref="B3117">_xlfn.XLOOKUP(C3117, INDEX([1]!카테고리매핑,,2), INDEX([1]!카테고리매핑,,1), "미등록 카테고리")</f>
        <v>유제품</v>
      </c>
      <c r="C3117" t="s">
        <v>98</v>
      </c>
      <c r="D3117" t="str">
        <f>VLOOKUP(C3117, '[1]VLOOKUP 함수용 카테고리'!$A$1:$B$59, 2, 0)</f>
        <v>DAIRY</v>
      </c>
      <c r="E3117" t="s">
        <v>5167</v>
      </c>
      <c r="F3117" t="s">
        <v>5168</v>
      </c>
    </row>
    <row r="3118" spans="1:6" x14ac:dyDescent="0.3">
      <c r="A3118" t="s">
        <v>5169</v>
      </c>
      <c r="B3118" t="str" cm="1">
        <f t="array" ref="B3118">_xlfn.XLOOKUP(C3118, INDEX([1]!카테고리매핑,,2), INDEX([1]!카테고리매핑,,1), "미등록 카테고리")</f>
        <v>간편식</v>
      </c>
      <c r="C3118" t="s">
        <v>19</v>
      </c>
      <c r="D3118" t="str">
        <f>VLOOKUP(C3118, '[1]VLOOKUP 함수용 카테고리'!$A$1:$B$59, 2, 0)</f>
        <v>FROZEN_MEAL</v>
      </c>
      <c r="E3118" t="s">
        <v>245</v>
      </c>
      <c r="F3118" t="s">
        <v>541</v>
      </c>
    </row>
    <row r="3119" spans="1:6" x14ac:dyDescent="0.3">
      <c r="A3119" t="s">
        <v>5170</v>
      </c>
      <c r="B3119" t="str" cm="1">
        <f t="array" ref="B3119">_xlfn.XLOOKUP(C3119, INDEX([1]!카테고리매핑,,2), INDEX([1]!카테고리매핑,,1), "미등록 카테고리")</f>
        <v>간편식</v>
      </c>
      <c r="C3119" t="s">
        <v>256</v>
      </c>
      <c r="D3119" t="str">
        <f>VLOOKUP(C3119, '[1]VLOOKUP 함수용 카테고리'!$A$1:$B$59, 2, 0)</f>
        <v>RTC_MEAL</v>
      </c>
      <c r="E3119" t="s">
        <v>256</v>
      </c>
      <c r="F3119" t="s">
        <v>541</v>
      </c>
    </row>
    <row r="3120" spans="1:6" x14ac:dyDescent="0.3">
      <c r="A3120" t="s">
        <v>5171</v>
      </c>
      <c r="B3120" t="str" cm="1">
        <f t="array" ref="B3120">_xlfn.XLOOKUP(C3120, INDEX([1]!카테고리매핑,,2), INDEX([1]!카테고리매핑,,1), "미등록 카테고리")</f>
        <v>조미료</v>
      </c>
      <c r="C3120" t="s">
        <v>127</v>
      </c>
      <c r="D3120" t="str">
        <f>VLOOKUP(C3120, '[1]VLOOKUP 함수용 카테고리'!$A$1:$B$59, 2, 0)</f>
        <v>SAUCE_SEASONING</v>
      </c>
      <c r="E3120" t="s">
        <v>436</v>
      </c>
      <c r="F3120" t="s">
        <v>5172</v>
      </c>
    </row>
    <row r="3121" spans="1:6" x14ac:dyDescent="0.3">
      <c r="A3121" t="s">
        <v>5173</v>
      </c>
      <c r="B3121" t="str" cm="1">
        <f t="array" ref="B3121">_xlfn.XLOOKUP(C3121, INDEX([1]!카테고리매핑,,2), INDEX([1]!카테고리매핑,,1), "미등록 카테고리")</f>
        <v>미등록 카테고리</v>
      </c>
      <c r="C3121" t="s">
        <v>334</v>
      </c>
      <c r="D3121" t="str">
        <f>VLOOKUP(C3121, '[1]VLOOKUP 함수용 카테고리'!$A$1:$B$59, 2, 0)</f>
        <v>UNKNOWN</v>
      </c>
      <c r="E3121" t="s">
        <v>334</v>
      </c>
      <c r="F3121" t="s">
        <v>4293</v>
      </c>
    </row>
    <row r="3122" spans="1:6" x14ac:dyDescent="0.3">
      <c r="A3122" t="s">
        <v>5174</v>
      </c>
      <c r="B3122" t="str" cm="1">
        <f t="array" ref="B3122">_xlfn.XLOOKUP(C3122, INDEX([1]!카테고리매핑,,2), INDEX([1]!카테고리매핑,,1), "미등록 카테고리")</f>
        <v>육류/계란</v>
      </c>
      <c r="C3122" t="s">
        <v>34</v>
      </c>
      <c r="D3122" t="str">
        <f>VLOOKUP(C3122, '[1]VLOOKUP 함수용 카테고리'!$A$1:$B$59, 2, 0)</f>
        <v>RAW_MEAT</v>
      </c>
      <c r="E3122" t="s">
        <v>2839</v>
      </c>
      <c r="F3122" t="s">
        <v>1217</v>
      </c>
    </row>
    <row r="3123" spans="1:6" x14ac:dyDescent="0.3">
      <c r="A3123" t="s">
        <v>5175</v>
      </c>
      <c r="B3123" t="str" cm="1">
        <f t="array" ref="B3123">_xlfn.XLOOKUP(C3123, INDEX([1]!카테고리매핑,,2), INDEX([1]!카테고리매핑,,1), "미등록 카테고리")</f>
        <v>수산물</v>
      </c>
      <c r="C3123" t="s">
        <v>203</v>
      </c>
      <c r="D3123" t="str">
        <f>VLOOKUP(C3123, '[1]VLOOKUP 함수용 카테고리'!$A$1:$B$59, 2, 0)</f>
        <v>RAW_SEAFOOD</v>
      </c>
      <c r="E3123" t="s">
        <v>5176</v>
      </c>
      <c r="F3123" t="s">
        <v>1229</v>
      </c>
    </row>
    <row r="3124" spans="1:6" x14ac:dyDescent="0.3">
      <c r="A3124" t="s">
        <v>5177</v>
      </c>
      <c r="B3124" t="str" cm="1">
        <f t="array" ref="B3124">_xlfn.XLOOKUP(C3124, INDEX([1]!카테고리매핑,,2), INDEX([1]!카테고리매핑,,1), "미등록 카테고리")</f>
        <v>육류/계란</v>
      </c>
      <c r="C3124" t="s">
        <v>428</v>
      </c>
      <c r="D3124" t="str">
        <f>VLOOKUP(C3124, '[1]VLOOKUP 함수용 카테고리'!$A$1:$B$59, 2, 0)</f>
        <v>PROCESSED_MEAT</v>
      </c>
      <c r="E3124" t="s">
        <v>776</v>
      </c>
      <c r="F3124" t="s">
        <v>5178</v>
      </c>
    </row>
    <row r="3125" spans="1:6" x14ac:dyDescent="0.3">
      <c r="A3125" t="s">
        <v>5179</v>
      </c>
      <c r="B3125" t="str" cm="1">
        <f t="array" ref="B3125">_xlfn.XLOOKUP(C3125, INDEX([1]!카테고리매핑,,2), INDEX([1]!카테고리매핑,,1), "미등록 카테고리")</f>
        <v>수산물</v>
      </c>
      <c r="C3125" t="s">
        <v>203</v>
      </c>
      <c r="D3125" t="str">
        <f>VLOOKUP(C3125, '[1]VLOOKUP 함수용 카테고리'!$A$1:$B$59, 2, 0)</f>
        <v>RAW_SEAFOOD</v>
      </c>
      <c r="E3125" t="s">
        <v>2043</v>
      </c>
      <c r="F3125" t="s">
        <v>1366</v>
      </c>
    </row>
    <row r="3126" spans="1:6" x14ac:dyDescent="0.3">
      <c r="A3126" t="s">
        <v>5180</v>
      </c>
      <c r="B3126" t="str" cm="1">
        <f t="array" ref="B3126">_xlfn.XLOOKUP(C3126, INDEX([1]!카테고리매핑,,2), INDEX([1]!카테고리매핑,,1), "미등록 카테고리")</f>
        <v>조미료</v>
      </c>
      <c r="C3126" t="s">
        <v>117</v>
      </c>
      <c r="D3126" t="str">
        <f>VLOOKUP(C3126, '[1]VLOOKUP 함수용 카테고리'!$A$1:$B$59, 2, 0)</f>
        <v>SAUCE_SEASONING</v>
      </c>
      <c r="E3126" t="s">
        <v>1493</v>
      </c>
      <c r="F3126" t="s">
        <v>2372</v>
      </c>
    </row>
    <row r="3127" spans="1:6" x14ac:dyDescent="0.3">
      <c r="A3127" t="s">
        <v>5181</v>
      </c>
      <c r="B3127" t="str" cm="1">
        <f t="array" ref="B3127">_xlfn.XLOOKUP(C3127, INDEX([1]!카테고리매핑,,2), INDEX([1]!카테고리매핑,,1), "미등록 카테고리")</f>
        <v>채소/곡물류</v>
      </c>
      <c r="C3127" t="s">
        <v>7</v>
      </c>
      <c r="D3127" t="str">
        <f>VLOOKUP(C3127, '[1]VLOOKUP 함수용 카테고리'!$A$1:$B$59, 2, 0)</f>
        <v>RAW_PRODUCE</v>
      </c>
      <c r="E3127" t="s">
        <v>50</v>
      </c>
      <c r="F3127" t="s">
        <v>51</v>
      </c>
    </row>
    <row r="3128" spans="1:6" x14ac:dyDescent="0.3">
      <c r="A3128" t="s">
        <v>5182</v>
      </c>
      <c r="B3128" t="str" cm="1">
        <f t="array" ref="B3128">_xlfn.XLOOKUP(C3128, INDEX([1]!카테고리매핑,,2), INDEX([1]!카테고리매핑,,1), "미등록 카테고리")</f>
        <v>조미료</v>
      </c>
      <c r="C3128" t="s">
        <v>127</v>
      </c>
      <c r="D3128" t="str">
        <f>VLOOKUP(C3128, '[1]VLOOKUP 함수용 카테고리'!$A$1:$B$59, 2, 0)</f>
        <v>SAUCE_SEASONING</v>
      </c>
      <c r="E3128" t="s">
        <v>3095</v>
      </c>
      <c r="F3128" t="s">
        <v>1326</v>
      </c>
    </row>
    <row r="3129" spans="1:6" x14ac:dyDescent="0.3">
      <c r="A3129" t="s">
        <v>5183</v>
      </c>
      <c r="B3129" t="str" cm="1">
        <f t="array" ref="B3129">_xlfn.XLOOKUP(C3129, INDEX([1]!카테고리매핑,,2), INDEX([1]!카테고리매핑,,1), "미등록 카테고리")</f>
        <v>조미료</v>
      </c>
      <c r="C3129" t="s">
        <v>127</v>
      </c>
      <c r="D3129" t="str">
        <f>VLOOKUP(C3129, '[1]VLOOKUP 함수용 카테고리'!$A$1:$B$59, 2, 0)</f>
        <v>SAUCE_SEASONING</v>
      </c>
      <c r="E3129" t="s">
        <v>5184</v>
      </c>
      <c r="F3129" t="s">
        <v>303</v>
      </c>
    </row>
    <row r="3130" spans="1:6" x14ac:dyDescent="0.3">
      <c r="A3130" t="s">
        <v>5185</v>
      </c>
      <c r="B3130" t="str" cm="1">
        <f t="array" ref="B3130">_xlfn.XLOOKUP(C3130, INDEX([1]!카테고리매핑,,2), INDEX([1]!카테고리매핑,,1), "미등록 카테고리")</f>
        <v>음료</v>
      </c>
      <c r="C3130" t="s">
        <v>708</v>
      </c>
      <c r="D3130" t="str">
        <f>VLOOKUP(C3130, '[1]VLOOKUP 함수용 카테고리'!$A$1:$B$59, 2, 0)</f>
        <v>BEVERAGE</v>
      </c>
      <c r="E3130" t="s">
        <v>708</v>
      </c>
      <c r="F3130" t="s">
        <v>5186</v>
      </c>
    </row>
    <row r="3131" spans="1:6" x14ac:dyDescent="0.3">
      <c r="A3131" t="s">
        <v>5187</v>
      </c>
      <c r="B3131" t="str" cm="1">
        <f t="array" ref="B3131">_xlfn.XLOOKUP(C3131, INDEX([1]!카테고리매핑,,2), INDEX([1]!카테고리매핑,,1), "미등록 카테고리")</f>
        <v>미등록 카테고리</v>
      </c>
      <c r="C3131" t="s">
        <v>334</v>
      </c>
      <c r="D3131" t="str">
        <f>VLOOKUP(C3131, '[1]VLOOKUP 함수용 카테고리'!$A$1:$B$59, 2, 0)</f>
        <v>UNKNOWN</v>
      </c>
      <c r="E3131" t="s">
        <v>334</v>
      </c>
      <c r="F3131" t="s">
        <v>5188</v>
      </c>
    </row>
    <row r="3132" spans="1:6" x14ac:dyDescent="0.3">
      <c r="A3132" t="s">
        <v>7791</v>
      </c>
      <c r="B3132" t="str" cm="1">
        <f t="array" ref="B3132">_xlfn.XLOOKUP(C3132, INDEX([1]!카테고리매핑,,2), INDEX([1]!카테고리매핑,,1), "미등록 카테고리")</f>
        <v>미등록 카테고리</v>
      </c>
      <c r="C3132" t="s">
        <v>334</v>
      </c>
      <c r="D3132" t="str">
        <f>VLOOKUP(C3132, '[1]VLOOKUP 함수용 카테고리'!$A$1:$B$59, 2, 0)</f>
        <v>UNKNOWN</v>
      </c>
      <c r="E3132" t="s">
        <v>334</v>
      </c>
      <c r="F3132" t="s">
        <v>2882</v>
      </c>
    </row>
    <row r="3133" spans="1:6" x14ac:dyDescent="0.3">
      <c r="A3133" t="s">
        <v>5189</v>
      </c>
      <c r="B3133" t="str" cm="1">
        <f t="array" ref="B3133">_xlfn.XLOOKUP(C3133, INDEX([1]!카테고리매핑,,2), INDEX([1]!카테고리매핑,,1), "미등록 카테고리")</f>
        <v>조미료</v>
      </c>
      <c r="C3133" t="s">
        <v>127</v>
      </c>
      <c r="D3133" t="str">
        <f>VLOOKUP(C3133, '[1]VLOOKUP 함수용 카테고리'!$A$1:$B$59, 2, 0)</f>
        <v>SAUCE_SEASONING</v>
      </c>
      <c r="E3133" t="s">
        <v>4529</v>
      </c>
      <c r="F3133" t="s">
        <v>1154</v>
      </c>
    </row>
    <row r="3134" spans="1:6" x14ac:dyDescent="0.3">
      <c r="A3134" t="s">
        <v>5190</v>
      </c>
      <c r="B3134" t="str" cm="1">
        <f t="array" ref="B3134">_xlfn.XLOOKUP(C3134, INDEX([1]!카테고리매핑,,2), INDEX([1]!카테고리매핑,,1), "미등록 카테고리")</f>
        <v>조미료</v>
      </c>
      <c r="C3134" t="s">
        <v>127</v>
      </c>
      <c r="D3134" t="str">
        <f>VLOOKUP(C3134, '[1]VLOOKUP 함수용 카테고리'!$A$1:$B$59, 2, 0)</f>
        <v>SAUCE_SEASONING</v>
      </c>
      <c r="E3134" t="s">
        <v>2106</v>
      </c>
      <c r="F3134" t="s">
        <v>1442</v>
      </c>
    </row>
    <row r="3135" spans="1:6" x14ac:dyDescent="0.3">
      <c r="A3135" t="s">
        <v>5191</v>
      </c>
      <c r="B3135" t="str" cm="1">
        <f t="array" ref="B3135">_xlfn.XLOOKUP(C3135, INDEX([1]!카테고리매핑,,2), INDEX([1]!카테고리매핑,,1), "미등록 카테고리")</f>
        <v>수산물</v>
      </c>
      <c r="C3135" t="s">
        <v>1397</v>
      </c>
      <c r="D3135" t="str">
        <f>VLOOKUP(C3135, '[1]VLOOKUP 함수용 카테고리'!$A$1:$B$59, 2, 0)</f>
        <v>RAW_SEAFOOD</v>
      </c>
      <c r="E3135" t="s">
        <v>2607</v>
      </c>
    </row>
    <row r="3136" spans="1:6" x14ac:dyDescent="0.3">
      <c r="A3136" t="s">
        <v>5192</v>
      </c>
      <c r="B3136" t="str" cm="1">
        <f t="array" ref="B3136">_xlfn.XLOOKUP(C3136, INDEX([1]!카테고리매핑,,2), INDEX([1]!카테고리매핑,,1), "미등록 카테고리")</f>
        <v>간편식</v>
      </c>
      <c r="C3136" t="s">
        <v>19</v>
      </c>
      <c r="D3136" t="str">
        <f>VLOOKUP(C3136, '[1]VLOOKUP 함수용 카테고리'!$A$1:$B$59, 2, 0)</f>
        <v>FROZEN_MEAL</v>
      </c>
      <c r="E3136" t="s">
        <v>1854</v>
      </c>
      <c r="F3136" t="s">
        <v>1554</v>
      </c>
    </row>
    <row r="3137" spans="1:6" x14ac:dyDescent="0.3">
      <c r="A3137" t="s">
        <v>5193</v>
      </c>
      <c r="B3137" t="str" cm="1">
        <f t="array" ref="B3137">_xlfn.XLOOKUP(C3137, INDEX([1]!카테고리매핑,,2), INDEX([1]!카테고리매핑,,1), "미등록 카테고리")</f>
        <v>간편식</v>
      </c>
      <c r="C3137" t="s">
        <v>131</v>
      </c>
      <c r="D3137" t="str">
        <f>VLOOKUP(C3137, '[1]VLOOKUP 함수용 카테고리'!$A$1:$B$59, 2, 0)</f>
        <v>SIMPLE_PROCESSED</v>
      </c>
      <c r="E3137" t="s">
        <v>526</v>
      </c>
      <c r="F3137" t="s">
        <v>1418</v>
      </c>
    </row>
    <row r="3138" spans="1:6" x14ac:dyDescent="0.3">
      <c r="A3138" t="s">
        <v>5194</v>
      </c>
      <c r="B3138" t="str" cm="1">
        <f t="array" ref="B3138">_xlfn.XLOOKUP(C3138, INDEX([1]!카테고리매핑,,2), INDEX([1]!카테고리매핑,,1), "미등록 카테고리")</f>
        <v>간식류</v>
      </c>
      <c r="C3138" t="s">
        <v>38</v>
      </c>
      <c r="D3138" t="str">
        <f>VLOOKUP(C3138, '[1]VLOOKUP 함수용 카테고리'!$A$1:$B$59, 2, 0)</f>
        <v>SNACK</v>
      </c>
      <c r="E3138" t="s">
        <v>179</v>
      </c>
      <c r="F3138" t="s">
        <v>7792</v>
      </c>
    </row>
    <row r="3139" spans="1:6" x14ac:dyDescent="0.3">
      <c r="A3139" t="s">
        <v>5195</v>
      </c>
      <c r="B3139" t="str" cm="1">
        <f t="array" ref="B3139">_xlfn.XLOOKUP(C3139, INDEX([1]!카테고리매핑,,2), INDEX([1]!카테고리매핑,,1), "미등록 카테고리")</f>
        <v>조미료</v>
      </c>
      <c r="C3139" t="s">
        <v>558</v>
      </c>
      <c r="D3139" t="str">
        <f>VLOOKUP(C3139, '[1]VLOOKUP 함수용 카테고리'!$A$1:$B$59, 2, 0)</f>
        <v>SAUCE_SEASONING</v>
      </c>
      <c r="E3139" t="s">
        <v>559</v>
      </c>
      <c r="F3139" t="s">
        <v>129</v>
      </c>
    </row>
    <row r="3140" spans="1:6" x14ac:dyDescent="0.3">
      <c r="A3140" t="s">
        <v>5196</v>
      </c>
      <c r="B3140" t="str" cm="1">
        <f t="array" ref="B3140">_xlfn.XLOOKUP(C3140, INDEX([1]!카테고리매핑,,2), INDEX([1]!카테고리매핑,,1), "미등록 카테고리")</f>
        <v>수산물</v>
      </c>
      <c r="C3140" t="s">
        <v>203</v>
      </c>
      <c r="D3140" t="str">
        <f>VLOOKUP(C3140, '[1]VLOOKUP 함수용 카테고리'!$A$1:$B$59, 2, 0)</f>
        <v>RAW_SEAFOOD</v>
      </c>
      <c r="E3140" t="s">
        <v>1318</v>
      </c>
      <c r="F3140" t="s">
        <v>7848</v>
      </c>
    </row>
    <row r="3141" spans="1:6" x14ac:dyDescent="0.3">
      <c r="A3141" t="s">
        <v>5197</v>
      </c>
      <c r="B3141" t="str" cm="1">
        <f t="array" ref="B3141">_xlfn.XLOOKUP(C3141, INDEX([1]!카테고리매핑,,2), INDEX([1]!카테고리매핑,,1), "미등록 카테고리")</f>
        <v>육류/계란</v>
      </c>
      <c r="C3141" t="s">
        <v>149</v>
      </c>
      <c r="D3141" t="str">
        <f>VLOOKUP(C3141, '[1]VLOOKUP 함수용 카테고리'!$A$1:$B$59, 2, 0)</f>
        <v>RAW_MEAT</v>
      </c>
      <c r="E3141" t="s">
        <v>1448</v>
      </c>
      <c r="F3141" t="s">
        <v>1183</v>
      </c>
    </row>
    <row r="3142" spans="1:6" x14ac:dyDescent="0.3">
      <c r="A3142" t="s">
        <v>5198</v>
      </c>
      <c r="B3142" t="str" cm="1">
        <f t="array" ref="B3142">_xlfn.XLOOKUP(C3142, INDEX([1]!카테고리매핑,,2), INDEX([1]!카테고리매핑,,1), "미등록 카테고리")</f>
        <v>상온식품</v>
      </c>
      <c r="C3142" t="s">
        <v>276</v>
      </c>
      <c r="D3142" t="str">
        <f>VLOOKUP(C3142, '[1]VLOOKUP 함수용 카테고리'!$A$1:$B$59, 2, 0)</f>
        <v>DRIED_SEAFOOD</v>
      </c>
      <c r="E3142" t="s">
        <v>277</v>
      </c>
      <c r="F3142" t="s">
        <v>5199</v>
      </c>
    </row>
    <row r="3143" spans="1:6" x14ac:dyDescent="0.3">
      <c r="A3143" t="s">
        <v>5200</v>
      </c>
      <c r="B3143" t="str" cm="1">
        <f t="array" ref="B3143">_xlfn.XLOOKUP(C3143, INDEX([1]!카테고리매핑,,2), INDEX([1]!카테고리매핑,,1), "미등록 카테고리")</f>
        <v>간편식</v>
      </c>
      <c r="C3143" t="s">
        <v>256</v>
      </c>
      <c r="D3143" t="str">
        <f>VLOOKUP(C3143, '[1]VLOOKUP 함수용 카테고리'!$A$1:$B$59, 2, 0)</f>
        <v>RTC_MEAL</v>
      </c>
      <c r="E3143" t="s">
        <v>256</v>
      </c>
      <c r="F3143" t="s">
        <v>541</v>
      </c>
    </row>
    <row r="3144" spans="1:6" x14ac:dyDescent="0.3">
      <c r="A3144" t="s">
        <v>5201</v>
      </c>
      <c r="B3144" t="str" cm="1">
        <f t="array" ref="B3144">_xlfn.XLOOKUP(C3144, INDEX([1]!카테고리매핑,,2), INDEX([1]!카테고리매핑,,1), "미등록 카테고리")</f>
        <v>채소/곡물류</v>
      </c>
      <c r="C3144" t="s">
        <v>301</v>
      </c>
      <c r="D3144" t="str">
        <f>VLOOKUP(C3144, '[1]VLOOKUP 함수용 카테고리'!$A$1:$B$59, 2, 0)</f>
        <v>GRAIN</v>
      </c>
      <c r="E3144" t="s">
        <v>2023</v>
      </c>
      <c r="F3144" t="s">
        <v>2372</v>
      </c>
    </row>
    <row r="3145" spans="1:6" x14ac:dyDescent="0.3">
      <c r="A3145" t="s">
        <v>5202</v>
      </c>
      <c r="B3145" t="str" cm="1">
        <f t="array" ref="B3145">_xlfn.XLOOKUP(C3145, INDEX([1]!카테고리매핑,,2), INDEX([1]!카테고리매핑,,1), "미등록 카테고리")</f>
        <v>육류/계란</v>
      </c>
      <c r="C3145" t="s">
        <v>428</v>
      </c>
      <c r="D3145" t="str">
        <f>VLOOKUP(C3145, '[1]VLOOKUP 함수용 카테고리'!$A$1:$B$59, 2, 0)</f>
        <v>PROCESSED_MEAT</v>
      </c>
      <c r="E3145" t="s">
        <v>776</v>
      </c>
      <c r="F3145" t="s">
        <v>5203</v>
      </c>
    </row>
    <row r="3146" spans="1:6" x14ac:dyDescent="0.3">
      <c r="A3146" t="s">
        <v>5204</v>
      </c>
      <c r="B3146" t="str" cm="1">
        <f t="array" ref="B3146">_xlfn.XLOOKUP(C3146, INDEX([1]!카테고리매핑,,2), INDEX([1]!카테고리매핑,,1), "미등록 카테고리")</f>
        <v>채소/곡물류</v>
      </c>
      <c r="C3146" t="s">
        <v>7</v>
      </c>
      <c r="D3146" t="str">
        <f>VLOOKUP(C3146, '[1]VLOOKUP 함수용 카테고리'!$A$1:$B$59, 2, 0)</f>
        <v>RAW_PRODUCE</v>
      </c>
      <c r="E3146" t="s">
        <v>535</v>
      </c>
      <c r="F3146" t="s">
        <v>332</v>
      </c>
    </row>
    <row r="3147" spans="1:6" x14ac:dyDescent="0.3">
      <c r="A3147" t="s">
        <v>5205</v>
      </c>
      <c r="B3147" t="str" cm="1">
        <f t="array" ref="B3147">_xlfn.XLOOKUP(C3147, INDEX([1]!카테고리매핑,,2), INDEX([1]!카테고리매핑,,1), "미등록 카테고리")</f>
        <v>조미료</v>
      </c>
      <c r="C3147" t="s">
        <v>84</v>
      </c>
      <c r="D3147" t="str">
        <f>VLOOKUP(C3147, '[1]VLOOKUP 함수용 카테고리'!$A$1:$B$59, 2, 0)</f>
        <v>SAUCE_SEASONING</v>
      </c>
      <c r="E3147" t="s">
        <v>3459</v>
      </c>
      <c r="F3147" t="s">
        <v>646</v>
      </c>
    </row>
    <row r="3148" spans="1:6" x14ac:dyDescent="0.3">
      <c r="A3148" t="s">
        <v>5206</v>
      </c>
      <c r="B3148" t="str" cm="1">
        <f t="array" ref="B3148">_xlfn.XLOOKUP(C3148, INDEX([1]!카테고리매핑,,2), INDEX([1]!카테고리매핑,,1), "미등록 카테고리")</f>
        <v>간편식</v>
      </c>
      <c r="C3148" t="s">
        <v>46</v>
      </c>
      <c r="D3148" t="str">
        <f>VLOOKUP(C3148, '[1]VLOOKUP 함수용 카테고리'!$A$1:$B$59, 2, 0)</f>
        <v>RTC_MEAL</v>
      </c>
      <c r="E3148" t="s">
        <v>46</v>
      </c>
      <c r="F3148" t="s">
        <v>5207</v>
      </c>
    </row>
    <row r="3149" spans="1:6" x14ac:dyDescent="0.3">
      <c r="A3149" t="s">
        <v>5208</v>
      </c>
      <c r="B3149" t="str" cm="1">
        <f t="array" ref="B3149">_xlfn.XLOOKUP(C3149, INDEX([1]!카테고리매핑,,2), INDEX([1]!카테고리매핑,,1), "미등록 카테고리")</f>
        <v>술</v>
      </c>
      <c r="C3149" t="s">
        <v>56</v>
      </c>
      <c r="D3149" t="str">
        <f>VLOOKUP(C3149, '[1]VLOOKUP 함수용 카테고리'!$A$1:$B$59, 2, 0)</f>
        <v>ALCOHOL</v>
      </c>
      <c r="E3149" t="s">
        <v>505</v>
      </c>
    </row>
    <row r="3150" spans="1:6" x14ac:dyDescent="0.3">
      <c r="A3150" t="s">
        <v>5209</v>
      </c>
      <c r="B3150" t="str" cm="1">
        <f t="array" ref="B3150">_xlfn.XLOOKUP(C3150, INDEX([1]!카테고리매핑,,2), INDEX([1]!카테고리매핑,,1), "미등록 카테고리")</f>
        <v>수산물</v>
      </c>
      <c r="C3150" t="s">
        <v>1673</v>
      </c>
      <c r="D3150" t="str">
        <f>VLOOKUP(C3150, '[1]VLOOKUP 함수용 카테고리'!$A$1:$B$59, 2, 0)</f>
        <v>RAW_SEAFOOD</v>
      </c>
      <c r="E3150" t="s">
        <v>5210</v>
      </c>
      <c r="F3150" t="s">
        <v>1675</v>
      </c>
    </row>
    <row r="3151" spans="1:6" x14ac:dyDescent="0.3">
      <c r="A3151" t="s">
        <v>5211</v>
      </c>
      <c r="B3151" t="str" cm="1">
        <f t="array" ref="B3151">_xlfn.XLOOKUP(C3151, INDEX([1]!카테고리매핑,,2), INDEX([1]!카테고리매핑,,1), "미등록 카테고리")</f>
        <v>간편식</v>
      </c>
      <c r="C3151" t="s">
        <v>131</v>
      </c>
      <c r="D3151" t="str">
        <f>VLOOKUP(C3151, '[1]VLOOKUP 함수용 카테고리'!$A$1:$B$59, 2, 0)</f>
        <v>SIMPLE_PROCESSED</v>
      </c>
      <c r="E3151" t="s">
        <v>2380</v>
      </c>
      <c r="F3151" t="s">
        <v>303</v>
      </c>
    </row>
    <row r="3152" spans="1:6" x14ac:dyDescent="0.3">
      <c r="A3152" t="s">
        <v>5212</v>
      </c>
      <c r="B3152" t="str" cm="1">
        <f t="array" ref="B3152">_xlfn.XLOOKUP(C3152, INDEX([1]!카테고리매핑,,2), INDEX([1]!카테고리매핑,,1), "미등록 카테고리")</f>
        <v>유제품</v>
      </c>
      <c r="C3152" t="s">
        <v>98</v>
      </c>
      <c r="D3152" t="str">
        <f>VLOOKUP(C3152, '[1]VLOOKUP 함수용 카테고리'!$A$1:$B$59, 2, 0)</f>
        <v>DAIRY</v>
      </c>
      <c r="E3152" t="s">
        <v>273</v>
      </c>
      <c r="F3152" t="s">
        <v>5213</v>
      </c>
    </row>
    <row r="3153" spans="1:6" x14ac:dyDescent="0.3">
      <c r="A3153" t="s">
        <v>5214</v>
      </c>
      <c r="B3153" t="str" cm="1">
        <f t="array" ref="B3153">_xlfn.XLOOKUP(C3153, INDEX([1]!카테고리매핑,,2), INDEX([1]!카테고리매핑,,1), "미등록 카테고리")</f>
        <v>조미료</v>
      </c>
      <c r="C3153" t="s">
        <v>83</v>
      </c>
      <c r="D3153" t="str">
        <f>VLOOKUP(C3153, '[1]VLOOKUP 함수용 카테고리'!$A$1:$B$59, 2, 0)</f>
        <v>SAUCE_SEASONING</v>
      </c>
      <c r="E3153" t="s">
        <v>4539</v>
      </c>
      <c r="F3153" t="s">
        <v>129</v>
      </c>
    </row>
    <row r="3154" spans="1:6" x14ac:dyDescent="0.3">
      <c r="A3154" t="s">
        <v>5215</v>
      </c>
      <c r="B3154" t="str" cm="1">
        <f t="array" ref="B3154">_xlfn.XLOOKUP(C3154, INDEX([1]!카테고리매핑,,2), INDEX([1]!카테고리매핑,,1), "미등록 카테고리")</f>
        <v>간편식</v>
      </c>
      <c r="C3154" t="s">
        <v>256</v>
      </c>
      <c r="D3154" t="str">
        <f>VLOOKUP(C3154, '[1]VLOOKUP 함수용 카테고리'!$A$1:$B$59, 2, 0)</f>
        <v>RTC_MEAL</v>
      </c>
      <c r="E3154" t="s">
        <v>256</v>
      </c>
      <c r="F3154" t="s">
        <v>5216</v>
      </c>
    </row>
    <row r="3155" spans="1:6" x14ac:dyDescent="0.3">
      <c r="A3155" t="s">
        <v>5217</v>
      </c>
      <c r="B3155" t="str" cm="1">
        <f t="array" ref="B3155">_xlfn.XLOOKUP(C3155, INDEX([1]!카테고리매핑,,2), INDEX([1]!카테고리매핑,,1), "미등록 카테고리")</f>
        <v>육류/계란</v>
      </c>
      <c r="C3155" t="s">
        <v>34</v>
      </c>
      <c r="D3155" t="str">
        <f>VLOOKUP(C3155, '[1]VLOOKUP 함수용 카테고리'!$A$1:$B$59, 2, 0)</f>
        <v>RAW_MEAT</v>
      </c>
      <c r="E3155" t="s">
        <v>5218</v>
      </c>
      <c r="F3155" t="s">
        <v>36</v>
      </c>
    </row>
    <row r="3156" spans="1:6" x14ac:dyDescent="0.3">
      <c r="A3156" t="s">
        <v>5219</v>
      </c>
      <c r="B3156" t="str" cm="1">
        <f t="array" ref="B3156">_xlfn.XLOOKUP(C3156, INDEX([1]!카테고리매핑,,2), INDEX([1]!카테고리매핑,,1), "미등록 카테고리")</f>
        <v>음료</v>
      </c>
      <c r="C3156" t="s">
        <v>23</v>
      </c>
      <c r="D3156" t="str">
        <f>VLOOKUP(C3156, '[1]VLOOKUP 함수용 카테고리'!$A$1:$B$59, 2, 0)</f>
        <v>BEVERAGE</v>
      </c>
      <c r="E3156" t="s">
        <v>288</v>
      </c>
      <c r="F3156" t="s">
        <v>1600</v>
      </c>
    </row>
    <row r="3157" spans="1:6" x14ac:dyDescent="0.3">
      <c r="A3157" t="s">
        <v>5220</v>
      </c>
      <c r="B3157" t="str" cm="1">
        <f t="array" ref="B3157">_xlfn.XLOOKUP(C3157, INDEX([1]!카테고리매핑,,2), INDEX([1]!카테고리매핑,,1), "미등록 카테고리")</f>
        <v>수산물</v>
      </c>
      <c r="C3157" t="s">
        <v>263</v>
      </c>
      <c r="D3157" t="str">
        <f>VLOOKUP(C3157, '[1]VLOOKUP 함수용 카테고리'!$A$1:$B$59, 2, 0)</f>
        <v>RAW_SEAFOOD</v>
      </c>
      <c r="E3157" t="s">
        <v>408</v>
      </c>
      <c r="F3157" t="s">
        <v>350</v>
      </c>
    </row>
    <row r="3158" spans="1:6" x14ac:dyDescent="0.3">
      <c r="A3158" t="s">
        <v>5221</v>
      </c>
      <c r="B3158" t="str" cm="1">
        <f t="array" ref="B3158">_xlfn.XLOOKUP(C3158, INDEX([1]!카테고리매핑,,2), INDEX([1]!카테고리매핑,,1), "미등록 카테고리")</f>
        <v>유제품</v>
      </c>
      <c r="C3158" t="s">
        <v>98</v>
      </c>
      <c r="D3158" t="str">
        <f>VLOOKUP(C3158, '[1]VLOOKUP 함수용 카테고리'!$A$1:$B$59, 2, 0)</f>
        <v>DAIRY</v>
      </c>
      <c r="E3158" t="s">
        <v>5222</v>
      </c>
      <c r="F3158" t="s">
        <v>4666</v>
      </c>
    </row>
    <row r="3159" spans="1:6" x14ac:dyDescent="0.3">
      <c r="A3159" t="s">
        <v>5223</v>
      </c>
      <c r="B3159" t="str" cm="1">
        <f t="array" ref="B3159">_xlfn.XLOOKUP(C3159, INDEX([1]!카테고리매핑,,2), INDEX([1]!카테고리매핑,,1), "미등록 카테고리")</f>
        <v>채소/곡물류</v>
      </c>
      <c r="C3159" t="s">
        <v>7</v>
      </c>
      <c r="D3159" t="str">
        <f>VLOOKUP(C3159, '[1]VLOOKUP 함수용 카테고리'!$A$1:$B$59, 2, 0)</f>
        <v>RAW_PRODUCE</v>
      </c>
      <c r="E3159" t="s">
        <v>5224</v>
      </c>
    </row>
    <row r="3160" spans="1:6" x14ac:dyDescent="0.3">
      <c r="A3160" t="s">
        <v>5225</v>
      </c>
      <c r="B3160" t="str" cm="1">
        <f t="array" ref="B3160">_xlfn.XLOOKUP(C3160, INDEX([1]!카테고리매핑,,2), INDEX([1]!카테고리매핑,,1), "미등록 카테고리")</f>
        <v>미등록 카테고리</v>
      </c>
      <c r="C3160" t="s">
        <v>334</v>
      </c>
      <c r="D3160" t="str">
        <f>VLOOKUP(C3160, '[1]VLOOKUP 함수용 카테고리'!$A$1:$B$59, 2, 0)</f>
        <v>UNKNOWN</v>
      </c>
      <c r="E3160" t="s">
        <v>334</v>
      </c>
      <c r="F3160" t="s">
        <v>4129</v>
      </c>
    </row>
    <row r="3161" spans="1:6" x14ac:dyDescent="0.3">
      <c r="A3161" t="s">
        <v>5226</v>
      </c>
      <c r="B3161" t="str" cm="1">
        <f t="array" ref="B3161">_xlfn.XLOOKUP(C3161, INDEX([1]!카테고리매핑,,2), INDEX([1]!카테고리매핑,,1), "미등록 카테고리")</f>
        <v>음료</v>
      </c>
      <c r="C3161" t="s">
        <v>23</v>
      </c>
      <c r="D3161" t="str">
        <f>VLOOKUP(C3161, '[1]VLOOKUP 함수용 카테고리'!$A$1:$B$59, 2, 0)</f>
        <v>BEVERAGE</v>
      </c>
      <c r="E3161" t="s">
        <v>305</v>
      </c>
      <c r="F3161" t="s">
        <v>306</v>
      </c>
    </row>
    <row r="3162" spans="1:6" x14ac:dyDescent="0.3">
      <c r="A3162" t="s">
        <v>5227</v>
      </c>
      <c r="B3162" t="str" cm="1">
        <f t="array" ref="B3162">_xlfn.XLOOKUP(C3162, INDEX([1]!카테고리매핑,,2), INDEX([1]!카테고리매핑,,1), "미등록 카테고리")</f>
        <v>조미료</v>
      </c>
      <c r="C3162" t="s">
        <v>127</v>
      </c>
      <c r="D3162" t="str">
        <f>VLOOKUP(C3162, '[1]VLOOKUP 함수용 카테고리'!$A$1:$B$59, 2, 0)</f>
        <v>SAUCE_SEASONING</v>
      </c>
      <c r="E3162" t="s">
        <v>128</v>
      </c>
      <c r="F3162" t="s">
        <v>129</v>
      </c>
    </row>
    <row r="3163" spans="1:6" x14ac:dyDescent="0.3">
      <c r="A3163" t="s">
        <v>5228</v>
      </c>
      <c r="B3163" t="str" cm="1">
        <f t="array" ref="B3163">_xlfn.XLOOKUP(C3163, INDEX([1]!카테고리매핑,,2), INDEX([1]!카테고리매핑,,1), "미등록 카테고리")</f>
        <v>간식류</v>
      </c>
      <c r="C3163" t="s">
        <v>38</v>
      </c>
      <c r="D3163" t="str">
        <f>VLOOKUP(C3163, '[1]VLOOKUP 함수용 카테고리'!$A$1:$B$59, 2, 0)</f>
        <v>SNACK</v>
      </c>
      <c r="E3163" t="s">
        <v>179</v>
      </c>
      <c r="F3163" t="s">
        <v>5229</v>
      </c>
    </row>
    <row r="3164" spans="1:6" x14ac:dyDescent="0.3">
      <c r="A3164" t="s">
        <v>5230</v>
      </c>
      <c r="B3164" t="str" cm="1">
        <f t="array" ref="B3164">_xlfn.XLOOKUP(C3164, INDEX([1]!카테고리매핑,,2), INDEX([1]!카테고리매핑,,1), "미등록 카테고리")</f>
        <v>간식류</v>
      </c>
      <c r="C3164" t="s">
        <v>109</v>
      </c>
      <c r="D3164" t="str">
        <f>VLOOKUP(C3164, '[1]VLOOKUP 함수용 카테고리'!$A$1:$B$59, 2, 0)</f>
        <v>SNACK</v>
      </c>
      <c r="E3164" t="s">
        <v>1531</v>
      </c>
      <c r="F3164" t="s">
        <v>111</v>
      </c>
    </row>
    <row r="3165" spans="1:6" x14ac:dyDescent="0.3">
      <c r="A3165" t="s">
        <v>5231</v>
      </c>
      <c r="B3165" t="str" cm="1">
        <f t="array" ref="B3165">_xlfn.XLOOKUP(C3165, INDEX([1]!카테고리매핑,,2), INDEX([1]!카테고리매핑,,1), "미등록 카테고리")</f>
        <v>유제품</v>
      </c>
      <c r="C3165" t="s">
        <v>123</v>
      </c>
      <c r="D3165" t="str">
        <f>VLOOKUP(C3165, '[1]VLOOKUP 함수용 카테고리'!$A$1:$B$59, 2, 0)</f>
        <v>DAIRY</v>
      </c>
      <c r="E3165" t="s">
        <v>190</v>
      </c>
      <c r="F3165" t="s">
        <v>5232</v>
      </c>
    </row>
    <row r="3166" spans="1:6" x14ac:dyDescent="0.3">
      <c r="A3166" t="s">
        <v>5233</v>
      </c>
      <c r="B3166" t="str" cm="1">
        <f t="array" ref="B3166">_xlfn.XLOOKUP(C3166, INDEX([1]!카테고리매핑,,2), INDEX([1]!카테고리매핑,,1), "미등록 카테고리")</f>
        <v>음료</v>
      </c>
      <c r="C3166" t="s">
        <v>23</v>
      </c>
      <c r="D3166" t="str">
        <f>VLOOKUP(C3166, '[1]VLOOKUP 함수용 카테고리'!$A$1:$B$59, 2, 0)</f>
        <v>BEVERAGE</v>
      </c>
      <c r="E3166" t="s">
        <v>1156</v>
      </c>
      <c r="F3166" t="s">
        <v>4036</v>
      </c>
    </row>
    <row r="3167" spans="1:6" x14ac:dyDescent="0.3">
      <c r="A3167" t="s">
        <v>5234</v>
      </c>
      <c r="B3167" t="str" cm="1">
        <f t="array" ref="B3167">_xlfn.XLOOKUP(C3167, INDEX([1]!카테고리매핑,,2), INDEX([1]!카테고리매핑,,1), "미등록 카테고리")</f>
        <v>육류/계란</v>
      </c>
      <c r="C3167" t="s">
        <v>105</v>
      </c>
      <c r="D3167" t="str">
        <f>VLOOKUP(C3167, '[1]VLOOKUP 함수용 카테고리'!$A$1:$B$59, 2, 0)</f>
        <v>RAW_MEAT</v>
      </c>
      <c r="E3167" t="s">
        <v>1031</v>
      </c>
      <c r="F3167" t="s">
        <v>5235</v>
      </c>
    </row>
    <row r="3168" spans="1:6" x14ac:dyDescent="0.3">
      <c r="A3168" t="s">
        <v>5236</v>
      </c>
      <c r="B3168" t="str" cm="1">
        <f t="array" ref="B3168">_xlfn.XLOOKUP(C3168, INDEX([1]!카테고리매핑,,2), INDEX([1]!카테고리매핑,,1), "미등록 카테고리")</f>
        <v>채소/곡물류</v>
      </c>
      <c r="C3168" t="s">
        <v>207</v>
      </c>
      <c r="D3168" t="str">
        <f>VLOOKUP(C3168, '[1]VLOOKUP 함수용 카테고리'!$A$1:$B$59, 2, 0)</f>
        <v>GRAIN</v>
      </c>
      <c r="E3168" t="s">
        <v>2588</v>
      </c>
      <c r="F3168" t="s">
        <v>615</v>
      </c>
    </row>
    <row r="3169" spans="1:6" x14ac:dyDescent="0.3">
      <c r="A3169" t="s">
        <v>5237</v>
      </c>
      <c r="B3169" t="str" cm="1">
        <f t="array" ref="B3169">_xlfn.XLOOKUP(C3169, INDEX([1]!카테고리매핑,,2), INDEX([1]!카테고리매핑,,1), "미등록 카테고리")</f>
        <v>음료</v>
      </c>
      <c r="C3169" t="s">
        <v>23</v>
      </c>
      <c r="D3169" t="str">
        <f>VLOOKUP(C3169, '[1]VLOOKUP 함수용 카테고리'!$A$1:$B$59, 2, 0)</f>
        <v>BEVERAGE</v>
      </c>
      <c r="E3169" t="s">
        <v>74</v>
      </c>
      <c r="F3169" t="s">
        <v>2049</v>
      </c>
    </row>
    <row r="3170" spans="1:6" x14ac:dyDescent="0.3">
      <c r="A3170" t="s">
        <v>5238</v>
      </c>
      <c r="B3170" t="str" cm="1">
        <f t="array" ref="B3170">_xlfn.XLOOKUP(C3170, INDEX([1]!카테고리매핑,,2), INDEX([1]!카테고리매핑,,1), "미등록 카테고리")</f>
        <v>간식류</v>
      </c>
      <c r="C3170" t="s">
        <v>15</v>
      </c>
      <c r="D3170" t="str">
        <f>VLOOKUP(C3170, '[1]VLOOKUP 함수용 카테고리'!$A$1:$B$59, 2, 0)</f>
        <v>BAKERY</v>
      </c>
      <c r="E3170" t="s">
        <v>499</v>
      </c>
      <c r="F3170" t="s">
        <v>5239</v>
      </c>
    </row>
    <row r="3171" spans="1:6" x14ac:dyDescent="0.3">
      <c r="A3171" t="s">
        <v>5240</v>
      </c>
      <c r="B3171" t="str" cm="1">
        <f t="array" ref="B3171">_xlfn.XLOOKUP(C3171, INDEX([1]!카테고리매핑,,2), INDEX([1]!카테고리매핑,,1), "미등록 카테고리")</f>
        <v>채소/곡물류</v>
      </c>
      <c r="C3171" t="s">
        <v>7</v>
      </c>
      <c r="D3171" t="str">
        <f>VLOOKUP(C3171, '[1]VLOOKUP 함수용 카테고리'!$A$1:$B$59, 2, 0)</f>
        <v>RAW_PRODUCE</v>
      </c>
      <c r="E3171" t="s">
        <v>4100</v>
      </c>
      <c r="F3171" t="s">
        <v>5241</v>
      </c>
    </row>
    <row r="3172" spans="1:6" x14ac:dyDescent="0.3">
      <c r="A3172" t="s">
        <v>5242</v>
      </c>
      <c r="B3172" t="str" cm="1">
        <f t="array" ref="B3172">_xlfn.XLOOKUP(C3172, INDEX([1]!카테고리매핑,,2), INDEX([1]!카테고리매핑,,1), "미등록 카테고리")</f>
        <v>조미료</v>
      </c>
      <c r="C3172" t="s">
        <v>127</v>
      </c>
      <c r="D3172" t="str">
        <f>VLOOKUP(C3172, '[1]VLOOKUP 함수용 카테고리'!$A$1:$B$59, 2, 0)</f>
        <v>SAUCE_SEASONING</v>
      </c>
      <c r="E3172" t="s">
        <v>7659</v>
      </c>
      <c r="F3172" t="s">
        <v>3570</v>
      </c>
    </row>
    <row r="3173" spans="1:6" x14ac:dyDescent="0.3">
      <c r="A3173" t="s">
        <v>5243</v>
      </c>
      <c r="B3173" t="str" cm="1">
        <f t="array" ref="B3173">_xlfn.XLOOKUP(C3173, INDEX([1]!카테고리매핑,,2), INDEX([1]!카테고리매핑,,1), "미등록 카테고리")</f>
        <v>간식류</v>
      </c>
      <c r="C3173" t="s">
        <v>11</v>
      </c>
      <c r="D3173" t="str">
        <f>VLOOKUP(C3173, '[1]VLOOKUP 함수용 카테고리'!$A$1:$B$59, 2, 0)</f>
        <v>SNACK</v>
      </c>
      <c r="E3173" t="s">
        <v>5244</v>
      </c>
      <c r="F3173" t="s">
        <v>5245</v>
      </c>
    </row>
    <row r="3174" spans="1:6" x14ac:dyDescent="0.3">
      <c r="A3174" t="s">
        <v>5246</v>
      </c>
      <c r="B3174" t="str" cm="1">
        <f t="array" ref="B3174">_xlfn.XLOOKUP(C3174, INDEX([1]!카테고리매핑,,2), INDEX([1]!카테고리매핑,,1), "미등록 카테고리")</f>
        <v>수산물</v>
      </c>
      <c r="C3174" t="s">
        <v>101</v>
      </c>
      <c r="D3174" t="str">
        <f>VLOOKUP(C3174, '[1]VLOOKUP 함수용 카테고리'!$A$1:$B$59, 2, 0)</f>
        <v>DRIED_SEAFOOD</v>
      </c>
      <c r="E3174" t="s">
        <v>693</v>
      </c>
      <c r="F3174" t="s">
        <v>694</v>
      </c>
    </row>
    <row r="3175" spans="1:6" x14ac:dyDescent="0.3">
      <c r="A3175" t="s">
        <v>5247</v>
      </c>
      <c r="B3175" t="str" cm="1">
        <f t="array" ref="B3175">_xlfn.XLOOKUP(C3175, INDEX([1]!카테고리매핑,,2), INDEX([1]!카테고리매핑,,1), "미등록 카테고리")</f>
        <v>간식류</v>
      </c>
      <c r="C3175" t="s">
        <v>63</v>
      </c>
      <c r="D3175" t="str">
        <f>VLOOKUP(C3175, '[1]VLOOKUP 함수용 카테고리'!$A$1:$B$59, 2, 0)</f>
        <v>BAKERY</v>
      </c>
      <c r="E3175" t="s">
        <v>3512</v>
      </c>
      <c r="F3175" t="s">
        <v>2892</v>
      </c>
    </row>
    <row r="3176" spans="1:6" x14ac:dyDescent="0.3">
      <c r="A3176" t="s">
        <v>5248</v>
      </c>
      <c r="B3176" t="str" cm="1">
        <f t="array" ref="B3176">_xlfn.XLOOKUP(C3176, INDEX([1]!카테고리매핑,,2), INDEX([1]!카테고리매핑,,1), "미등록 카테고리")</f>
        <v>상온식품</v>
      </c>
      <c r="C3176" t="s">
        <v>835</v>
      </c>
      <c r="D3176" t="str">
        <f>VLOOKUP(C3176, '[1]VLOOKUP 함수용 카테고리'!$A$1:$B$59, 2, 0)</f>
        <v>SAUCE_SEASONING</v>
      </c>
      <c r="E3176" t="s">
        <v>2157</v>
      </c>
      <c r="F3176" t="s">
        <v>129</v>
      </c>
    </row>
    <row r="3177" spans="1:6" x14ac:dyDescent="0.3">
      <c r="A3177" t="s">
        <v>5249</v>
      </c>
      <c r="B3177" t="str" cm="1">
        <f t="array" ref="B3177">_xlfn.XLOOKUP(C3177, INDEX([1]!카테고리매핑,,2), INDEX([1]!카테고리매핑,,1), "미등록 카테고리")</f>
        <v>채소/곡물류</v>
      </c>
      <c r="C3177" t="s">
        <v>301</v>
      </c>
      <c r="D3177" t="str">
        <f>VLOOKUP(C3177, '[1]VLOOKUP 함수용 카테고리'!$A$1:$B$59, 2, 0)</f>
        <v>GRAIN</v>
      </c>
      <c r="E3177" t="s">
        <v>5250</v>
      </c>
      <c r="F3177" t="s">
        <v>5251</v>
      </c>
    </row>
    <row r="3178" spans="1:6" x14ac:dyDescent="0.3">
      <c r="A3178" t="s">
        <v>5252</v>
      </c>
      <c r="B3178" t="str" cm="1">
        <f t="array" ref="B3178">_xlfn.XLOOKUP(C3178, INDEX([1]!카테고리매핑,,2), INDEX([1]!카테고리매핑,,1), "미등록 카테고리")</f>
        <v>수산물</v>
      </c>
      <c r="C3178" t="s">
        <v>229</v>
      </c>
      <c r="D3178" t="str">
        <f>VLOOKUP(C3178, '[1]VLOOKUP 함수용 카테고리'!$A$1:$B$59, 2, 0)</f>
        <v>RAW_SEAFOOD</v>
      </c>
      <c r="E3178" t="s">
        <v>230</v>
      </c>
      <c r="F3178" t="s">
        <v>856</v>
      </c>
    </row>
    <row r="3179" spans="1:6" x14ac:dyDescent="0.3">
      <c r="A3179" t="s">
        <v>5253</v>
      </c>
      <c r="B3179" t="str" cm="1">
        <f t="array" ref="B3179">_xlfn.XLOOKUP(C3179, INDEX([1]!카테고리매핑,,2), INDEX([1]!카테고리매핑,,1), "미등록 카테고리")</f>
        <v>간식류</v>
      </c>
      <c r="C3179" t="s">
        <v>11</v>
      </c>
      <c r="D3179" t="str">
        <f>VLOOKUP(C3179, '[1]VLOOKUP 함수용 카테고리'!$A$1:$B$59, 2, 0)</f>
        <v>SNACK</v>
      </c>
      <c r="E3179" t="s">
        <v>5254</v>
      </c>
      <c r="F3179" t="s">
        <v>5239</v>
      </c>
    </row>
    <row r="3180" spans="1:6" x14ac:dyDescent="0.3">
      <c r="A3180" t="s">
        <v>5255</v>
      </c>
      <c r="B3180" t="str" cm="1">
        <f t="array" ref="B3180">_xlfn.XLOOKUP(C3180, INDEX([1]!카테고리매핑,,2), INDEX([1]!카테고리매핑,,1), "미등록 카테고리")</f>
        <v>육류/계란</v>
      </c>
      <c r="C3180" t="s">
        <v>105</v>
      </c>
      <c r="D3180" t="str">
        <f>VLOOKUP(C3180, '[1]VLOOKUP 함수용 카테고리'!$A$1:$B$59, 2, 0)</f>
        <v>RAW_MEAT</v>
      </c>
      <c r="E3180" t="s">
        <v>2085</v>
      </c>
      <c r="F3180" t="s">
        <v>151</v>
      </c>
    </row>
    <row r="3181" spans="1:6" x14ac:dyDescent="0.3">
      <c r="A3181" t="s">
        <v>5256</v>
      </c>
      <c r="B3181" t="str" cm="1">
        <f t="array" ref="B3181">_xlfn.XLOOKUP(C3181, INDEX([1]!카테고리매핑,,2), INDEX([1]!카테고리매핑,,1), "미등록 카테고리")</f>
        <v>유제품</v>
      </c>
      <c r="C3181" t="s">
        <v>123</v>
      </c>
      <c r="D3181" t="str">
        <f>VLOOKUP(C3181, '[1]VLOOKUP 함수용 카테고리'!$A$1:$B$59, 2, 0)</f>
        <v>DAIRY</v>
      </c>
      <c r="E3181" t="s">
        <v>190</v>
      </c>
      <c r="F3181" t="s">
        <v>623</v>
      </c>
    </row>
    <row r="3182" spans="1:6" x14ac:dyDescent="0.3">
      <c r="A3182" t="s">
        <v>5257</v>
      </c>
      <c r="B3182" t="str" cm="1">
        <f t="array" ref="B3182">_xlfn.XLOOKUP(C3182, INDEX([1]!카테고리매핑,,2), INDEX([1]!카테고리매핑,,1), "미등록 카테고리")</f>
        <v>조미료</v>
      </c>
      <c r="C3182" t="s">
        <v>127</v>
      </c>
      <c r="D3182" t="str">
        <f>VLOOKUP(C3182, '[1]VLOOKUP 함수용 카테고리'!$A$1:$B$59, 2, 0)</f>
        <v>SAUCE_SEASONING</v>
      </c>
      <c r="E3182" t="s">
        <v>7665</v>
      </c>
      <c r="F3182" t="s">
        <v>2356</v>
      </c>
    </row>
    <row r="3183" spans="1:6" x14ac:dyDescent="0.3">
      <c r="A3183" t="s">
        <v>5258</v>
      </c>
      <c r="B3183" t="str" cm="1">
        <f t="array" ref="B3183">_xlfn.XLOOKUP(C3183, INDEX([1]!카테고리매핑,,2), INDEX([1]!카테고리매핑,,1), "미등록 카테고리")</f>
        <v>간식류</v>
      </c>
      <c r="C3183" t="s">
        <v>11</v>
      </c>
      <c r="D3183" t="str">
        <f>VLOOKUP(C3183, '[1]VLOOKUP 함수용 카테고리'!$A$1:$B$59, 2, 0)</f>
        <v>SNACK</v>
      </c>
      <c r="E3183" t="s">
        <v>153</v>
      </c>
      <c r="F3183" t="s">
        <v>129</v>
      </c>
    </row>
    <row r="3184" spans="1:6" x14ac:dyDescent="0.3">
      <c r="A3184" t="s">
        <v>5259</v>
      </c>
      <c r="B3184" t="str" cm="1">
        <f t="array" ref="B3184">_xlfn.XLOOKUP(C3184, INDEX([1]!카테고리매핑,,2), INDEX([1]!카테고리매핑,,1), "미등록 카테고리")</f>
        <v>수산물</v>
      </c>
      <c r="C3184" t="s">
        <v>101</v>
      </c>
      <c r="D3184" t="str">
        <f>VLOOKUP(C3184, '[1]VLOOKUP 함수용 카테고리'!$A$1:$B$59, 2, 0)</f>
        <v>DRIED_SEAFOOD</v>
      </c>
      <c r="E3184" t="s">
        <v>665</v>
      </c>
      <c r="F3184" t="s">
        <v>7816</v>
      </c>
    </row>
    <row r="3185" spans="1:6" x14ac:dyDescent="0.3">
      <c r="A3185" t="s">
        <v>5260</v>
      </c>
      <c r="B3185" t="str" cm="1">
        <f t="array" ref="B3185">_xlfn.XLOOKUP(C3185, INDEX([1]!카테고리매핑,,2), INDEX([1]!카테고리매핑,,1), "미등록 카테고리")</f>
        <v>간편식</v>
      </c>
      <c r="C3185" t="s">
        <v>158</v>
      </c>
      <c r="D3185" t="str">
        <f>VLOOKUP(C3185, '[1]VLOOKUP 함수용 카테고리'!$A$1:$B$59, 2, 0)</f>
        <v>INSTANT</v>
      </c>
      <c r="E3185" t="s">
        <v>1974</v>
      </c>
      <c r="F3185" t="s">
        <v>129</v>
      </c>
    </row>
    <row r="3186" spans="1:6" x14ac:dyDescent="0.3">
      <c r="A3186" t="s">
        <v>5261</v>
      </c>
      <c r="B3186" t="str" cm="1">
        <f t="array" ref="B3186">_xlfn.XLOOKUP(C3186, INDEX([1]!카테고리매핑,,2), INDEX([1]!카테고리매핑,,1), "미등록 카테고리")</f>
        <v>조미료</v>
      </c>
      <c r="C3186" t="s">
        <v>83</v>
      </c>
      <c r="D3186" t="str">
        <f>VLOOKUP(C3186, '[1]VLOOKUP 함수용 카테고리'!$A$1:$B$59, 2, 0)</f>
        <v>SAUCE_SEASONING</v>
      </c>
      <c r="E3186" t="s">
        <v>4900</v>
      </c>
      <c r="F3186" t="s">
        <v>538</v>
      </c>
    </row>
    <row r="3187" spans="1:6" x14ac:dyDescent="0.3">
      <c r="A3187" t="s">
        <v>5262</v>
      </c>
      <c r="B3187" t="str" cm="1">
        <f t="array" ref="B3187">_xlfn.XLOOKUP(C3187, INDEX([1]!카테고리매핑,,2), INDEX([1]!카테고리매핑,,1), "미등록 카테고리")</f>
        <v>간편식</v>
      </c>
      <c r="C3187" t="s">
        <v>131</v>
      </c>
      <c r="D3187" t="str">
        <f>VLOOKUP(C3187, '[1]VLOOKUP 함수용 카테고리'!$A$1:$B$59, 2, 0)</f>
        <v>SIMPLE_PROCESSED</v>
      </c>
      <c r="E3187" t="s">
        <v>4273</v>
      </c>
    </row>
    <row r="3188" spans="1:6" x14ac:dyDescent="0.3">
      <c r="A3188" t="s">
        <v>5263</v>
      </c>
      <c r="B3188" t="str" cm="1">
        <f t="array" ref="B3188">_xlfn.XLOOKUP(C3188, INDEX([1]!카테고리매핑,,2), INDEX([1]!카테고리매핑,,1), "미등록 카테고리")</f>
        <v>채소/곡물류</v>
      </c>
      <c r="C3188" t="s">
        <v>7</v>
      </c>
      <c r="D3188" t="str">
        <f>VLOOKUP(C3188, '[1]VLOOKUP 함수용 카테고리'!$A$1:$B$59, 2, 0)</f>
        <v>RAW_PRODUCE</v>
      </c>
      <c r="E3188" t="s">
        <v>2665</v>
      </c>
      <c r="F3188" t="s">
        <v>2174</v>
      </c>
    </row>
    <row r="3189" spans="1:6" x14ac:dyDescent="0.3">
      <c r="A3189" t="s">
        <v>5264</v>
      </c>
      <c r="B3189" t="str" cm="1">
        <f t="array" ref="B3189">_xlfn.XLOOKUP(C3189, INDEX([1]!카테고리매핑,,2), INDEX([1]!카테고리매핑,,1), "미등록 카테고리")</f>
        <v>유제품</v>
      </c>
      <c r="C3189" t="s">
        <v>123</v>
      </c>
      <c r="D3189" t="str">
        <f>VLOOKUP(C3189, '[1]VLOOKUP 함수용 카테고리'!$A$1:$B$59, 2, 0)</f>
        <v>DAIRY</v>
      </c>
      <c r="E3189" t="s">
        <v>367</v>
      </c>
      <c r="F3189" t="s">
        <v>543</v>
      </c>
    </row>
    <row r="3190" spans="1:6" x14ac:dyDescent="0.3">
      <c r="A3190" t="s">
        <v>5265</v>
      </c>
      <c r="B3190" t="str" cm="1">
        <f t="array" ref="B3190">_xlfn.XLOOKUP(C3190, INDEX([1]!카테고리매핑,,2), INDEX([1]!카테고리매핑,,1), "미등록 카테고리")</f>
        <v>조미료</v>
      </c>
      <c r="C3190" t="s">
        <v>84</v>
      </c>
      <c r="D3190" t="str">
        <f>VLOOKUP(C3190, '[1]VLOOKUP 함수용 카테고리'!$A$1:$B$59, 2, 0)</f>
        <v>SAUCE_SEASONING</v>
      </c>
      <c r="E3190" t="s">
        <v>90</v>
      </c>
      <c r="F3190" t="s">
        <v>5266</v>
      </c>
    </row>
    <row r="3191" spans="1:6" x14ac:dyDescent="0.3">
      <c r="A3191" t="s">
        <v>5267</v>
      </c>
      <c r="B3191" t="str" cm="1">
        <f t="array" ref="B3191">_xlfn.XLOOKUP(C3191, INDEX([1]!카테고리매핑,,2), INDEX([1]!카테고리매핑,,1), "미등록 카테고리")</f>
        <v>간편식</v>
      </c>
      <c r="C3191" t="s">
        <v>46</v>
      </c>
      <c r="D3191" t="str">
        <f>VLOOKUP(C3191, '[1]VLOOKUP 함수용 카테고리'!$A$1:$B$59, 2, 0)</f>
        <v>RTC_MEAL</v>
      </c>
      <c r="E3191" t="s">
        <v>46</v>
      </c>
      <c r="F3191" t="s">
        <v>151</v>
      </c>
    </row>
    <row r="3192" spans="1:6" x14ac:dyDescent="0.3">
      <c r="A3192" t="s">
        <v>5268</v>
      </c>
      <c r="B3192" t="str" cm="1">
        <f t="array" ref="B3192">_xlfn.XLOOKUP(C3192, INDEX([1]!카테고리매핑,,2), INDEX([1]!카테고리매핑,,1), "미등록 카테고리")</f>
        <v>유제품</v>
      </c>
      <c r="C3192" t="s">
        <v>123</v>
      </c>
      <c r="D3192" t="str">
        <f>VLOOKUP(C3192, '[1]VLOOKUP 함수용 카테고리'!$A$1:$B$59, 2, 0)</f>
        <v>DAIRY</v>
      </c>
      <c r="E3192" t="s">
        <v>190</v>
      </c>
      <c r="F3192" t="s">
        <v>3467</v>
      </c>
    </row>
    <row r="3193" spans="1:6" x14ac:dyDescent="0.3">
      <c r="A3193" t="s">
        <v>5269</v>
      </c>
      <c r="B3193" t="str" cm="1">
        <f t="array" ref="B3193">_xlfn.XLOOKUP(C3193, INDEX([1]!카테고리매핑,,2), INDEX([1]!카테고리매핑,,1), "미등록 카테고리")</f>
        <v>간편식</v>
      </c>
      <c r="C3193" t="s">
        <v>131</v>
      </c>
      <c r="D3193" t="str">
        <f>VLOOKUP(C3193, '[1]VLOOKUP 함수용 카테고리'!$A$1:$B$59, 2, 0)</f>
        <v>SIMPLE_PROCESSED</v>
      </c>
      <c r="E3193" t="s">
        <v>2471</v>
      </c>
      <c r="F3193" t="s">
        <v>928</v>
      </c>
    </row>
    <row r="3194" spans="1:6" x14ac:dyDescent="0.3">
      <c r="A3194" t="s">
        <v>5270</v>
      </c>
      <c r="B3194" t="str" cm="1">
        <f t="array" ref="B3194">_xlfn.XLOOKUP(C3194, INDEX([1]!카테고리매핑,,2), INDEX([1]!카테고리매핑,,1), "미등록 카테고리")</f>
        <v>채소/곡물류</v>
      </c>
      <c r="C3194" t="s">
        <v>7</v>
      </c>
      <c r="D3194" t="str">
        <f>VLOOKUP(C3194, '[1]VLOOKUP 함수용 카테고리'!$A$1:$B$59, 2, 0)</f>
        <v>RAW_PRODUCE</v>
      </c>
      <c r="E3194" t="s">
        <v>405</v>
      </c>
      <c r="F3194" t="s">
        <v>406</v>
      </c>
    </row>
    <row r="3195" spans="1:6" x14ac:dyDescent="0.3">
      <c r="A3195" t="s">
        <v>5271</v>
      </c>
      <c r="B3195" t="str" cm="1">
        <f t="array" ref="B3195">_xlfn.XLOOKUP(C3195, INDEX([1]!카테고리매핑,,2), INDEX([1]!카테고리매핑,,1), "미등록 카테고리")</f>
        <v>조미료</v>
      </c>
      <c r="C3195" t="s">
        <v>84</v>
      </c>
      <c r="D3195" t="str">
        <f>VLOOKUP(C3195, '[1]VLOOKUP 함수용 카테고리'!$A$1:$B$59, 2, 0)</f>
        <v>SAUCE_SEASONING</v>
      </c>
      <c r="E3195" t="s">
        <v>85</v>
      </c>
      <c r="F3195" t="s">
        <v>1224</v>
      </c>
    </row>
    <row r="3196" spans="1:6" x14ac:dyDescent="0.3">
      <c r="A3196" t="s">
        <v>5272</v>
      </c>
      <c r="B3196" t="str" cm="1">
        <f t="array" ref="B3196">_xlfn.XLOOKUP(C3196, INDEX([1]!카테고리매핑,,2), INDEX([1]!카테고리매핑,,1), "미등록 카테고리")</f>
        <v>간편식</v>
      </c>
      <c r="C3196" t="s">
        <v>131</v>
      </c>
      <c r="D3196" t="str">
        <f>VLOOKUP(C3196, '[1]VLOOKUP 함수용 카테고리'!$A$1:$B$59, 2, 0)</f>
        <v>SIMPLE_PROCESSED</v>
      </c>
      <c r="E3196" t="s">
        <v>5273</v>
      </c>
      <c r="F3196" t="s">
        <v>416</v>
      </c>
    </row>
    <row r="3197" spans="1:6" x14ac:dyDescent="0.3">
      <c r="A3197" t="s">
        <v>5274</v>
      </c>
      <c r="B3197" t="str" cm="1">
        <f t="array" ref="B3197">_xlfn.XLOOKUP(C3197, INDEX([1]!카테고리매핑,,2), INDEX([1]!카테고리매핑,,1), "미등록 카테고리")</f>
        <v>유제품</v>
      </c>
      <c r="C3197" t="s">
        <v>123</v>
      </c>
      <c r="D3197" t="str">
        <f>VLOOKUP(C3197, '[1]VLOOKUP 함수용 카테고리'!$A$1:$B$59, 2, 0)</f>
        <v>DAIRY</v>
      </c>
      <c r="E3197" t="s">
        <v>949</v>
      </c>
      <c r="F3197" t="s">
        <v>475</v>
      </c>
    </row>
    <row r="3198" spans="1:6" x14ac:dyDescent="0.3">
      <c r="A3198" t="s">
        <v>5275</v>
      </c>
      <c r="B3198" t="str" cm="1">
        <f t="array" ref="B3198">_xlfn.XLOOKUP(C3198, INDEX([1]!카테고리매핑,,2), INDEX([1]!카테고리매핑,,1), "미등록 카테고리")</f>
        <v>채소/곡물류</v>
      </c>
      <c r="C3198" t="s">
        <v>301</v>
      </c>
      <c r="D3198" t="str">
        <f>VLOOKUP(C3198, '[1]VLOOKUP 함수용 카테고리'!$A$1:$B$59, 2, 0)</f>
        <v>GRAIN</v>
      </c>
      <c r="E3198" t="s">
        <v>611</v>
      </c>
      <c r="F3198" t="s">
        <v>3187</v>
      </c>
    </row>
    <row r="3199" spans="1:6" x14ac:dyDescent="0.3">
      <c r="A3199" t="s">
        <v>5276</v>
      </c>
      <c r="B3199" t="str" cm="1">
        <f t="array" ref="B3199">_xlfn.XLOOKUP(C3199, INDEX([1]!카테고리매핑,,2), INDEX([1]!카테고리매핑,,1), "미등록 카테고리")</f>
        <v>간편식</v>
      </c>
      <c r="C3199" t="s">
        <v>19</v>
      </c>
      <c r="D3199" t="str">
        <f>VLOOKUP(C3199, '[1]VLOOKUP 함수용 카테고리'!$A$1:$B$59, 2, 0)</f>
        <v>FROZEN_MEAL</v>
      </c>
      <c r="E3199" t="s">
        <v>245</v>
      </c>
      <c r="F3199" t="s">
        <v>541</v>
      </c>
    </row>
    <row r="3200" spans="1:6" x14ac:dyDescent="0.3">
      <c r="A3200" t="s">
        <v>5277</v>
      </c>
      <c r="B3200" t="str" cm="1">
        <f t="array" ref="B3200">_xlfn.XLOOKUP(C3200, INDEX([1]!카테고리매핑,,2), INDEX([1]!카테고리매핑,,1), "미등록 카테고리")</f>
        <v>간편식</v>
      </c>
      <c r="C3200" t="s">
        <v>19</v>
      </c>
      <c r="D3200" t="str">
        <f>VLOOKUP(C3200, '[1]VLOOKUP 함수용 카테고리'!$A$1:$B$59, 2, 0)</f>
        <v>FROZEN_MEAL</v>
      </c>
      <c r="E3200" t="s">
        <v>245</v>
      </c>
      <c r="F3200" t="s">
        <v>541</v>
      </c>
    </row>
    <row r="3201" spans="1:6" x14ac:dyDescent="0.3">
      <c r="A3201" t="s">
        <v>5278</v>
      </c>
      <c r="B3201" t="str" cm="1">
        <f t="array" ref="B3201">_xlfn.XLOOKUP(C3201, INDEX([1]!카테고리매핑,,2), INDEX([1]!카테고리매핑,,1), "미등록 카테고리")</f>
        <v>수산물</v>
      </c>
      <c r="C3201" t="s">
        <v>229</v>
      </c>
      <c r="D3201" t="str">
        <f>VLOOKUP(C3201, '[1]VLOOKUP 함수용 카테고리'!$A$1:$B$59, 2, 0)</f>
        <v>RAW_SEAFOOD</v>
      </c>
      <c r="E3201" t="s">
        <v>230</v>
      </c>
      <c r="F3201" t="s">
        <v>5279</v>
      </c>
    </row>
    <row r="3202" spans="1:6" x14ac:dyDescent="0.3">
      <c r="A3202" t="s">
        <v>5280</v>
      </c>
      <c r="B3202" t="str" cm="1">
        <f t="array" ref="B3202">_xlfn.XLOOKUP(C3202, INDEX([1]!카테고리매핑,,2), INDEX([1]!카테고리매핑,,1), "미등록 카테고리")</f>
        <v>채소/곡물류</v>
      </c>
      <c r="C3202" t="s">
        <v>7</v>
      </c>
      <c r="D3202" t="str">
        <f>VLOOKUP(C3202, '[1]VLOOKUP 함수용 카테고리'!$A$1:$B$59, 2, 0)</f>
        <v>RAW_PRODUCE</v>
      </c>
      <c r="E3202" t="s">
        <v>5281</v>
      </c>
      <c r="F3202" t="s">
        <v>5282</v>
      </c>
    </row>
    <row r="3203" spans="1:6" x14ac:dyDescent="0.3">
      <c r="A3203" t="s">
        <v>5283</v>
      </c>
      <c r="B3203" t="str" cm="1">
        <f t="array" ref="B3203">_xlfn.XLOOKUP(C3203, INDEX([1]!카테고리매핑,,2), INDEX([1]!카테고리매핑,,1), "미등록 카테고리")</f>
        <v>음료</v>
      </c>
      <c r="C3203" t="s">
        <v>23</v>
      </c>
      <c r="D3203" t="str">
        <f>VLOOKUP(C3203, '[1]VLOOKUP 함수용 카테고리'!$A$1:$B$59, 2, 0)</f>
        <v>BEVERAGE</v>
      </c>
      <c r="E3203" t="s">
        <v>288</v>
      </c>
      <c r="F3203" t="s">
        <v>1300</v>
      </c>
    </row>
    <row r="3204" spans="1:6" x14ac:dyDescent="0.3">
      <c r="A3204" t="s">
        <v>5284</v>
      </c>
      <c r="B3204" t="str" cm="1">
        <f t="array" ref="B3204">_xlfn.XLOOKUP(C3204, INDEX([1]!카테고리매핑,,2), INDEX([1]!카테고리매핑,,1), "미등록 카테고리")</f>
        <v>미등록 카테고리</v>
      </c>
      <c r="C3204" t="s">
        <v>334</v>
      </c>
      <c r="D3204" t="str">
        <f>VLOOKUP(C3204, '[1]VLOOKUP 함수용 카테고리'!$A$1:$B$59, 2, 0)</f>
        <v>UNKNOWN</v>
      </c>
      <c r="E3204" t="s">
        <v>334</v>
      </c>
      <c r="F3204" t="s">
        <v>2216</v>
      </c>
    </row>
    <row r="3205" spans="1:6" x14ac:dyDescent="0.3">
      <c r="A3205" t="s">
        <v>5285</v>
      </c>
      <c r="B3205" t="str" cm="1">
        <f t="array" ref="B3205">_xlfn.XLOOKUP(C3205, INDEX([1]!카테고리매핑,,2), INDEX([1]!카테고리매핑,,1), "미등록 카테고리")</f>
        <v>술</v>
      </c>
      <c r="C3205" t="s">
        <v>42</v>
      </c>
      <c r="D3205" t="str">
        <f>VLOOKUP(C3205, '[1]VLOOKUP 함수용 카테고리'!$A$1:$B$59, 2, 0)</f>
        <v>ALCOHOL</v>
      </c>
      <c r="E3205" t="s">
        <v>43</v>
      </c>
    </row>
    <row r="3206" spans="1:6" x14ac:dyDescent="0.3">
      <c r="A3206" t="s">
        <v>5286</v>
      </c>
      <c r="B3206" t="str" cm="1">
        <f t="array" ref="B3206">_xlfn.XLOOKUP(C3206, INDEX([1]!카테고리매핑,,2), INDEX([1]!카테고리매핑,,1), "미등록 카테고리")</f>
        <v>조미료</v>
      </c>
      <c r="C3206" t="s">
        <v>127</v>
      </c>
      <c r="D3206" t="str">
        <f>VLOOKUP(C3206, '[1]VLOOKUP 함수용 카테고리'!$A$1:$B$59, 2, 0)</f>
        <v>SAUCE_SEASONING</v>
      </c>
      <c r="E3206" t="s">
        <v>340</v>
      </c>
      <c r="F3206" t="s">
        <v>156</v>
      </c>
    </row>
    <row r="3207" spans="1:6" x14ac:dyDescent="0.3">
      <c r="A3207" t="s">
        <v>5287</v>
      </c>
      <c r="B3207" t="str" cm="1">
        <f t="array" ref="B3207">_xlfn.XLOOKUP(C3207, INDEX([1]!카테고리매핑,,2), INDEX([1]!카테고리매핑,,1), "미등록 카테고리")</f>
        <v>유제품</v>
      </c>
      <c r="C3207" t="s">
        <v>211</v>
      </c>
      <c r="D3207" t="str">
        <f>VLOOKUP(C3207, '[1]VLOOKUP 함수용 카테고리'!$A$1:$B$59, 2, 0)</f>
        <v>DAIRY</v>
      </c>
      <c r="E3207" t="s">
        <v>211</v>
      </c>
      <c r="F3207" t="s">
        <v>193</v>
      </c>
    </row>
    <row r="3208" spans="1:6" x14ac:dyDescent="0.3">
      <c r="A3208" t="s">
        <v>5288</v>
      </c>
      <c r="B3208" t="str" cm="1">
        <f t="array" ref="B3208">_xlfn.XLOOKUP(C3208, INDEX([1]!카테고리매핑,,2), INDEX([1]!카테고리매핑,,1), "미등록 카테고리")</f>
        <v>조미료</v>
      </c>
      <c r="C3208" t="s">
        <v>127</v>
      </c>
      <c r="D3208" t="str">
        <f>VLOOKUP(C3208, '[1]VLOOKUP 함수용 카테고리'!$A$1:$B$59, 2, 0)</f>
        <v>SAUCE_SEASONING</v>
      </c>
      <c r="E3208" t="s">
        <v>248</v>
      </c>
      <c r="F3208" t="s">
        <v>1661</v>
      </c>
    </row>
    <row r="3209" spans="1:6" x14ac:dyDescent="0.3">
      <c r="A3209" t="s">
        <v>5289</v>
      </c>
      <c r="B3209" t="str" cm="1">
        <f t="array" ref="B3209">_xlfn.XLOOKUP(C3209, INDEX([1]!카테고리매핑,,2), INDEX([1]!카테고리매핑,,1), "미등록 카테고리")</f>
        <v>조미료</v>
      </c>
      <c r="C3209" t="s">
        <v>127</v>
      </c>
      <c r="D3209" t="str">
        <f>VLOOKUP(C3209, '[1]VLOOKUP 함수용 카테고리'!$A$1:$B$59, 2, 0)</f>
        <v>SAUCE_SEASONING</v>
      </c>
      <c r="E3209" t="s">
        <v>248</v>
      </c>
      <c r="F3209" t="s">
        <v>209</v>
      </c>
    </row>
    <row r="3210" spans="1:6" x14ac:dyDescent="0.3">
      <c r="A3210" t="s">
        <v>5290</v>
      </c>
      <c r="B3210" t="str" cm="1">
        <f t="array" ref="B3210">_xlfn.XLOOKUP(C3210, INDEX([1]!카테고리매핑,,2), INDEX([1]!카테고리매핑,,1), "미등록 카테고리")</f>
        <v>조미료</v>
      </c>
      <c r="C3210" t="s">
        <v>84</v>
      </c>
      <c r="D3210" t="str">
        <f>VLOOKUP(C3210, '[1]VLOOKUP 함수용 카테고리'!$A$1:$B$59, 2, 0)</f>
        <v>SAUCE_SEASONING</v>
      </c>
      <c r="E3210" t="s">
        <v>85</v>
      </c>
      <c r="F3210" t="s">
        <v>365</v>
      </c>
    </row>
    <row r="3211" spans="1:6" x14ac:dyDescent="0.3">
      <c r="A3211" t="s">
        <v>5291</v>
      </c>
      <c r="B3211" t="str" cm="1">
        <f t="array" ref="B3211">_xlfn.XLOOKUP(C3211, INDEX([1]!카테고리매핑,,2), INDEX([1]!카테고리매핑,,1), "미등록 카테고리")</f>
        <v>간식류</v>
      </c>
      <c r="C3211" t="s">
        <v>63</v>
      </c>
      <c r="D3211" t="str">
        <f>VLOOKUP(C3211, '[1]VLOOKUP 함수용 카테고리'!$A$1:$B$59, 2, 0)</f>
        <v>BAKERY</v>
      </c>
      <c r="E3211" t="s">
        <v>2522</v>
      </c>
      <c r="F3211" t="s">
        <v>1345</v>
      </c>
    </row>
    <row r="3212" spans="1:6" x14ac:dyDescent="0.3">
      <c r="A3212" t="s">
        <v>5292</v>
      </c>
      <c r="B3212" t="str" cm="1">
        <f t="array" ref="B3212">_xlfn.XLOOKUP(C3212, INDEX([1]!카테고리매핑,,2), INDEX([1]!카테고리매핑,,1), "미등록 카테고리")</f>
        <v>채소/곡물류</v>
      </c>
      <c r="C3212" t="s">
        <v>7</v>
      </c>
      <c r="D3212" t="str">
        <f>VLOOKUP(C3212, '[1]VLOOKUP 함수용 카테고리'!$A$1:$B$59, 2, 0)</f>
        <v>RAW_PRODUCE</v>
      </c>
      <c r="E3212" t="s">
        <v>5281</v>
      </c>
      <c r="F3212" t="s">
        <v>5293</v>
      </c>
    </row>
    <row r="3213" spans="1:6" x14ac:dyDescent="0.3">
      <c r="A3213" t="s">
        <v>5294</v>
      </c>
      <c r="B3213" t="str" cm="1">
        <f t="array" ref="B3213">_xlfn.XLOOKUP(C3213, INDEX([1]!카테고리매핑,,2), INDEX([1]!카테고리매핑,,1), "미등록 카테고리")</f>
        <v>간편식</v>
      </c>
      <c r="C3213" t="s">
        <v>256</v>
      </c>
      <c r="D3213" t="str">
        <f>VLOOKUP(C3213, '[1]VLOOKUP 함수용 카테고리'!$A$1:$B$59, 2, 0)</f>
        <v>RTC_MEAL</v>
      </c>
      <c r="E3213" t="s">
        <v>256</v>
      </c>
      <c r="F3213" t="s">
        <v>3741</v>
      </c>
    </row>
    <row r="3214" spans="1:6" x14ac:dyDescent="0.3">
      <c r="A3214" t="s">
        <v>5295</v>
      </c>
      <c r="B3214" t="str" cm="1">
        <f t="array" ref="B3214">_xlfn.XLOOKUP(C3214, INDEX([1]!카테고리매핑,,2), INDEX([1]!카테고리매핑,,1), "미등록 카테고리")</f>
        <v>간식류</v>
      </c>
      <c r="C3214" t="s">
        <v>63</v>
      </c>
      <c r="D3214" t="str">
        <f>VLOOKUP(C3214, '[1]VLOOKUP 함수용 카테고리'!$A$1:$B$59, 2, 0)</f>
        <v>BAKERY</v>
      </c>
      <c r="E3214" t="s">
        <v>1023</v>
      </c>
      <c r="F3214" t="s">
        <v>7849</v>
      </c>
    </row>
    <row r="3215" spans="1:6" x14ac:dyDescent="0.3">
      <c r="A3215" t="s">
        <v>5297</v>
      </c>
      <c r="B3215" t="str" cm="1">
        <f t="array" ref="B3215">_xlfn.XLOOKUP(C3215, INDEX([1]!카테고리매핑,,2), INDEX([1]!카테고리매핑,,1), "미등록 카테고리")</f>
        <v>조미료</v>
      </c>
      <c r="C3215" t="s">
        <v>83</v>
      </c>
      <c r="D3215" t="str">
        <f>VLOOKUP(C3215, '[1]VLOOKUP 함수용 카테고리'!$A$1:$B$59, 2, 0)</f>
        <v>SAUCE_SEASONING</v>
      </c>
      <c r="E3215" t="s">
        <v>4845</v>
      </c>
      <c r="F3215" t="s">
        <v>1923</v>
      </c>
    </row>
    <row r="3216" spans="1:6" x14ac:dyDescent="0.3">
      <c r="A3216" t="s">
        <v>5298</v>
      </c>
      <c r="B3216" t="str" cm="1">
        <f t="array" ref="B3216">_xlfn.XLOOKUP(C3216, INDEX([1]!카테고리매핑,,2), INDEX([1]!카테고리매핑,,1), "미등록 카테고리")</f>
        <v>술</v>
      </c>
      <c r="C3216" t="s">
        <v>42</v>
      </c>
      <c r="D3216" t="str">
        <f>VLOOKUP(C3216, '[1]VLOOKUP 함수용 카테고리'!$A$1:$B$59, 2, 0)</f>
        <v>ALCOHOL</v>
      </c>
      <c r="E3216" t="s">
        <v>43</v>
      </c>
    </row>
    <row r="3217" spans="1:6" x14ac:dyDescent="0.3">
      <c r="A3217" t="s">
        <v>5299</v>
      </c>
      <c r="B3217" t="str" cm="1">
        <f t="array" ref="B3217">_xlfn.XLOOKUP(C3217, INDEX([1]!카테고리매핑,,2), INDEX([1]!카테고리매핑,,1), "미등록 카테고리")</f>
        <v>간식류</v>
      </c>
      <c r="C3217" t="s">
        <v>38</v>
      </c>
      <c r="D3217" t="str">
        <f>VLOOKUP(C3217, '[1]VLOOKUP 함수용 카테고리'!$A$1:$B$59, 2, 0)</f>
        <v>SNACK</v>
      </c>
      <c r="E3217" t="s">
        <v>5300</v>
      </c>
      <c r="F3217" t="s">
        <v>7850</v>
      </c>
    </row>
    <row r="3218" spans="1:6" x14ac:dyDescent="0.3">
      <c r="A3218" t="s">
        <v>5301</v>
      </c>
      <c r="B3218" t="str" cm="1">
        <f t="array" ref="B3218">_xlfn.XLOOKUP(C3218, INDEX([1]!카테고리매핑,,2), INDEX([1]!카테고리매핑,,1), "미등록 카테고리")</f>
        <v>간편식</v>
      </c>
      <c r="C3218" t="s">
        <v>131</v>
      </c>
      <c r="D3218" t="str">
        <f>VLOOKUP(C3218, '[1]VLOOKUP 함수용 카테고리'!$A$1:$B$59, 2, 0)</f>
        <v>SIMPLE_PROCESSED</v>
      </c>
      <c r="E3218" t="s">
        <v>5302</v>
      </c>
      <c r="F3218" t="s">
        <v>541</v>
      </c>
    </row>
    <row r="3219" spans="1:6" x14ac:dyDescent="0.3">
      <c r="A3219" t="s">
        <v>5303</v>
      </c>
      <c r="B3219" t="str" cm="1">
        <f t="array" ref="B3219">_xlfn.XLOOKUP(C3219, INDEX([1]!카테고리매핑,,2), INDEX([1]!카테고리매핑,,1), "미등록 카테고리")</f>
        <v>육류/계란</v>
      </c>
      <c r="C3219" t="s">
        <v>149</v>
      </c>
      <c r="D3219" t="str">
        <f>VLOOKUP(C3219, '[1]VLOOKUP 함수용 카테고리'!$A$1:$B$59, 2, 0)</f>
        <v>RAW_MEAT</v>
      </c>
      <c r="E3219" t="s">
        <v>4301</v>
      </c>
      <c r="F3219" t="s">
        <v>5304</v>
      </c>
    </row>
    <row r="3220" spans="1:6" x14ac:dyDescent="0.3">
      <c r="A3220" t="s">
        <v>5305</v>
      </c>
      <c r="B3220" t="str" cm="1">
        <f t="array" ref="B3220">_xlfn.XLOOKUP(C3220, INDEX([1]!카테고리매핑,,2), INDEX([1]!카테고리매핑,,1), "미등록 카테고리")</f>
        <v>유제품</v>
      </c>
      <c r="C3220" t="s">
        <v>123</v>
      </c>
      <c r="D3220" t="str">
        <f>VLOOKUP(C3220, '[1]VLOOKUP 함수용 카테고리'!$A$1:$B$59, 2, 0)</f>
        <v>DAIRY</v>
      </c>
      <c r="E3220" t="s">
        <v>190</v>
      </c>
      <c r="F3220" t="s">
        <v>2435</v>
      </c>
    </row>
    <row r="3221" spans="1:6" x14ac:dyDescent="0.3">
      <c r="A3221" t="s">
        <v>5306</v>
      </c>
      <c r="B3221" t="str" cm="1">
        <f t="array" ref="B3221">_xlfn.XLOOKUP(C3221, INDEX([1]!카테고리매핑,,2), INDEX([1]!카테고리매핑,,1), "미등록 카테고리")</f>
        <v>술</v>
      </c>
      <c r="C3221" t="s">
        <v>56</v>
      </c>
      <c r="D3221" t="str">
        <f>VLOOKUP(C3221, '[1]VLOOKUP 함수용 카테고리'!$A$1:$B$59, 2, 0)</f>
        <v>ALCOHOL</v>
      </c>
      <c r="E3221" t="s">
        <v>57</v>
      </c>
    </row>
    <row r="3222" spans="1:6" x14ac:dyDescent="0.3">
      <c r="A3222" t="s">
        <v>5307</v>
      </c>
      <c r="B3222" t="str" cm="1">
        <f t="array" ref="B3222">_xlfn.XLOOKUP(C3222, INDEX([1]!카테고리매핑,,2), INDEX([1]!카테고리매핑,,1), "미등록 카테고리")</f>
        <v>간편식</v>
      </c>
      <c r="C3222" t="s">
        <v>19</v>
      </c>
      <c r="D3222" t="str">
        <f>VLOOKUP(C3222, '[1]VLOOKUP 함수용 카테고리'!$A$1:$B$59, 2, 0)</f>
        <v>FROZEN_MEAL</v>
      </c>
      <c r="E3222" t="s">
        <v>5094</v>
      </c>
      <c r="F3222" t="s">
        <v>5095</v>
      </c>
    </row>
    <row r="3223" spans="1:6" x14ac:dyDescent="0.3">
      <c r="A3223" t="s">
        <v>5308</v>
      </c>
      <c r="B3223" t="str" cm="1">
        <f t="array" ref="B3223">_xlfn.XLOOKUP(C3223, INDEX([1]!카테고리매핑,,2), INDEX([1]!카테고리매핑,,1), "미등록 카테고리")</f>
        <v>유제품</v>
      </c>
      <c r="C3223" t="s">
        <v>98</v>
      </c>
      <c r="D3223" t="str">
        <f>VLOOKUP(C3223, '[1]VLOOKUP 함수용 카테고리'!$A$1:$B$59, 2, 0)</f>
        <v>DAIRY</v>
      </c>
      <c r="E3223" t="s">
        <v>98</v>
      </c>
      <c r="F3223" t="s">
        <v>5309</v>
      </c>
    </row>
    <row r="3224" spans="1:6" x14ac:dyDescent="0.3">
      <c r="A3224" t="s">
        <v>5310</v>
      </c>
      <c r="B3224" t="str" cm="1">
        <f t="array" ref="B3224">_xlfn.XLOOKUP(C3224, INDEX([1]!카테고리매핑,,2), INDEX([1]!카테고리매핑,,1), "미등록 카테고리")</f>
        <v>간식류</v>
      </c>
      <c r="C3224" t="s">
        <v>38</v>
      </c>
      <c r="D3224" t="str">
        <f>VLOOKUP(C3224, '[1]VLOOKUP 함수용 카테고리'!$A$1:$B$59, 2, 0)</f>
        <v>SNACK</v>
      </c>
      <c r="E3224" t="s">
        <v>39</v>
      </c>
      <c r="F3224" t="s">
        <v>5311</v>
      </c>
    </row>
    <row r="3225" spans="1:6" x14ac:dyDescent="0.3">
      <c r="A3225" t="s">
        <v>5312</v>
      </c>
      <c r="B3225" t="str" cm="1">
        <f t="array" ref="B3225">_xlfn.XLOOKUP(C3225, INDEX([1]!카테고리매핑,,2), INDEX([1]!카테고리매핑,,1), "미등록 카테고리")</f>
        <v>조미료</v>
      </c>
      <c r="C3225" t="s">
        <v>127</v>
      </c>
      <c r="D3225" t="str">
        <f>VLOOKUP(C3225, '[1]VLOOKUP 함수용 카테고리'!$A$1:$B$59, 2, 0)</f>
        <v>SAUCE_SEASONING</v>
      </c>
      <c r="E3225" t="s">
        <v>248</v>
      </c>
      <c r="F3225" t="s">
        <v>1661</v>
      </c>
    </row>
    <row r="3226" spans="1:6" x14ac:dyDescent="0.3">
      <c r="A3226" t="s">
        <v>5313</v>
      </c>
      <c r="B3226" t="str" cm="1">
        <f t="array" ref="B3226">_xlfn.XLOOKUP(C3226, INDEX([1]!카테고리매핑,,2), INDEX([1]!카테고리매핑,,1), "미등록 카테고리")</f>
        <v>간식류</v>
      </c>
      <c r="C3226" t="s">
        <v>63</v>
      </c>
      <c r="D3226" t="str">
        <f>VLOOKUP(C3226, '[1]VLOOKUP 함수용 카테고리'!$A$1:$B$59, 2, 0)</f>
        <v>BAKERY</v>
      </c>
      <c r="E3226" t="s">
        <v>400</v>
      </c>
      <c r="F3226" t="s">
        <v>5314</v>
      </c>
    </row>
    <row r="3227" spans="1:6" x14ac:dyDescent="0.3">
      <c r="A3227" t="s">
        <v>5315</v>
      </c>
      <c r="B3227" t="str" cm="1">
        <f t="array" ref="B3227">_xlfn.XLOOKUP(C3227, INDEX([1]!카테고리매핑,,2), INDEX([1]!카테고리매핑,,1), "미등록 카테고리")</f>
        <v>조미료</v>
      </c>
      <c r="C3227" t="s">
        <v>84</v>
      </c>
      <c r="D3227" t="str">
        <f>VLOOKUP(C3227, '[1]VLOOKUP 함수용 카테고리'!$A$1:$B$59, 2, 0)</f>
        <v>SAUCE_SEASONING</v>
      </c>
      <c r="E3227" t="s">
        <v>444</v>
      </c>
      <c r="F3227" t="s">
        <v>2490</v>
      </c>
    </row>
    <row r="3228" spans="1:6" x14ac:dyDescent="0.3">
      <c r="A3228" t="s">
        <v>5316</v>
      </c>
      <c r="B3228" t="str" cm="1">
        <f t="array" ref="B3228">_xlfn.XLOOKUP(C3228, INDEX([1]!카테고리매핑,,2), INDEX([1]!카테고리매핑,,1), "미등록 카테고리")</f>
        <v>간편식</v>
      </c>
      <c r="C3228" t="s">
        <v>46</v>
      </c>
      <c r="D3228" t="str">
        <f>VLOOKUP(C3228, '[1]VLOOKUP 함수용 카테고리'!$A$1:$B$59, 2, 0)</f>
        <v>RTC_MEAL</v>
      </c>
      <c r="E3228" t="s">
        <v>5317</v>
      </c>
      <c r="F3228" t="s">
        <v>1982</v>
      </c>
    </row>
    <row r="3229" spans="1:6" x14ac:dyDescent="0.3">
      <c r="A3229" t="s">
        <v>5318</v>
      </c>
      <c r="B3229" t="str" cm="1">
        <f t="array" ref="B3229">_xlfn.XLOOKUP(C3229, INDEX([1]!카테고리매핑,,2), INDEX([1]!카테고리매핑,,1), "미등록 카테고리")</f>
        <v>조미료</v>
      </c>
      <c r="C3229" t="s">
        <v>127</v>
      </c>
      <c r="D3229" t="str">
        <f>VLOOKUP(C3229, '[1]VLOOKUP 함수용 카테고리'!$A$1:$B$59, 2, 0)</f>
        <v>SAUCE_SEASONING</v>
      </c>
      <c r="E3229" t="s">
        <v>1941</v>
      </c>
      <c r="F3229" t="s">
        <v>182</v>
      </c>
    </row>
    <row r="3230" spans="1:6" x14ac:dyDescent="0.3">
      <c r="A3230" t="s">
        <v>5319</v>
      </c>
      <c r="B3230" t="str" cm="1">
        <f t="array" ref="B3230">_xlfn.XLOOKUP(C3230, INDEX([1]!카테고리매핑,,2), INDEX([1]!카테고리매핑,,1), "미등록 카테고리")</f>
        <v>유제품</v>
      </c>
      <c r="C3230" t="s">
        <v>123</v>
      </c>
      <c r="D3230" t="str">
        <f>VLOOKUP(C3230, '[1]VLOOKUP 함수용 카테고리'!$A$1:$B$59, 2, 0)</f>
        <v>DAIRY</v>
      </c>
      <c r="E3230" t="s">
        <v>190</v>
      </c>
      <c r="F3230" t="s">
        <v>191</v>
      </c>
    </row>
    <row r="3231" spans="1:6" x14ac:dyDescent="0.3">
      <c r="A3231" t="s">
        <v>5320</v>
      </c>
      <c r="B3231" t="str" cm="1">
        <f t="array" ref="B3231">_xlfn.XLOOKUP(C3231, INDEX([1]!카테고리매핑,,2), INDEX([1]!카테고리매핑,,1), "미등록 카테고리")</f>
        <v>유제품</v>
      </c>
      <c r="C3231" t="s">
        <v>98</v>
      </c>
      <c r="D3231" t="str">
        <f>VLOOKUP(C3231, '[1]VLOOKUP 함수용 카테고리'!$A$1:$B$59, 2, 0)</f>
        <v>DAIRY</v>
      </c>
      <c r="E3231" t="s">
        <v>98</v>
      </c>
      <c r="F3231" t="s">
        <v>274</v>
      </c>
    </row>
    <row r="3232" spans="1:6" x14ac:dyDescent="0.3">
      <c r="A3232" t="s">
        <v>5321</v>
      </c>
      <c r="B3232" t="str" cm="1">
        <f t="array" ref="B3232">_xlfn.XLOOKUP(C3232, INDEX([1]!카테고리매핑,,2), INDEX([1]!카테고리매핑,,1), "미등록 카테고리")</f>
        <v>육류/계란</v>
      </c>
      <c r="C3232" t="s">
        <v>149</v>
      </c>
      <c r="D3232" t="str">
        <f>VLOOKUP(C3232, '[1]VLOOKUP 함수용 카테고리'!$A$1:$B$59, 2, 0)</f>
        <v>RAW_MEAT</v>
      </c>
      <c r="E3232" t="s">
        <v>1151</v>
      </c>
      <c r="F3232" t="s">
        <v>267</v>
      </c>
    </row>
    <row r="3233" spans="1:6" x14ac:dyDescent="0.3">
      <c r="A3233" t="s">
        <v>5322</v>
      </c>
      <c r="B3233" t="str" cm="1">
        <f t="array" ref="B3233">_xlfn.XLOOKUP(C3233, INDEX([1]!카테고리매핑,,2), INDEX([1]!카테고리매핑,,1), "미등록 카테고리")</f>
        <v>육류/계란</v>
      </c>
      <c r="C3233" t="s">
        <v>34</v>
      </c>
      <c r="D3233" t="str">
        <f>VLOOKUP(C3233, '[1]VLOOKUP 함수용 카테고리'!$A$1:$B$59, 2, 0)</f>
        <v>RAW_MEAT</v>
      </c>
      <c r="E3233" t="s">
        <v>35</v>
      </c>
      <c r="F3233" t="s">
        <v>3203</v>
      </c>
    </row>
    <row r="3234" spans="1:6" x14ac:dyDescent="0.3">
      <c r="A3234" t="s">
        <v>5323</v>
      </c>
      <c r="B3234" t="str" cm="1">
        <f t="array" ref="B3234">_xlfn.XLOOKUP(C3234, INDEX([1]!카테고리매핑,,2), INDEX([1]!카테고리매핑,,1), "미등록 카테고리")</f>
        <v>간편식</v>
      </c>
      <c r="C3234" t="s">
        <v>167</v>
      </c>
      <c r="D3234" t="str">
        <f>VLOOKUP(C3234, '[1]VLOOKUP 함수용 카테고리'!$A$1:$B$59, 2, 0)</f>
        <v>INSTANT</v>
      </c>
      <c r="E3234" t="s">
        <v>1386</v>
      </c>
      <c r="F3234" t="s">
        <v>5324</v>
      </c>
    </row>
    <row r="3235" spans="1:6" x14ac:dyDescent="0.3">
      <c r="A3235" t="s">
        <v>5325</v>
      </c>
      <c r="B3235" t="str" cm="1">
        <f t="array" ref="B3235">_xlfn.XLOOKUP(C3235, INDEX([1]!카테고리매핑,,2), INDEX([1]!카테고리매핑,,1), "미등록 카테고리")</f>
        <v>채소/곡물류</v>
      </c>
      <c r="C3235" t="s">
        <v>7</v>
      </c>
      <c r="D3235" t="str">
        <f>VLOOKUP(C3235, '[1]VLOOKUP 함수용 카테고리'!$A$1:$B$59, 2, 0)</f>
        <v>RAW_PRODUCE</v>
      </c>
      <c r="E3235" t="s">
        <v>716</v>
      </c>
    </row>
    <row r="3236" spans="1:6" x14ac:dyDescent="0.3">
      <c r="A3236" t="s">
        <v>5326</v>
      </c>
      <c r="B3236" t="str" cm="1">
        <f t="array" ref="B3236">_xlfn.XLOOKUP(C3236, INDEX([1]!카테고리매핑,,2), INDEX([1]!카테고리매핑,,1), "미등록 카테고리")</f>
        <v>유제품</v>
      </c>
      <c r="C3236" t="s">
        <v>123</v>
      </c>
      <c r="D3236" t="str">
        <f>VLOOKUP(C3236, '[1]VLOOKUP 함수용 카테고리'!$A$1:$B$59, 2, 0)</f>
        <v>DAIRY</v>
      </c>
      <c r="E3236" t="s">
        <v>190</v>
      </c>
      <c r="F3236" t="s">
        <v>5327</v>
      </c>
    </row>
    <row r="3237" spans="1:6" x14ac:dyDescent="0.3">
      <c r="A3237" t="s">
        <v>5328</v>
      </c>
      <c r="B3237" t="str" cm="1">
        <f t="array" ref="B3237">_xlfn.XLOOKUP(C3237, INDEX([1]!카테고리매핑,,2), INDEX([1]!카테고리매핑,,1), "미등록 카테고리")</f>
        <v>간식류</v>
      </c>
      <c r="C3237" t="s">
        <v>38</v>
      </c>
      <c r="D3237" t="str">
        <f>VLOOKUP(C3237, '[1]VLOOKUP 함수용 카테고리'!$A$1:$B$59, 2, 0)</f>
        <v>SNACK</v>
      </c>
      <c r="E3237" t="s">
        <v>179</v>
      </c>
      <c r="F3237" t="s">
        <v>54</v>
      </c>
    </row>
    <row r="3238" spans="1:6" x14ac:dyDescent="0.3">
      <c r="A3238" t="s">
        <v>5329</v>
      </c>
      <c r="B3238" t="str" cm="1">
        <f t="array" ref="B3238">_xlfn.XLOOKUP(C3238, INDEX([1]!카테고리매핑,,2), INDEX([1]!카테고리매핑,,1), "미등록 카테고리")</f>
        <v>육류/계란</v>
      </c>
      <c r="C3238" t="s">
        <v>428</v>
      </c>
      <c r="D3238" t="str">
        <f>VLOOKUP(C3238, '[1]VLOOKUP 함수용 카테고리'!$A$1:$B$59, 2, 0)</f>
        <v>PROCESSED_MEAT</v>
      </c>
      <c r="E3238" t="s">
        <v>429</v>
      </c>
      <c r="F3238" t="s">
        <v>5330</v>
      </c>
    </row>
    <row r="3239" spans="1:6" x14ac:dyDescent="0.3">
      <c r="A3239" t="s">
        <v>5331</v>
      </c>
      <c r="B3239" t="str" cm="1">
        <f t="array" ref="B3239">_xlfn.XLOOKUP(C3239, INDEX([1]!카테고리매핑,,2), INDEX([1]!카테고리매핑,,1), "미등록 카테고리")</f>
        <v>조미료</v>
      </c>
      <c r="C3239" t="s">
        <v>84</v>
      </c>
      <c r="D3239" t="str">
        <f>VLOOKUP(C3239, '[1]VLOOKUP 함수용 카테고리'!$A$1:$B$59, 2, 0)</f>
        <v>SAUCE_SEASONING</v>
      </c>
      <c r="E3239" t="s">
        <v>85</v>
      </c>
      <c r="F3239" t="s">
        <v>3815</v>
      </c>
    </row>
    <row r="3240" spans="1:6" x14ac:dyDescent="0.3">
      <c r="A3240" t="s">
        <v>5332</v>
      </c>
      <c r="B3240" t="str" cm="1">
        <f t="array" ref="B3240">_xlfn.XLOOKUP(C3240, INDEX([1]!카테고리매핑,,2), INDEX([1]!카테고리매핑,,1), "미등록 카테고리")</f>
        <v>간식류</v>
      </c>
      <c r="C3240" t="s">
        <v>63</v>
      </c>
      <c r="D3240" t="str">
        <f>VLOOKUP(C3240, '[1]VLOOKUP 함수용 카테고리'!$A$1:$B$59, 2, 0)</f>
        <v>BAKERY</v>
      </c>
      <c r="E3240" t="s">
        <v>513</v>
      </c>
      <c r="F3240" t="s">
        <v>2571</v>
      </c>
    </row>
    <row r="3241" spans="1:6" x14ac:dyDescent="0.3">
      <c r="A3241" t="s">
        <v>5333</v>
      </c>
      <c r="B3241" t="str" cm="1">
        <f t="array" ref="B3241">_xlfn.XLOOKUP(C3241, INDEX([1]!카테고리매핑,,2), INDEX([1]!카테고리매핑,,1), "미등록 카테고리")</f>
        <v>과일/견과류</v>
      </c>
      <c r="C3241" t="s">
        <v>1179</v>
      </c>
      <c r="D3241" t="str">
        <f>VLOOKUP(C3241, '[1]VLOOKUP 함수용 카테고리'!$A$1:$B$59, 2, 0)</f>
        <v>RAW_FRUIT</v>
      </c>
      <c r="E3241" t="s">
        <v>1921</v>
      </c>
      <c r="F3241" t="s">
        <v>5334</v>
      </c>
    </row>
    <row r="3242" spans="1:6" x14ac:dyDescent="0.3">
      <c r="A3242" t="s">
        <v>5335</v>
      </c>
      <c r="B3242" t="str" cm="1">
        <f t="array" ref="B3242">_xlfn.XLOOKUP(C3242, INDEX([1]!카테고리매핑,,2), INDEX([1]!카테고리매핑,,1), "미등록 카테고리")</f>
        <v>간편식</v>
      </c>
      <c r="C3242" t="s">
        <v>131</v>
      </c>
      <c r="D3242" t="str">
        <f>VLOOKUP(C3242, '[1]VLOOKUP 함수용 카테고리'!$A$1:$B$59, 2, 0)</f>
        <v>SIMPLE_PROCESSED</v>
      </c>
      <c r="E3242" t="s">
        <v>2497</v>
      </c>
      <c r="F3242" t="s">
        <v>577</v>
      </c>
    </row>
    <row r="3243" spans="1:6" x14ac:dyDescent="0.3">
      <c r="A3243" t="s">
        <v>5336</v>
      </c>
      <c r="B3243" t="str" cm="1">
        <f t="array" ref="B3243">_xlfn.XLOOKUP(C3243, INDEX([1]!카테고리매핑,,2), INDEX([1]!카테고리매핑,,1), "미등록 카테고리")</f>
        <v>음료</v>
      </c>
      <c r="C3243" t="s">
        <v>23</v>
      </c>
      <c r="D3243" t="str">
        <f>VLOOKUP(C3243, '[1]VLOOKUP 함수용 카테고리'!$A$1:$B$59, 2, 0)</f>
        <v>BEVERAGE</v>
      </c>
      <c r="E3243" t="s">
        <v>355</v>
      </c>
      <c r="F3243" t="s">
        <v>356</v>
      </c>
    </row>
    <row r="3244" spans="1:6" x14ac:dyDescent="0.3">
      <c r="A3244" t="s">
        <v>5337</v>
      </c>
      <c r="B3244" t="str" cm="1">
        <f t="array" ref="B3244">_xlfn.XLOOKUP(C3244, INDEX([1]!카테고리매핑,,2), INDEX([1]!카테고리매핑,,1), "미등록 카테고리")</f>
        <v>유제품</v>
      </c>
      <c r="C3244" t="s">
        <v>123</v>
      </c>
      <c r="D3244" t="str">
        <f>VLOOKUP(C3244, '[1]VLOOKUP 함수용 카테고리'!$A$1:$B$59, 2, 0)</f>
        <v>DAIRY</v>
      </c>
      <c r="E3244" t="s">
        <v>190</v>
      </c>
      <c r="F3244" t="s">
        <v>543</v>
      </c>
    </row>
    <row r="3245" spans="1:6" x14ac:dyDescent="0.3">
      <c r="A3245" t="s">
        <v>5338</v>
      </c>
      <c r="B3245" t="str" cm="1">
        <f t="array" ref="B3245">_xlfn.XLOOKUP(C3245, INDEX([1]!카테고리매핑,,2), INDEX([1]!카테고리매핑,,1), "미등록 카테고리")</f>
        <v>간식류</v>
      </c>
      <c r="C3245" t="s">
        <v>63</v>
      </c>
      <c r="D3245" t="str">
        <f>VLOOKUP(C3245, '[1]VLOOKUP 함수용 카테고리'!$A$1:$B$59, 2, 0)</f>
        <v>BAKERY</v>
      </c>
      <c r="E3245" t="s">
        <v>969</v>
      </c>
      <c r="F3245" t="s">
        <v>5339</v>
      </c>
    </row>
    <row r="3246" spans="1:6" x14ac:dyDescent="0.3">
      <c r="A3246" t="s">
        <v>5340</v>
      </c>
      <c r="B3246" t="str" cm="1">
        <f t="array" ref="B3246">_xlfn.XLOOKUP(C3246, INDEX([1]!카테고리매핑,,2), INDEX([1]!카테고리매핑,,1), "미등록 카테고리")</f>
        <v>음료</v>
      </c>
      <c r="C3246" t="s">
        <v>23</v>
      </c>
      <c r="D3246" t="str">
        <f>VLOOKUP(C3246, '[1]VLOOKUP 함수용 카테고리'!$A$1:$B$59, 2, 0)</f>
        <v>BEVERAGE</v>
      </c>
      <c r="E3246" t="s">
        <v>3881</v>
      </c>
      <c r="F3246" t="s">
        <v>136</v>
      </c>
    </row>
    <row r="3247" spans="1:6" x14ac:dyDescent="0.3">
      <c r="A3247" t="s">
        <v>5341</v>
      </c>
      <c r="B3247" t="str" cm="1">
        <f t="array" ref="B3247">_xlfn.XLOOKUP(C3247, INDEX([1]!카테고리매핑,,2), INDEX([1]!카테고리매핑,,1), "미등록 카테고리")</f>
        <v>채소/곡물류</v>
      </c>
      <c r="C3247" t="s">
        <v>7</v>
      </c>
      <c r="D3247" t="str">
        <f>VLOOKUP(C3247, '[1]VLOOKUP 함수용 카테고리'!$A$1:$B$59, 2, 0)</f>
        <v>RAW_PRODUCE</v>
      </c>
      <c r="E3247" t="s">
        <v>743</v>
      </c>
      <c r="F3247" t="s">
        <v>4519</v>
      </c>
    </row>
    <row r="3248" spans="1:6" x14ac:dyDescent="0.3">
      <c r="A3248" t="s">
        <v>5342</v>
      </c>
      <c r="B3248" t="str" cm="1">
        <f t="array" ref="B3248">_xlfn.XLOOKUP(C3248, INDEX([1]!카테고리매핑,,2), INDEX([1]!카테고리매핑,,1), "미등록 카테고리")</f>
        <v>간식류</v>
      </c>
      <c r="C3248" t="s">
        <v>63</v>
      </c>
      <c r="D3248" t="str">
        <f>VLOOKUP(C3248, '[1]VLOOKUP 함수용 카테고리'!$A$1:$B$59, 2, 0)</f>
        <v>BAKERY</v>
      </c>
      <c r="E3248" t="s">
        <v>496</v>
      </c>
      <c r="F3248" t="s">
        <v>3755</v>
      </c>
    </row>
    <row r="3249" spans="1:6" x14ac:dyDescent="0.3">
      <c r="A3249" t="s">
        <v>5343</v>
      </c>
      <c r="B3249" t="str" cm="1">
        <f t="array" ref="B3249">_xlfn.XLOOKUP(C3249, INDEX([1]!카테고리매핑,,2), INDEX([1]!카테고리매핑,,1), "미등록 카테고리")</f>
        <v>음료</v>
      </c>
      <c r="C3249" t="s">
        <v>23</v>
      </c>
      <c r="D3249" t="str">
        <f>VLOOKUP(C3249, '[1]VLOOKUP 함수용 카테고리'!$A$1:$B$59, 2, 0)</f>
        <v>BEVERAGE</v>
      </c>
      <c r="E3249" t="s">
        <v>288</v>
      </c>
      <c r="F3249" t="s">
        <v>174</v>
      </c>
    </row>
    <row r="3250" spans="1:6" x14ac:dyDescent="0.3">
      <c r="A3250" t="s">
        <v>5344</v>
      </c>
      <c r="B3250" t="str" cm="1">
        <f t="array" ref="B3250">_xlfn.XLOOKUP(C3250, INDEX([1]!카테고리매핑,,2), INDEX([1]!카테고리매핑,,1), "미등록 카테고리")</f>
        <v>유제품</v>
      </c>
      <c r="C3250" t="s">
        <v>98</v>
      </c>
      <c r="D3250" t="str">
        <f>VLOOKUP(C3250, '[1]VLOOKUP 함수용 카테고리'!$A$1:$B$59, 2, 0)</f>
        <v>DAIRY</v>
      </c>
      <c r="E3250" t="s">
        <v>98</v>
      </c>
      <c r="F3250" t="s">
        <v>5309</v>
      </c>
    </row>
    <row r="3251" spans="1:6" x14ac:dyDescent="0.3">
      <c r="A3251" t="s">
        <v>5345</v>
      </c>
      <c r="B3251" t="str" cm="1">
        <f t="array" ref="B3251">_xlfn.XLOOKUP(C3251, INDEX([1]!카테고리매핑,,2), INDEX([1]!카테고리매핑,,1), "미등록 카테고리")</f>
        <v>육류/계란</v>
      </c>
      <c r="C3251" t="s">
        <v>105</v>
      </c>
      <c r="D3251" t="str">
        <f>VLOOKUP(C3251, '[1]VLOOKUP 함수용 카테고리'!$A$1:$B$59, 2, 0)</f>
        <v>RAW_MEAT</v>
      </c>
      <c r="E3251" t="s">
        <v>294</v>
      </c>
      <c r="F3251" t="s">
        <v>254</v>
      </c>
    </row>
    <row r="3252" spans="1:6" x14ac:dyDescent="0.3">
      <c r="A3252" t="s">
        <v>5346</v>
      </c>
      <c r="B3252" t="str" cm="1">
        <f t="array" ref="B3252">_xlfn.XLOOKUP(C3252, INDEX([1]!카테고리매핑,,2), INDEX([1]!카테고리매핑,,1), "미등록 카테고리")</f>
        <v>간식류</v>
      </c>
      <c r="C3252" t="s">
        <v>63</v>
      </c>
      <c r="D3252" t="str">
        <f>VLOOKUP(C3252, '[1]VLOOKUP 함수용 카테고리'!$A$1:$B$59, 2, 0)</f>
        <v>BAKERY</v>
      </c>
      <c r="E3252" t="s">
        <v>2040</v>
      </c>
      <c r="F3252" t="s">
        <v>72</v>
      </c>
    </row>
    <row r="3253" spans="1:6" x14ac:dyDescent="0.3">
      <c r="A3253" t="s">
        <v>5347</v>
      </c>
      <c r="B3253" t="str" cm="1">
        <f t="array" ref="B3253">_xlfn.XLOOKUP(C3253, INDEX([1]!카테고리매핑,,2), INDEX([1]!카테고리매핑,,1), "미등록 카테고리")</f>
        <v>간식류</v>
      </c>
      <c r="C3253" t="s">
        <v>15</v>
      </c>
      <c r="D3253" t="str">
        <f>VLOOKUP(C3253, '[1]VLOOKUP 함수용 카테고리'!$A$1:$B$59, 2, 0)</f>
        <v>BAKERY</v>
      </c>
      <c r="E3253" t="s">
        <v>1469</v>
      </c>
      <c r="F3253" t="s">
        <v>541</v>
      </c>
    </row>
    <row r="3254" spans="1:6" x14ac:dyDescent="0.3">
      <c r="A3254" t="s">
        <v>5348</v>
      </c>
      <c r="B3254" t="str" cm="1">
        <f t="array" ref="B3254">_xlfn.XLOOKUP(C3254, INDEX([1]!카테고리매핑,,2), INDEX([1]!카테고리매핑,,1), "미등록 카테고리")</f>
        <v>조미료</v>
      </c>
      <c r="C3254" t="s">
        <v>117</v>
      </c>
      <c r="D3254" t="str">
        <f>VLOOKUP(C3254, '[1]VLOOKUP 함수용 카테고리'!$A$1:$B$59, 2, 0)</f>
        <v>SAUCE_SEASONING</v>
      </c>
      <c r="E3254" t="s">
        <v>447</v>
      </c>
      <c r="F3254" t="s">
        <v>5349</v>
      </c>
    </row>
    <row r="3255" spans="1:6" x14ac:dyDescent="0.3">
      <c r="A3255" t="s">
        <v>5350</v>
      </c>
      <c r="B3255" t="str" cm="1">
        <f t="array" ref="B3255">_xlfn.XLOOKUP(C3255, INDEX([1]!카테고리매핑,,2), INDEX([1]!카테고리매핑,,1), "미등록 카테고리")</f>
        <v>과일/견과류</v>
      </c>
      <c r="C3255" t="s">
        <v>1179</v>
      </c>
      <c r="D3255" t="str">
        <f>VLOOKUP(C3255, '[1]VLOOKUP 함수용 카테고리'!$A$1:$B$59, 2, 0)</f>
        <v>RAW_FRUIT</v>
      </c>
      <c r="E3255" t="s">
        <v>1921</v>
      </c>
      <c r="F3255" t="s">
        <v>595</v>
      </c>
    </row>
    <row r="3256" spans="1:6" x14ac:dyDescent="0.3">
      <c r="A3256" t="s">
        <v>5351</v>
      </c>
      <c r="B3256" t="str" cm="1">
        <f t="array" ref="B3256">_xlfn.XLOOKUP(C3256, INDEX([1]!카테고리매핑,,2), INDEX([1]!카테고리매핑,,1), "미등록 카테고리")</f>
        <v>간식류</v>
      </c>
      <c r="C3256" t="s">
        <v>15</v>
      </c>
      <c r="D3256" t="str">
        <f>VLOOKUP(C3256, '[1]VLOOKUP 함수용 카테고리'!$A$1:$B$59, 2, 0)</f>
        <v>BAKERY</v>
      </c>
      <c r="E3256" t="s">
        <v>793</v>
      </c>
      <c r="F3256" t="s">
        <v>798</v>
      </c>
    </row>
    <row r="3257" spans="1:6" x14ac:dyDescent="0.3">
      <c r="A3257" t="s">
        <v>5352</v>
      </c>
      <c r="B3257" t="str" cm="1">
        <f t="array" ref="B3257">_xlfn.XLOOKUP(C3257, INDEX([1]!카테고리매핑,,2), INDEX([1]!카테고리매핑,,1), "미등록 카테고리")</f>
        <v>채소/곡물류</v>
      </c>
      <c r="C3257" t="s">
        <v>7</v>
      </c>
      <c r="D3257" t="str">
        <f>VLOOKUP(C3257, '[1]VLOOKUP 함수용 카테고리'!$A$1:$B$59, 2, 0)</f>
        <v>RAW_PRODUCE</v>
      </c>
      <c r="E3257" t="s">
        <v>2633</v>
      </c>
    </row>
    <row r="3258" spans="1:6" x14ac:dyDescent="0.3">
      <c r="A3258" t="s">
        <v>5353</v>
      </c>
      <c r="B3258" t="str" cm="1">
        <f t="array" ref="B3258">_xlfn.XLOOKUP(C3258, INDEX([1]!카테고리매핑,,2), INDEX([1]!카테고리매핑,,1), "미등록 카테고리")</f>
        <v>음료</v>
      </c>
      <c r="C3258" t="s">
        <v>23</v>
      </c>
      <c r="D3258" t="str">
        <f>VLOOKUP(C3258, '[1]VLOOKUP 함수용 카테고리'!$A$1:$B$59, 2, 0)</f>
        <v>BEVERAGE</v>
      </c>
      <c r="E3258" t="s">
        <v>288</v>
      </c>
      <c r="F3258" t="s">
        <v>5354</v>
      </c>
    </row>
    <row r="3259" spans="1:6" x14ac:dyDescent="0.3">
      <c r="A3259" t="s">
        <v>5355</v>
      </c>
      <c r="B3259" t="str" cm="1">
        <f t="array" ref="B3259">_xlfn.XLOOKUP(C3259, INDEX([1]!카테고리매핑,,2), INDEX([1]!카테고리매핑,,1), "미등록 카테고리")</f>
        <v>채소/곡물류</v>
      </c>
      <c r="C3259" t="s">
        <v>7</v>
      </c>
      <c r="D3259" t="str">
        <f>VLOOKUP(C3259, '[1]VLOOKUP 함수용 카테고리'!$A$1:$B$59, 2, 0)</f>
        <v>RAW_PRODUCE</v>
      </c>
      <c r="E3259" t="s">
        <v>743</v>
      </c>
      <c r="F3259" t="s">
        <v>1901</v>
      </c>
    </row>
    <row r="3260" spans="1:6" x14ac:dyDescent="0.3">
      <c r="A3260" t="s">
        <v>5356</v>
      </c>
      <c r="B3260" t="str" cm="1">
        <f t="array" ref="B3260">_xlfn.XLOOKUP(C3260, INDEX([1]!카테고리매핑,,2), INDEX([1]!카테고리매핑,,1), "미등록 카테고리")</f>
        <v>유제품</v>
      </c>
      <c r="C3260" t="s">
        <v>211</v>
      </c>
      <c r="D3260" t="str">
        <f>VLOOKUP(C3260, '[1]VLOOKUP 함수용 카테고리'!$A$1:$B$59, 2, 0)</f>
        <v>DAIRY</v>
      </c>
      <c r="E3260" t="s">
        <v>211</v>
      </c>
      <c r="F3260" t="s">
        <v>2603</v>
      </c>
    </row>
    <row r="3261" spans="1:6" x14ac:dyDescent="0.3">
      <c r="A3261" t="s">
        <v>5357</v>
      </c>
      <c r="B3261" t="str" cm="1">
        <f t="array" ref="B3261">_xlfn.XLOOKUP(C3261, INDEX([1]!카테고리매핑,,2), INDEX([1]!카테고리매핑,,1), "미등록 카테고리")</f>
        <v>간편식</v>
      </c>
      <c r="C3261" t="s">
        <v>158</v>
      </c>
      <c r="D3261" t="str">
        <f>VLOOKUP(C3261, '[1]VLOOKUP 함수용 카테고리'!$A$1:$B$59, 2, 0)</f>
        <v>INSTANT</v>
      </c>
      <c r="E3261" t="s">
        <v>4498</v>
      </c>
      <c r="F3261" t="s">
        <v>154</v>
      </c>
    </row>
    <row r="3262" spans="1:6" x14ac:dyDescent="0.3">
      <c r="A3262" t="s">
        <v>5358</v>
      </c>
      <c r="B3262" t="str" cm="1">
        <f t="array" ref="B3262">_xlfn.XLOOKUP(C3262, INDEX([1]!카테고리매핑,,2), INDEX([1]!카테고리매핑,,1), "미등록 카테고리")</f>
        <v>과일/견과류</v>
      </c>
      <c r="C3262" t="s">
        <v>1179</v>
      </c>
      <c r="D3262" t="str">
        <f>VLOOKUP(C3262, '[1]VLOOKUP 함수용 카테고리'!$A$1:$B$59, 2, 0)</f>
        <v>RAW_FRUIT</v>
      </c>
      <c r="E3262" t="s">
        <v>1180</v>
      </c>
      <c r="F3262" t="s">
        <v>595</v>
      </c>
    </row>
    <row r="3263" spans="1:6" x14ac:dyDescent="0.3">
      <c r="A3263" t="s">
        <v>5359</v>
      </c>
      <c r="B3263" t="str" cm="1">
        <f t="array" ref="B3263">_xlfn.XLOOKUP(C3263, INDEX([1]!카테고리매핑,,2), INDEX([1]!카테고리매핑,,1), "미등록 카테고리")</f>
        <v>조미료</v>
      </c>
      <c r="C3263" t="s">
        <v>84</v>
      </c>
      <c r="D3263" t="str">
        <f>VLOOKUP(C3263, '[1]VLOOKUP 함수용 카테고리'!$A$1:$B$59, 2, 0)</f>
        <v>SAUCE_SEASONING</v>
      </c>
      <c r="E3263" t="s">
        <v>90</v>
      </c>
      <c r="F3263" t="s">
        <v>7795</v>
      </c>
    </row>
    <row r="3264" spans="1:6" x14ac:dyDescent="0.3">
      <c r="A3264" t="s">
        <v>5360</v>
      </c>
      <c r="B3264" t="str" cm="1">
        <f t="array" ref="B3264">_xlfn.XLOOKUP(C3264, INDEX([1]!카테고리매핑,,2), INDEX([1]!카테고리매핑,,1), "미등록 카테고리")</f>
        <v>간편식</v>
      </c>
      <c r="C3264" t="s">
        <v>46</v>
      </c>
      <c r="D3264" t="str">
        <f>VLOOKUP(C3264, '[1]VLOOKUP 함수용 카테고리'!$A$1:$B$59, 2, 0)</f>
        <v>RTC_MEAL</v>
      </c>
      <c r="E3264" t="s">
        <v>46</v>
      </c>
      <c r="F3264" t="s">
        <v>156</v>
      </c>
    </row>
    <row r="3265" spans="1:6" x14ac:dyDescent="0.3">
      <c r="A3265" t="s">
        <v>5361</v>
      </c>
      <c r="B3265" t="str" cm="1">
        <f t="array" ref="B3265">_xlfn.XLOOKUP(C3265, INDEX([1]!카테고리매핑,,2), INDEX([1]!카테고리매핑,,1), "미등록 카테고리")</f>
        <v>과일/견과류</v>
      </c>
      <c r="C3265" t="s">
        <v>1179</v>
      </c>
      <c r="D3265" t="str">
        <f>VLOOKUP(C3265, '[1]VLOOKUP 함수용 카테고리'!$A$1:$B$59, 2, 0)</f>
        <v>RAW_FRUIT</v>
      </c>
      <c r="E3265" t="s">
        <v>1238</v>
      </c>
      <c r="F3265" t="s">
        <v>595</v>
      </c>
    </row>
    <row r="3266" spans="1:6" x14ac:dyDescent="0.3">
      <c r="A3266" t="s">
        <v>5362</v>
      </c>
      <c r="B3266" t="str" cm="1">
        <f t="array" ref="B3266">_xlfn.XLOOKUP(C3266, INDEX([1]!카테고리매핑,,2), INDEX([1]!카테고리매핑,,1), "미등록 카테고리")</f>
        <v>조미료</v>
      </c>
      <c r="C3266" t="s">
        <v>127</v>
      </c>
      <c r="D3266" t="str">
        <f>VLOOKUP(C3266, '[1]VLOOKUP 함수용 카테고리'!$A$1:$B$59, 2, 0)</f>
        <v>SAUCE_SEASONING</v>
      </c>
      <c r="E3266" t="s">
        <v>4381</v>
      </c>
      <c r="F3266" t="s">
        <v>182</v>
      </c>
    </row>
    <row r="3267" spans="1:6" x14ac:dyDescent="0.3">
      <c r="A3267" t="s">
        <v>5363</v>
      </c>
      <c r="B3267" t="str" cm="1">
        <f t="array" ref="B3267">_xlfn.XLOOKUP(C3267, INDEX([1]!카테고리매핑,,2), INDEX([1]!카테고리매핑,,1), "미등록 카테고리")</f>
        <v>유제품</v>
      </c>
      <c r="C3267" t="s">
        <v>211</v>
      </c>
      <c r="D3267" t="str">
        <f>VLOOKUP(C3267, '[1]VLOOKUP 함수용 카테고리'!$A$1:$B$59, 2, 0)</f>
        <v>DAIRY</v>
      </c>
      <c r="E3267" t="s">
        <v>211</v>
      </c>
      <c r="F3267" t="s">
        <v>2979</v>
      </c>
    </row>
    <row r="3268" spans="1:6" x14ac:dyDescent="0.3">
      <c r="A3268" t="s">
        <v>5364</v>
      </c>
      <c r="B3268" t="str" cm="1">
        <f t="array" ref="B3268">_xlfn.XLOOKUP(C3268, INDEX([1]!카테고리매핑,,2), INDEX([1]!카테고리매핑,,1), "미등록 카테고리")</f>
        <v>간식류</v>
      </c>
      <c r="C3268" t="s">
        <v>15</v>
      </c>
      <c r="D3268" t="str">
        <f>VLOOKUP(C3268, '[1]VLOOKUP 함수용 카테고리'!$A$1:$B$59, 2, 0)</f>
        <v>BAKERY</v>
      </c>
      <c r="E3268" t="s">
        <v>3025</v>
      </c>
      <c r="F3268" t="s">
        <v>5365</v>
      </c>
    </row>
    <row r="3269" spans="1:6" x14ac:dyDescent="0.3">
      <c r="A3269" t="s">
        <v>5366</v>
      </c>
      <c r="B3269" t="str" cm="1">
        <f t="array" ref="B3269">_xlfn.XLOOKUP(C3269, INDEX([1]!카테고리매핑,,2), INDEX([1]!카테고리매핑,,1), "미등록 카테고리")</f>
        <v>음료</v>
      </c>
      <c r="C3269" t="s">
        <v>23</v>
      </c>
      <c r="D3269" t="str">
        <f>VLOOKUP(C3269, '[1]VLOOKUP 함수용 카테고리'!$A$1:$B$59, 2, 0)</f>
        <v>BEVERAGE</v>
      </c>
      <c r="E3269" t="s">
        <v>24</v>
      </c>
      <c r="F3269" t="s">
        <v>5367</v>
      </c>
    </row>
    <row r="3270" spans="1:6" x14ac:dyDescent="0.3">
      <c r="A3270" t="s">
        <v>5368</v>
      </c>
      <c r="B3270" t="str" cm="1">
        <f t="array" ref="B3270">_xlfn.XLOOKUP(C3270, INDEX([1]!카테고리매핑,,2), INDEX([1]!카테고리매핑,,1), "미등록 카테고리")</f>
        <v>간식류</v>
      </c>
      <c r="C3270" t="s">
        <v>109</v>
      </c>
      <c r="D3270" t="str">
        <f>VLOOKUP(C3270, '[1]VLOOKUP 함수용 카테고리'!$A$1:$B$59, 2, 0)</f>
        <v>SNACK</v>
      </c>
      <c r="E3270" t="s">
        <v>1531</v>
      </c>
      <c r="F3270" t="s">
        <v>111</v>
      </c>
    </row>
    <row r="3271" spans="1:6" x14ac:dyDescent="0.3">
      <c r="A3271" t="s">
        <v>5369</v>
      </c>
      <c r="B3271" t="str" cm="1">
        <f t="array" ref="B3271">_xlfn.XLOOKUP(C3271, INDEX([1]!카테고리매핑,,2), INDEX([1]!카테고리매핑,,1), "미등록 카테고리")</f>
        <v>육류/계란</v>
      </c>
      <c r="C3271" t="s">
        <v>428</v>
      </c>
      <c r="D3271" t="str">
        <f>VLOOKUP(C3271, '[1]VLOOKUP 함수용 카테고리'!$A$1:$B$59, 2, 0)</f>
        <v>PROCESSED_MEAT</v>
      </c>
      <c r="E3271" t="s">
        <v>776</v>
      </c>
      <c r="F3271" t="s">
        <v>1043</v>
      </c>
    </row>
    <row r="3272" spans="1:6" x14ac:dyDescent="0.3">
      <c r="A3272" t="s">
        <v>5370</v>
      </c>
      <c r="B3272" t="str" cm="1">
        <f t="array" ref="B3272">_xlfn.XLOOKUP(C3272, INDEX([1]!카테고리매핑,,2), INDEX([1]!카테고리매핑,,1), "미등록 카테고리")</f>
        <v>조미료</v>
      </c>
      <c r="C3272" t="s">
        <v>83</v>
      </c>
      <c r="D3272" t="str">
        <f>VLOOKUP(C3272, '[1]VLOOKUP 함수용 카테고리'!$A$1:$B$59, 2, 0)</f>
        <v>SAUCE_SEASONING</v>
      </c>
      <c r="E3272" t="s">
        <v>1372</v>
      </c>
      <c r="F3272" t="s">
        <v>1136</v>
      </c>
    </row>
    <row r="3273" spans="1:6" x14ac:dyDescent="0.3">
      <c r="A3273" t="s">
        <v>5371</v>
      </c>
      <c r="B3273" t="str" cm="1">
        <f t="array" ref="B3273">_xlfn.XLOOKUP(C3273, INDEX([1]!카테고리매핑,,2), INDEX([1]!카테고리매핑,,1), "미등록 카테고리")</f>
        <v>간식류</v>
      </c>
      <c r="C3273" t="s">
        <v>38</v>
      </c>
      <c r="D3273" t="str">
        <f>VLOOKUP(C3273, '[1]VLOOKUP 함수용 카테고리'!$A$1:$B$59, 2, 0)</f>
        <v>SNACK</v>
      </c>
      <c r="E3273" t="s">
        <v>179</v>
      </c>
      <c r="F3273" t="s">
        <v>3307</v>
      </c>
    </row>
    <row r="3274" spans="1:6" x14ac:dyDescent="0.3">
      <c r="A3274" t="s">
        <v>5372</v>
      </c>
      <c r="B3274" t="str" cm="1">
        <f t="array" ref="B3274">_xlfn.XLOOKUP(C3274, INDEX([1]!카테고리매핑,,2), INDEX([1]!카테고리매핑,,1), "미등록 카테고리")</f>
        <v>육류/계란</v>
      </c>
      <c r="C3274" t="s">
        <v>298</v>
      </c>
      <c r="D3274" t="str">
        <f>VLOOKUP(C3274, '[1]VLOOKUP 함수용 카테고리'!$A$1:$B$59, 2, 0)</f>
        <v>RAW_MEAT</v>
      </c>
      <c r="E3274" t="s">
        <v>298</v>
      </c>
      <c r="F3274" t="s">
        <v>151</v>
      </c>
    </row>
    <row r="3275" spans="1:6" x14ac:dyDescent="0.3">
      <c r="A3275" t="s">
        <v>5373</v>
      </c>
      <c r="B3275" t="str" cm="1">
        <f t="array" ref="B3275">_xlfn.XLOOKUP(C3275, INDEX([1]!카테고리매핑,,2), INDEX([1]!카테고리매핑,,1), "미등록 카테고리")</f>
        <v>간식류</v>
      </c>
      <c r="C3275" t="s">
        <v>15</v>
      </c>
      <c r="D3275" t="str">
        <f>VLOOKUP(C3275, '[1]VLOOKUP 함수용 카테고리'!$A$1:$B$59, 2, 0)</f>
        <v>BAKERY</v>
      </c>
      <c r="E3275" t="s">
        <v>5374</v>
      </c>
      <c r="F3275" t="s">
        <v>2769</v>
      </c>
    </row>
    <row r="3276" spans="1:6" x14ac:dyDescent="0.3">
      <c r="A3276" t="s">
        <v>5375</v>
      </c>
      <c r="B3276" t="str" cm="1">
        <f t="array" ref="B3276">_xlfn.XLOOKUP(C3276, INDEX([1]!카테고리매핑,,2), INDEX([1]!카테고리매핑,,1), "미등록 카테고리")</f>
        <v>간편식</v>
      </c>
      <c r="C3276" t="s">
        <v>256</v>
      </c>
      <c r="D3276" t="str">
        <f>VLOOKUP(C3276, '[1]VLOOKUP 함수용 카테고리'!$A$1:$B$59, 2, 0)</f>
        <v>RTC_MEAL</v>
      </c>
      <c r="E3276" t="s">
        <v>256</v>
      </c>
      <c r="F3276" t="s">
        <v>568</v>
      </c>
    </row>
    <row r="3277" spans="1:6" x14ac:dyDescent="0.3">
      <c r="A3277" t="s">
        <v>5376</v>
      </c>
      <c r="B3277" t="str" cm="1">
        <f t="array" ref="B3277">_xlfn.XLOOKUP(C3277, INDEX([1]!카테고리매핑,,2), INDEX([1]!카테고리매핑,,1), "미등록 카테고리")</f>
        <v>간편식</v>
      </c>
      <c r="C3277" t="s">
        <v>256</v>
      </c>
      <c r="D3277" t="str">
        <f>VLOOKUP(C3277, '[1]VLOOKUP 함수용 카테고리'!$A$1:$B$59, 2, 0)</f>
        <v>RTC_MEAL</v>
      </c>
      <c r="E3277" t="s">
        <v>256</v>
      </c>
      <c r="F3277" t="s">
        <v>129</v>
      </c>
    </row>
    <row r="3278" spans="1:6" x14ac:dyDescent="0.3">
      <c r="A3278" t="s">
        <v>5377</v>
      </c>
      <c r="B3278" t="str" cm="1">
        <f t="array" ref="B3278">_xlfn.XLOOKUP(C3278, INDEX([1]!카테고리매핑,,2), INDEX([1]!카테고리매핑,,1), "미등록 카테고리")</f>
        <v>과일/견과류</v>
      </c>
      <c r="C3278" t="s">
        <v>1179</v>
      </c>
      <c r="D3278" t="str">
        <f>VLOOKUP(C3278, '[1]VLOOKUP 함수용 카테고리'!$A$1:$B$59, 2, 0)</f>
        <v>RAW_FRUIT</v>
      </c>
      <c r="E3278" t="s">
        <v>1180</v>
      </c>
      <c r="F3278" t="s">
        <v>595</v>
      </c>
    </row>
    <row r="3279" spans="1:6" x14ac:dyDescent="0.3">
      <c r="A3279" t="s">
        <v>5378</v>
      </c>
      <c r="B3279" t="str" cm="1">
        <f t="array" ref="B3279">_xlfn.XLOOKUP(C3279, INDEX([1]!카테고리매핑,,2), INDEX([1]!카테고리매핑,,1), "미등록 카테고리")</f>
        <v>과일/견과류</v>
      </c>
      <c r="C3279" t="s">
        <v>1179</v>
      </c>
      <c r="D3279" t="str">
        <f>VLOOKUP(C3279, '[1]VLOOKUP 함수용 카테고리'!$A$1:$B$59, 2, 0)</f>
        <v>RAW_FRUIT</v>
      </c>
      <c r="E3279" t="s">
        <v>1180</v>
      </c>
      <c r="F3279" t="s">
        <v>595</v>
      </c>
    </row>
    <row r="3280" spans="1:6" x14ac:dyDescent="0.3">
      <c r="A3280" t="s">
        <v>5379</v>
      </c>
      <c r="B3280" t="str" cm="1">
        <f t="array" ref="B3280">_xlfn.XLOOKUP(C3280, INDEX([1]!카테고리매핑,,2), INDEX([1]!카테고리매핑,,1), "미등록 카테고리")</f>
        <v>간식류</v>
      </c>
      <c r="C3280" t="s">
        <v>11</v>
      </c>
      <c r="D3280" t="str">
        <f>VLOOKUP(C3280, '[1]VLOOKUP 함수용 카테고리'!$A$1:$B$59, 2, 0)</f>
        <v>SNACK</v>
      </c>
      <c r="E3280" t="s">
        <v>5034</v>
      </c>
      <c r="F3280" t="s">
        <v>1212</v>
      </c>
    </row>
    <row r="3281" spans="1:6" x14ac:dyDescent="0.3">
      <c r="A3281" t="s">
        <v>5380</v>
      </c>
      <c r="B3281" t="str" cm="1">
        <f t="array" ref="B3281">_xlfn.XLOOKUP(C3281, INDEX([1]!카테고리매핑,,2), INDEX([1]!카테고리매핑,,1), "미등록 카테고리")</f>
        <v>유제품</v>
      </c>
      <c r="C3281" t="s">
        <v>123</v>
      </c>
      <c r="D3281" t="str">
        <f>VLOOKUP(C3281, '[1]VLOOKUP 함수용 카테고리'!$A$1:$B$59, 2, 0)</f>
        <v>DAIRY</v>
      </c>
      <c r="E3281" t="s">
        <v>190</v>
      </c>
      <c r="F3281" t="s">
        <v>4695</v>
      </c>
    </row>
    <row r="3282" spans="1:6" x14ac:dyDescent="0.3">
      <c r="A3282" t="s">
        <v>5381</v>
      </c>
      <c r="B3282" t="str" cm="1">
        <f t="array" ref="B3282">_xlfn.XLOOKUP(C3282, INDEX([1]!카테고리매핑,,2), INDEX([1]!카테고리매핑,,1), "미등록 카테고리")</f>
        <v>조미료</v>
      </c>
      <c r="C3282" t="s">
        <v>117</v>
      </c>
      <c r="D3282" t="str">
        <f>VLOOKUP(C3282, '[1]VLOOKUP 함수용 카테고리'!$A$1:$B$59, 2, 0)</f>
        <v>SAUCE_SEASONING</v>
      </c>
      <c r="E3282" t="s">
        <v>421</v>
      </c>
      <c r="F3282" t="s">
        <v>1884</v>
      </c>
    </row>
    <row r="3283" spans="1:6" x14ac:dyDescent="0.3">
      <c r="A3283" t="s">
        <v>5382</v>
      </c>
      <c r="B3283" t="str" cm="1">
        <f t="array" ref="B3283">_xlfn.XLOOKUP(C3283, INDEX([1]!카테고리매핑,,2), INDEX([1]!카테고리매핑,,1), "미등록 카테고리")</f>
        <v>간식류</v>
      </c>
      <c r="C3283" t="s">
        <v>11</v>
      </c>
      <c r="D3283" t="str">
        <f>VLOOKUP(C3283, '[1]VLOOKUP 함수용 카테고리'!$A$1:$B$59, 2, 0)</f>
        <v>SNACK</v>
      </c>
      <c r="E3283" t="s">
        <v>361</v>
      </c>
      <c r="F3283" t="s">
        <v>257</v>
      </c>
    </row>
    <row r="3284" spans="1:6" x14ac:dyDescent="0.3">
      <c r="A3284" t="s">
        <v>5383</v>
      </c>
      <c r="B3284" t="str" cm="1">
        <f t="array" ref="B3284">_xlfn.XLOOKUP(C3284, INDEX([1]!카테고리매핑,,2), INDEX([1]!카테고리매핑,,1), "미등록 카테고리")</f>
        <v>간편식</v>
      </c>
      <c r="C3284" t="s">
        <v>46</v>
      </c>
      <c r="D3284" t="str">
        <f>VLOOKUP(C3284, '[1]VLOOKUP 함수용 카테고리'!$A$1:$B$59, 2, 0)</f>
        <v>RTC_MEAL</v>
      </c>
      <c r="E3284" t="s">
        <v>46</v>
      </c>
      <c r="F3284" t="s">
        <v>227</v>
      </c>
    </row>
    <row r="3285" spans="1:6" x14ac:dyDescent="0.3">
      <c r="A3285" t="s">
        <v>5384</v>
      </c>
      <c r="B3285" t="str" cm="1">
        <f t="array" ref="B3285">_xlfn.XLOOKUP(C3285, INDEX([1]!카테고리매핑,,2), INDEX([1]!카테고리매핑,,1), "미등록 카테고리")</f>
        <v>간편식</v>
      </c>
      <c r="C3285" t="s">
        <v>131</v>
      </c>
      <c r="D3285" t="str">
        <f>VLOOKUP(C3285, '[1]VLOOKUP 함수용 카테고리'!$A$1:$B$59, 2, 0)</f>
        <v>SIMPLE_PROCESSED</v>
      </c>
      <c r="E3285" t="s">
        <v>132</v>
      </c>
      <c r="F3285" t="s">
        <v>1246</v>
      </c>
    </row>
    <row r="3286" spans="1:6" x14ac:dyDescent="0.3">
      <c r="A3286" t="s">
        <v>5385</v>
      </c>
      <c r="B3286" t="str" cm="1">
        <f t="array" ref="B3286">_xlfn.XLOOKUP(C3286, INDEX([1]!카테고리매핑,,2), INDEX([1]!카테고리매핑,,1), "미등록 카테고리")</f>
        <v>간편식</v>
      </c>
      <c r="C3286" t="s">
        <v>158</v>
      </c>
      <c r="D3286" t="str">
        <f>VLOOKUP(C3286, '[1]VLOOKUP 함수용 카테고리'!$A$1:$B$59, 2, 0)</f>
        <v>INSTANT</v>
      </c>
      <c r="E3286" t="s">
        <v>5386</v>
      </c>
      <c r="F3286" t="s">
        <v>129</v>
      </c>
    </row>
    <row r="3287" spans="1:6" x14ac:dyDescent="0.3">
      <c r="A3287" t="s">
        <v>5387</v>
      </c>
      <c r="B3287" t="str" cm="1">
        <f t="array" ref="B3287">_xlfn.XLOOKUP(C3287, INDEX([1]!카테고리매핑,,2), INDEX([1]!카테고리매핑,,1), "미등록 카테고리")</f>
        <v>조미료</v>
      </c>
      <c r="C3287" t="s">
        <v>117</v>
      </c>
      <c r="D3287" t="str">
        <f>VLOOKUP(C3287, '[1]VLOOKUP 함수용 카테고리'!$A$1:$B$59, 2, 0)</f>
        <v>SAUCE_SEASONING</v>
      </c>
      <c r="E3287" t="s">
        <v>5388</v>
      </c>
      <c r="F3287" t="s">
        <v>5389</v>
      </c>
    </row>
    <row r="3288" spans="1:6" x14ac:dyDescent="0.3">
      <c r="A3288" t="s">
        <v>5390</v>
      </c>
      <c r="B3288" t="str" cm="1">
        <f t="array" ref="B3288">_xlfn.XLOOKUP(C3288, INDEX([1]!카테고리매핑,,2), INDEX([1]!카테고리매핑,,1), "미등록 카테고리")</f>
        <v>육류/계란</v>
      </c>
      <c r="C3288" t="s">
        <v>149</v>
      </c>
      <c r="D3288" t="str">
        <f>VLOOKUP(C3288, '[1]VLOOKUP 함수용 카테고리'!$A$1:$B$59, 2, 0)</f>
        <v>RAW_MEAT</v>
      </c>
      <c r="E3288" t="s">
        <v>573</v>
      </c>
      <c r="F3288" t="s">
        <v>1425</v>
      </c>
    </row>
    <row r="3289" spans="1:6" x14ac:dyDescent="0.3">
      <c r="A3289" t="s">
        <v>5391</v>
      </c>
      <c r="B3289" t="str" cm="1">
        <f t="array" ref="B3289">_xlfn.XLOOKUP(C3289, INDEX([1]!카테고리매핑,,2), INDEX([1]!카테고리매핑,,1), "미등록 카테고리")</f>
        <v>채소/곡물류</v>
      </c>
      <c r="C3289" t="s">
        <v>301</v>
      </c>
      <c r="D3289" t="str">
        <f>VLOOKUP(C3289, '[1]VLOOKUP 함수용 카테고리'!$A$1:$B$59, 2, 0)</f>
        <v>GRAIN</v>
      </c>
      <c r="E3289" t="s">
        <v>2023</v>
      </c>
    </row>
    <row r="3290" spans="1:6" x14ac:dyDescent="0.3">
      <c r="A3290" t="s">
        <v>5392</v>
      </c>
      <c r="B3290" t="str" cm="1">
        <f t="array" ref="B3290">_xlfn.XLOOKUP(C3290, INDEX([1]!카테고리매핑,,2), INDEX([1]!카테고리매핑,,1), "미등록 카테고리")</f>
        <v>간식류</v>
      </c>
      <c r="C3290" t="s">
        <v>11</v>
      </c>
      <c r="D3290" t="str">
        <f>VLOOKUP(C3290, '[1]VLOOKUP 함수용 카테고리'!$A$1:$B$59, 2, 0)</f>
        <v>SNACK</v>
      </c>
      <c r="E3290" t="s">
        <v>2426</v>
      </c>
      <c r="F3290" t="s">
        <v>5393</v>
      </c>
    </row>
    <row r="3291" spans="1:6" x14ac:dyDescent="0.3">
      <c r="A3291" t="s">
        <v>5394</v>
      </c>
      <c r="B3291" t="str" cm="1">
        <f t="array" ref="B3291">_xlfn.XLOOKUP(C3291, INDEX([1]!카테고리매핑,,2), INDEX([1]!카테고리매핑,,1), "미등록 카테고리")</f>
        <v>간편식</v>
      </c>
      <c r="C3291" t="s">
        <v>19</v>
      </c>
      <c r="D3291" t="str">
        <f>VLOOKUP(C3291, '[1]VLOOKUP 함수용 카테고리'!$A$1:$B$59, 2, 0)</f>
        <v>FROZEN_MEAL</v>
      </c>
      <c r="E3291" t="s">
        <v>20</v>
      </c>
      <c r="F3291" t="s">
        <v>1554</v>
      </c>
    </row>
    <row r="3292" spans="1:6" x14ac:dyDescent="0.3">
      <c r="A3292" t="s">
        <v>5395</v>
      </c>
      <c r="B3292" t="str" cm="1">
        <f t="array" ref="B3292">_xlfn.XLOOKUP(C3292, INDEX([1]!카테고리매핑,,2), INDEX([1]!카테고리매핑,,1), "미등록 카테고리")</f>
        <v>육류/계란</v>
      </c>
      <c r="C3292" t="s">
        <v>105</v>
      </c>
      <c r="D3292" t="str">
        <f>VLOOKUP(C3292, '[1]VLOOKUP 함수용 카테고리'!$A$1:$B$59, 2, 0)</f>
        <v>RAW_MEAT</v>
      </c>
      <c r="E3292" t="s">
        <v>5396</v>
      </c>
      <c r="F3292" t="s">
        <v>5397</v>
      </c>
    </row>
    <row r="3293" spans="1:6" x14ac:dyDescent="0.3">
      <c r="A3293" t="s">
        <v>5398</v>
      </c>
      <c r="B3293" t="str" cm="1">
        <f t="array" ref="B3293">_xlfn.XLOOKUP(C3293, INDEX([1]!카테고리매핑,,2), INDEX([1]!카테고리매핑,,1), "미등록 카테고리")</f>
        <v>유제품</v>
      </c>
      <c r="C3293" t="s">
        <v>211</v>
      </c>
      <c r="D3293" t="str">
        <f>VLOOKUP(C3293, '[1]VLOOKUP 함수용 카테고리'!$A$1:$B$59, 2, 0)</f>
        <v>DAIRY</v>
      </c>
      <c r="E3293" t="s">
        <v>212</v>
      </c>
      <c r="F3293" t="s">
        <v>1663</v>
      </c>
    </row>
    <row r="3294" spans="1:6" x14ac:dyDescent="0.3">
      <c r="A3294" t="s">
        <v>5399</v>
      </c>
      <c r="B3294" t="str" cm="1">
        <f t="array" ref="B3294">_xlfn.XLOOKUP(C3294, INDEX([1]!카테고리매핑,,2), INDEX([1]!카테고리매핑,,1), "미등록 카테고리")</f>
        <v>조미료</v>
      </c>
      <c r="C3294" t="s">
        <v>127</v>
      </c>
      <c r="D3294" t="str">
        <f>VLOOKUP(C3294, '[1]VLOOKUP 함수용 카테고리'!$A$1:$B$59, 2, 0)</f>
        <v>SAUCE_SEASONING</v>
      </c>
      <c r="E3294" t="s">
        <v>248</v>
      </c>
      <c r="F3294" t="s">
        <v>1661</v>
      </c>
    </row>
    <row r="3295" spans="1:6" x14ac:dyDescent="0.3">
      <c r="A3295" t="s">
        <v>5400</v>
      </c>
      <c r="B3295" t="str" cm="1">
        <f t="array" ref="B3295">_xlfn.XLOOKUP(C3295, INDEX([1]!카테고리매핑,,2), INDEX([1]!카테고리매핑,,1), "미등록 카테고리")</f>
        <v>간식류</v>
      </c>
      <c r="C3295" t="s">
        <v>11</v>
      </c>
      <c r="D3295" t="str">
        <f>VLOOKUP(C3295, '[1]VLOOKUP 함수용 카테고리'!$A$1:$B$59, 2, 0)</f>
        <v>SNACK</v>
      </c>
      <c r="E3295" t="s">
        <v>5401</v>
      </c>
      <c r="F3295" t="s">
        <v>156</v>
      </c>
    </row>
    <row r="3296" spans="1:6" x14ac:dyDescent="0.3">
      <c r="A3296" t="s">
        <v>5402</v>
      </c>
      <c r="B3296" t="str" cm="1">
        <f t="array" ref="B3296">_xlfn.XLOOKUP(C3296, INDEX([1]!카테고리매핑,,2), INDEX([1]!카테고리매핑,,1), "미등록 카테고리")</f>
        <v>상온식품</v>
      </c>
      <c r="C3296" t="s">
        <v>835</v>
      </c>
      <c r="D3296" t="str">
        <f>VLOOKUP(C3296, '[1]VLOOKUP 함수용 카테고리'!$A$1:$B$59, 2, 0)</f>
        <v>SAUCE_SEASONING</v>
      </c>
      <c r="E3296" t="s">
        <v>4437</v>
      </c>
      <c r="F3296" t="s">
        <v>4894</v>
      </c>
    </row>
    <row r="3297" spans="1:6" x14ac:dyDescent="0.3">
      <c r="A3297" t="s">
        <v>5403</v>
      </c>
      <c r="B3297" t="str" cm="1">
        <f t="array" ref="B3297">_xlfn.XLOOKUP(C3297, INDEX([1]!카테고리매핑,,2), INDEX([1]!카테고리매핑,,1), "미등록 카테고리")</f>
        <v>채소/곡물류</v>
      </c>
      <c r="C3297" t="s">
        <v>207</v>
      </c>
      <c r="D3297" t="str">
        <f>VLOOKUP(C3297, '[1]VLOOKUP 함수용 카테고리'!$A$1:$B$59, 2, 0)</f>
        <v>GRAIN</v>
      </c>
      <c r="E3297" t="s">
        <v>3049</v>
      </c>
      <c r="F3297" t="s">
        <v>136</v>
      </c>
    </row>
    <row r="3298" spans="1:6" x14ac:dyDescent="0.3">
      <c r="A3298" t="s">
        <v>5404</v>
      </c>
      <c r="B3298" t="str" cm="1">
        <f t="array" ref="B3298">_xlfn.XLOOKUP(C3298, INDEX([1]!카테고리매핑,,2), INDEX([1]!카테고리매핑,,1), "미등록 카테고리")</f>
        <v>간식류</v>
      </c>
      <c r="C3298" t="s">
        <v>63</v>
      </c>
      <c r="D3298" t="str">
        <f>VLOOKUP(C3298, '[1]VLOOKUP 함수용 카테고리'!$A$1:$B$59, 2, 0)</f>
        <v>BAKERY</v>
      </c>
      <c r="E3298" t="s">
        <v>2774</v>
      </c>
      <c r="F3298" t="s">
        <v>3023</v>
      </c>
    </row>
    <row r="3299" spans="1:6" x14ac:dyDescent="0.3">
      <c r="A3299" t="s">
        <v>5405</v>
      </c>
      <c r="B3299" t="str" cm="1">
        <f t="array" ref="B3299">_xlfn.XLOOKUP(C3299, INDEX([1]!카테고리매핑,,2), INDEX([1]!카테고리매핑,,1), "미등록 카테고리")</f>
        <v>육류/계란</v>
      </c>
      <c r="C3299" t="s">
        <v>149</v>
      </c>
      <c r="D3299" t="str">
        <f>VLOOKUP(C3299, '[1]VLOOKUP 함수용 카테고리'!$A$1:$B$59, 2, 0)</f>
        <v>RAW_MEAT</v>
      </c>
      <c r="E3299" t="s">
        <v>150</v>
      </c>
      <c r="F3299" t="s">
        <v>4302</v>
      </c>
    </row>
    <row r="3300" spans="1:6" x14ac:dyDescent="0.3">
      <c r="A3300" t="s">
        <v>5406</v>
      </c>
      <c r="B3300" t="str" cm="1">
        <f t="array" ref="B3300">_xlfn.XLOOKUP(C3300, INDEX([1]!카테고리매핑,,2), INDEX([1]!카테고리매핑,,1), "미등록 카테고리")</f>
        <v>간편식</v>
      </c>
      <c r="C3300" t="s">
        <v>256</v>
      </c>
      <c r="D3300" t="str">
        <f>VLOOKUP(C3300, '[1]VLOOKUP 함수용 카테고리'!$A$1:$B$59, 2, 0)</f>
        <v>RTC_MEAL</v>
      </c>
      <c r="E3300" t="s">
        <v>256</v>
      </c>
      <c r="F3300" t="s">
        <v>568</v>
      </c>
    </row>
    <row r="3301" spans="1:6" x14ac:dyDescent="0.3">
      <c r="A3301" t="s">
        <v>5407</v>
      </c>
      <c r="B3301" t="str" cm="1">
        <f t="array" ref="B3301">_xlfn.XLOOKUP(C3301, INDEX([1]!카테고리매핑,,2), INDEX([1]!카테고리매핑,,1), "미등록 카테고리")</f>
        <v>간식류</v>
      </c>
      <c r="C3301" t="s">
        <v>63</v>
      </c>
      <c r="D3301" t="str">
        <f>VLOOKUP(C3301, '[1]VLOOKUP 함수용 카테고리'!$A$1:$B$59, 2, 0)</f>
        <v>BAKERY</v>
      </c>
      <c r="E3301" t="s">
        <v>5408</v>
      </c>
      <c r="F3301" t="s">
        <v>7083</v>
      </c>
    </row>
    <row r="3302" spans="1:6" x14ac:dyDescent="0.3">
      <c r="A3302" t="s">
        <v>5409</v>
      </c>
      <c r="B3302" t="str" cm="1">
        <f t="array" ref="B3302">_xlfn.XLOOKUP(C3302, INDEX([1]!카테고리매핑,,2), INDEX([1]!카테고리매핑,,1), "미등록 카테고리")</f>
        <v>간편식</v>
      </c>
      <c r="C3302" t="s">
        <v>131</v>
      </c>
      <c r="D3302" t="str">
        <f>VLOOKUP(C3302, '[1]VLOOKUP 함수용 카테고리'!$A$1:$B$59, 2, 0)</f>
        <v>SIMPLE_PROCESSED</v>
      </c>
      <c r="E3302" t="s">
        <v>132</v>
      </c>
      <c r="F3302" t="s">
        <v>133</v>
      </c>
    </row>
    <row r="3303" spans="1:6" x14ac:dyDescent="0.3">
      <c r="A3303" t="s">
        <v>5410</v>
      </c>
      <c r="B3303" t="str" cm="1">
        <f t="array" ref="B3303">_xlfn.XLOOKUP(C3303, INDEX([1]!카테고리매핑,,2), INDEX([1]!카테고리매핑,,1), "미등록 카테고리")</f>
        <v>과일/견과류</v>
      </c>
      <c r="C3303" t="s">
        <v>654</v>
      </c>
      <c r="D3303" t="str">
        <f>VLOOKUP(C3303, '[1]VLOOKUP 함수용 카테고리'!$A$1:$B$59, 2, 0)</f>
        <v>RAW_FRUIT</v>
      </c>
      <c r="E3303" t="s">
        <v>2177</v>
      </c>
      <c r="F3303" t="s">
        <v>595</v>
      </c>
    </row>
    <row r="3304" spans="1:6" x14ac:dyDescent="0.3">
      <c r="A3304" t="s">
        <v>5411</v>
      </c>
      <c r="B3304" t="str" cm="1">
        <f t="array" ref="B3304">_xlfn.XLOOKUP(C3304, INDEX([1]!카테고리매핑,,2), INDEX([1]!카테고리매핑,,1), "미등록 카테고리")</f>
        <v>채소/곡물류</v>
      </c>
      <c r="C3304" t="s">
        <v>7</v>
      </c>
      <c r="D3304" t="str">
        <f>VLOOKUP(C3304, '[1]VLOOKUP 함수용 카테고리'!$A$1:$B$59, 2, 0)</f>
        <v>RAW_PRODUCE</v>
      </c>
      <c r="E3304" t="s">
        <v>716</v>
      </c>
    </row>
    <row r="3305" spans="1:6" x14ac:dyDescent="0.3">
      <c r="A3305" t="s">
        <v>5412</v>
      </c>
      <c r="B3305" t="str" cm="1">
        <f t="array" ref="B3305">_xlfn.XLOOKUP(C3305, INDEX([1]!카테고리매핑,,2), INDEX([1]!카테고리매핑,,1), "미등록 카테고리")</f>
        <v>채소/곡물류</v>
      </c>
      <c r="C3305" t="s">
        <v>27</v>
      </c>
      <c r="D3305" t="str">
        <f>VLOOKUP(C3305, '[1]VLOOKUP 함수용 카테고리'!$A$1:$B$59, 2, 0)</f>
        <v>SIMPLE_PROCESSED</v>
      </c>
      <c r="E3305" t="s">
        <v>1173</v>
      </c>
      <c r="F3305" t="s">
        <v>760</v>
      </c>
    </row>
    <row r="3306" spans="1:6" x14ac:dyDescent="0.3">
      <c r="A3306" t="s">
        <v>5413</v>
      </c>
      <c r="B3306" t="str" cm="1">
        <f t="array" ref="B3306">_xlfn.XLOOKUP(C3306, INDEX([1]!카테고리매핑,,2), INDEX([1]!카테고리매핑,,1), "미등록 카테고리")</f>
        <v>간식류</v>
      </c>
      <c r="C3306" t="s">
        <v>11</v>
      </c>
      <c r="D3306" t="str">
        <f>VLOOKUP(C3306, '[1]VLOOKUP 함수용 카테고리'!$A$1:$B$59, 2, 0)</f>
        <v>SNACK</v>
      </c>
      <c r="E3306" t="s">
        <v>5414</v>
      </c>
      <c r="F3306" t="s">
        <v>154</v>
      </c>
    </row>
    <row r="3307" spans="1:6" x14ac:dyDescent="0.3">
      <c r="A3307" t="s">
        <v>5415</v>
      </c>
      <c r="B3307" t="str" cm="1">
        <f t="array" ref="B3307">_xlfn.XLOOKUP(C3307, INDEX([1]!카테고리매핑,,2), INDEX([1]!카테고리매핑,,1), "미등록 카테고리")</f>
        <v>과일/견과류</v>
      </c>
      <c r="C3307" t="s">
        <v>1179</v>
      </c>
      <c r="D3307" t="str">
        <f>VLOOKUP(C3307, '[1]VLOOKUP 함수용 카테고리'!$A$1:$B$59, 2, 0)</f>
        <v>RAW_FRUIT</v>
      </c>
      <c r="E3307" t="s">
        <v>2104</v>
      </c>
      <c r="F3307" t="s">
        <v>595</v>
      </c>
    </row>
    <row r="3308" spans="1:6" x14ac:dyDescent="0.3">
      <c r="A3308" t="s">
        <v>5416</v>
      </c>
      <c r="B3308" t="str" cm="1">
        <f t="array" ref="B3308">_xlfn.XLOOKUP(C3308, INDEX([1]!카테고리매핑,,2), INDEX([1]!카테고리매핑,,1), "미등록 카테고리")</f>
        <v>간편식</v>
      </c>
      <c r="C3308" t="s">
        <v>46</v>
      </c>
      <c r="D3308" t="str">
        <f>VLOOKUP(C3308, '[1]VLOOKUP 함수용 카테고리'!$A$1:$B$59, 2, 0)</f>
        <v>RTC_MEAL</v>
      </c>
      <c r="E3308" t="s">
        <v>46</v>
      </c>
      <c r="F3308" t="s">
        <v>5417</v>
      </c>
    </row>
    <row r="3309" spans="1:6" x14ac:dyDescent="0.3">
      <c r="A3309" t="s">
        <v>5418</v>
      </c>
      <c r="B3309" t="str" cm="1">
        <f t="array" ref="B3309">_xlfn.XLOOKUP(C3309, INDEX([1]!카테고리매핑,,2), INDEX([1]!카테고리매핑,,1), "미등록 카테고리")</f>
        <v>과일/견과류</v>
      </c>
      <c r="C3309" t="s">
        <v>1179</v>
      </c>
      <c r="D3309" t="str">
        <f>VLOOKUP(C3309, '[1]VLOOKUP 함수용 카테고리'!$A$1:$B$59, 2, 0)</f>
        <v>RAW_FRUIT</v>
      </c>
      <c r="E3309" t="s">
        <v>2104</v>
      </c>
      <c r="F3309" t="s">
        <v>595</v>
      </c>
    </row>
    <row r="3310" spans="1:6" x14ac:dyDescent="0.3">
      <c r="A3310" t="s">
        <v>5419</v>
      </c>
      <c r="B3310" t="str" cm="1">
        <f t="array" ref="B3310">_xlfn.XLOOKUP(C3310, INDEX([1]!카테고리매핑,,2), INDEX([1]!카테고리매핑,,1), "미등록 카테고리")</f>
        <v>간편식</v>
      </c>
      <c r="C3310" t="s">
        <v>131</v>
      </c>
      <c r="D3310" t="str">
        <f>VLOOKUP(C3310, '[1]VLOOKUP 함수용 카테고리'!$A$1:$B$59, 2, 0)</f>
        <v>SIMPLE_PROCESSED</v>
      </c>
      <c r="E3310" t="s">
        <v>2540</v>
      </c>
      <c r="F3310" t="s">
        <v>3651</v>
      </c>
    </row>
    <row r="3311" spans="1:6" x14ac:dyDescent="0.3">
      <c r="A3311" t="s">
        <v>5420</v>
      </c>
      <c r="B3311" t="str" cm="1">
        <f t="array" ref="B3311">_xlfn.XLOOKUP(C3311, INDEX([1]!카테고리매핑,,2), INDEX([1]!카테고리매핑,,1), "미등록 카테고리")</f>
        <v>채소/곡물류</v>
      </c>
      <c r="C3311" t="s">
        <v>7</v>
      </c>
      <c r="D3311" t="str">
        <f>VLOOKUP(C3311, '[1]VLOOKUP 함수용 카테고리'!$A$1:$B$59, 2, 0)</f>
        <v>RAW_PRODUCE</v>
      </c>
      <c r="E3311" t="s">
        <v>743</v>
      </c>
      <c r="F3311" t="s">
        <v>151</v>
      </c>
    </row>
    <row r="3312" spans="1:6" x14ac:dyDescent="0.3">
      <c r="A3312" t="s">
        <v>5421</v>
      </c>
      <c r="B3312" t="str" cm="1">
        <f t="array" ref="B3312">_xlfn.XLOOKUP(C3312, INDEX([1]!카테고리매핑,,2), INDEX([1]!카테고리매핑,,1), "미등록 카테고리")</f>
        <v>간식류</v>
      </c>
      <c r="C3312" t="s">
        <v>15</v>
      </c>
      <c r="D3312" t="str">
        <f>VLOOKUP(C3312, '[1]VLOOKUP 함수용 카테고리'!$A$1:$B$59, 2, 0)</f>
        <v>BAKERY</v>
      </c>
      <c r="E3312" t="s">
        <v>53</v>
      </c>
      <c r="F3312" t="s">
        <v>174</v>
      </c>
    </row>
    <row r="3313" spans="1:6" x14ac:dyDescent="0.3">
      <c r="A3313" t="s">
        <v>5422</v>
      </c>
      <c r="B3313" t="str" cm="1">
        <f t="array" ref="B3313">_xlfn.XLOOKUP(C3313, INDEX([1]!카테고리매핑,,2), INDEX([1]!카테고리매핑,,1), "미등록 카테고리")</f>
        <v>과일/견과류</v>
      </c>
      <c r="C3313" t="s">
        <v>1179</v>
      </c>
      <c r="D3313" t="str">
        <f>VLOOKUP(C3313, '[1]VLOOKUP 함수용 카테고리'!$A$1:$B$59, 2, 0)</f>
        <v>RAW_FRUIT</v>
      </c>
      <c r="E3313" t="s">
        <v>1990</v>
      </c>
      <c r="F3313" t="s">
        <v>595</v>
      </c>
    </row>
    <row r="3314" spans="1:6" x14ac:dyDescent="0.3">
      <c r="A3314" t="s">
        <v>5423</v>
      </c>
      <c r="B3314" t="str" cm="1">
        <f t="array" ref="B3314">_xlfn.XLOOKUP(C3314, INDEX([1]!카테고리매핑,,2), INDEX([1]!카테고리매핑,,1), "미등록 카테고리")</f>
        <v>음료</v>
      </c>
      <c r="C3314" t="s">
        <v>5424</v>
      </c>
      <c r="D3314" t="str">
        <f>VLOOKUP(C3314, '[1]VLOOKUP 함수용 카테고리'!$A$1:$B$59, 2, 0)</f>
        <v>BEVERAGE</v>
      </c>
      <c r="E3314" t="s">
        <v>5425</v>
      </c>
      <c r="F3314" t="s">
        <v>7851</v>
      </c>
    </row>
    <row r="3315" spans="1:6" x14ac:dyDescent="0.3">
      <c r="A3315" t="s">
        <v>5426</v>
      </c>
      <c r="B3315" t="str" cm="1">
        <f t="array" ref="B3315">_xlfn.XLOOKUP(C3315, INDEX([1]!카테고리매핑,,2), INDEX([1]!카테고리매핑,,1), "미등록 카테고리")</f>
        <v>간편식</v>
      </c>
      <c r="C3315" t="s">
        <v>131</v>
      </c>
      <c r="D3315" t="str">
        <f>VLOOKUP(C3315, '[1]VLOOKUP 함수용 카테고리'!$A$1:$B$59, 2, 0)</f>
        <v>SIMPLE_PROCESSED</v>
      </c>
      <c r="E3315" t="s">
        <v>1067</v>
      </c>
      <c r="F3315" t="s">
        <v>541</v>
      </c>
    </row>
    <row r="3316" spans="1:6" x14ac:dyDescent="0.3">
      <c r="A3316" t="s">
        <v>5427</v>
      </c>
      <c r="B3316" t="str" cm="1">
        <f t="array" ref="B3316">_xlfn.XLOOKUP(C3316, INDEX([1]!카테고리매핑,,2), INDEX([1]!카테고리매핑,,1), "미등록 카테고리")</f>
        <v>채소/곡물류</v>
      </c>
      <c r="C3316" t="s">
        <v>301</v>
      </c>
      <c r="D3316" t="str">
        <f>VLOOKUP(C3316, '[1]VLOOKUP 함수용 카테고리'!$A$1:$B$59, 2, 0)</f>
        <v>GRAIN</v>
      </c>
      <c r="E3316" t="s">
        <v>490</v>
      </c>
      <c r="F3316" t="s">
        <v>7852</v>
      </c>
    </row>
    <row r="3317" spans="1:6" x14ac:dyDescent="0.3">
      <c r="A3317" t="s">
        <v>5428</v>
      </c>
      <c r="B3317" t="str" cm="1">
        <f t="array" ref="B3317">_xlfn.XLOOKUP(C3317, INDEX([1]!카테고리매핑,,2), INDEX([1]!카테고리매핑,,1), "미등록 카테고리")</f>
        <v>채소/곡물류</v>
      </c>
      <c r="C3317" t="s">
        <v>27</v>
      </c>
      <c r="D3317" t="str">
        <f>VLOOKUP(C3317, '[1]VLOOKUP 함수용 카테고리'!$A$1:$B$59, 2, 0)</f>
        <v>SIMPLE_PROCESSED</v>
      </c>
      <c r="E3317" t="s">
        <v>28</v>
      </c>
      <c r="F3317" t="s">
        <v>350</v>
      </c>
    </row>
    <row r="3318" spans="1:6" x14ac:dyDescent="0.3">
      <c r="A3318" t="s">
        <v>5429</v>
      </c>
      <c r="B3318" t="str" cm="1">
        <f t="array" ref="B3318">_xlfn.XLOOKUP(C3318, INDEX([1]!카테고리매핑,,2), INDEX([1]!카테고리매핑,,1), "미등록 카테고리")</f>
        <v>간식류</v>
      </c>
      <c r="C3318" t="s">
        <v>15</v>
      </c>
      <c r="D3318" t="str">
        <f>VLOOKUP(C3318, '[1]VLOOKUP 함수용 카테고리'!$A$1:$B$59, 2, 0)</f>
        <v>BAKERY</v>
      </c>
      <c r="E3318" t="s">
        <v>3819</v>
      </c>
      <c r="F3318" t="s">
        <v>1428</v>
      </c>
    </row>
    <row r="3319" spans="1:6" x14ac:dyDescent="0.3">
      <c r="A3319" t="s">
        <v>5430</v>
      </c>
      <c r="B3319" t="str" cm="1">
        <f t="array" ref="B3319">_xlfn.XLOOKUP(C3319, INDEX([1]!카테고리매핑,,2), INDEX([1]!카테고리매핑,,1), "미등록 카테고리")</f>
        <v>간식류</v>
      </c>
      <c r="C3319" t="s">
        <v>15</v>
      </c>
      <c r="D3319" t="str">
        <f>VLOOKUP(C3319, '[1]VLOOKUP 함수용 카테고리'!$A$1:$B$59, 2, 0)</f>
        <v>BAKERY</v>
      </c>
      <c r="E3319" t="s">
        <v>200</v>
      </c>
      <c r="F3319" t="s">
        <v>5431</v>
      </c>
    </row>
    <row r="3320" spans="1:6" x14ac:dyDescent="0.3">
      <c r="A3320" t="s">
        <v>5432</v>
      </c>
      <c r="B3320" t="str" cm="1">
        <f t="array" ref="B3320">_xlfn.XLOOKUP(C3320, INDEX([1]!카테고리매핑,,2), INDEX([1]!카테고리매핑,,1), "미등록 카테고리")</f>
        <v>간식류</v>
      </c>
      <c r="C3320" t="s">
        <v>11</v>
      </c>
      <c r="D3320" t="str">
        <f>VLOOKUP(C3320, '[1]VLOOKUP 함수용 카테고리'!$A$1:$B$59, 2, 0)</f>
        <v>SNACK</v>
      </c>
      <c r="E3320" t="s">
        <v>2851</v>
      </c>
      <c r="F3320" t="s">
        <v>1336</v>
      </c>
    </row>
    <row r="3321" spans="1:6" x14ac:dyDescent="0.3">
      <c r="A3321" t="s">
        <v>5433</v>
      </c>
      <c r="B3321" t="str" cm="1">
        <f t="array" ref="B3321">_xlfn.XLOOKUP(C3321, INDEX([1]!카테고리매핑,,2), INDEX([1]!카테고리매핑,,1), "미등록 카테고리")</f>
        <v>간식류</v>
      </c>
      <c r="C3321" t="s">
        <v>11</v>
      </c>
      <c r="D3321" t="str">
        <f>VLOOKUP(C3321, '[1]VLOOKUP 함수용 카테고리'!$A$1:$B$59, 2, 0)</f>
        <v>SNACK</v>
      </c>
      <c r="E3321" t="s">
        <v>81</v>
      </c>
      <c r="F3321" t="s">
        <v>5434</v>
      </c>
    </row>
    <row r="3322" spans="1:6" x14ac:dyDescent="0.3">
      <c r="A3322" t="s">
        <v>5435</v>
      </c>
      <c r="B3322" t="str" cm="1">
        <f t="array" ref="B3322">_xlfn.XLOOKUP(C3322, INDEX([1]!카테고리매핑,,2), INDEX([1]!카테고리매핑,,1), "미등록 카테고리")</f>
        <v>간편식</v>
      </c>
      <c r="C3322" t="s">
        <v>131</v>
      </c>
      <c r="D3322" t="str">
        <f>VLOOKUP(C3322, '[1]VLOOKUP 함수용 카테고리'!$A$1:$B$59, 2, 0)</f>
        <v>SIMPLE_PROCESSED</v>
      </c>
      <c r="E3322" t="s">
        <v>2226</v>
      </c>
      <c r="F3322" t="s">
        <v>577</v>
      </c>
    </row>
    <row r="3323" spans="1:6" x14ac:dyDescent="0.3">
      <c r="A3323" t="s">
        <v>5436</v>
      </c>
      <c r="B3323" t="str" cm="1">
        <f t="array" ref="B3323">_xlfn.XLOOKUP(C3323, INDEX([1]!카테고리매핑,,2), INDEX([1]!카테고리매핑,,1), "미등록 카테고리")</f>
        <v>간식류</v>
      </c>
      <c r="C3323" t="s">
        <v>38</v>
      </c>
      <c r="D3323" t="str">
        <f>VLOOKUP(C3323, '[1]VLOOKUP 함수용 카테고리'!$A$1:$B$59, 2, 0)</f>
        <v>SNACK</v>
      </c>
      <c r="E3323" t="s">
        <v>179</v>
      </c>
      <c r="F3323" t="s">
        <v>5437</v>
      </c>
    </row>
    <row r="3324" spans="1:6" x14ac:dyDescent="0.3">
      <c r="A3324" t="s">
        <v>5438</v>
      </c>
      <c r="B3324" t="str" cm="1">
        <f t="array" ref="B3324">_xlfn.XLOOKUP(C3324, INDEX([1]!카테고리매핑,,2), INDEX([1]!카테고리매핑,,1), "미등록 카테고리")</f>
        <v>음료</v>
      </c>
      <c r="C3324" t="s">
        <v>23</v>
      </c>
      <c r="D3324" t="str">
        <f>VLOOKUP(C3324, '[1]VLOOKUP 함수용 카테고리'!$A$1:$B$59, 2, 0)</f>
        <v>BEVERAGE</v>
      </c>
      <c r="E3324" t="s">
        <v>24</v>
      </c>
      <c r="F3324" t="s">
        <v>1186</v>
      </c>
    </row>
    <row r="3325" spans="1:6" x14ac:dyDescent="0.3">
      <c r="A3325" t="s">
        <v>5439</v>
      </c>
      <c r="B3325" t="str" cm="1">
        <f t="array" ref="B3325">_xlfn.XLOOKUP(C3325, INDEX([1]!카테고리매핑,,2), INDEX([1]!카테고리매핑,,1), "미등록 카테고리")</f>
        <v>간식류</v>
      </c>
      <c r="C3325" t="s">
        <v>63</v>
      </c>
      <c r="D3325" t="str">
        <f>VLOOKUP(C3325, '[1]VLOOKUP 함수용 카테고리'!$A$1:$B$59, 2, 0)</f>
        <v>BAKERY</v>
      </c>
      <c r="E3325" t="s">
        <v>1965</v>
      </c>
      <c r="F3325" t="s">
        <v>5440</v>
      </c>
    </row>
    <row r="3326" spans="1:6" x14ac:dyDescent="0.3">
      <c r="A3326" t="s">
        <v>5441</v>
      </c>
      <c r="B3326" t="str" cm="1">
        <f t="array" ref="B3326">_xlfn.XLOOKUP(C3326, INDEX([1]!카테고리매핑,,2), INDEX([1]!카테고리매핑,,1), "미등록 카테고리")</f>
        <v>조미료</v>
      </c>
      <c r="C3326" t="s">
        <v>127</v>
      </c>
      <c r="D3326" t="str">
        <f>VLOOKUP(C3326, '[1]VLOOKUP 함수용 카테고리'!$A$1:$B$59, 2, 0)</f>
        <v>SAUCE_SEASONING</v>
      </c>
      <c r="E3326" t="s">
        <v>2106</v>
      </c>
      <c r="F3326" t="s">
        <v>1442</v>
      </c>
    </row>
    <row r="3327" spans="1:6" x14ac:dyDescent="0.3">
      <c r="A3327" t="s">
        <v>5442</v>
      </c>
      <c r="B3327" t="str" cm="1">
        <f t="array" ref="B3327">_xlfn.XLOOKUP(C3327, INDEX([1]!카테고리매핑,,2), INDEX([1]!카테고리매핑,,1), "미등록 카테고리")</f>
        <v>유제품</v>
      </c>
      <c r="C3327" t="s">
        <v>123</v>
      </c>
      <c r="D3327" t="str">
        <f>VLOOKUP(C3327, '[1]VLOOKUP 함수용 카테고리'!$A$1:$B$59, 2, 0)</f>
        <v>DAIRY</v>
      </c>
      <c r="E3327" t="s">
        <v>949</v>
      </c>
      <c r="F3327" t="s">
        <v>191</v>
      </c>
    </row>
    <row r="3328" spans="1:6" x14ac:dyDescent="0.3">
      <c r="A3328" t="s">
        <v>5443</v>
      </c>
      <c r="B3328" t="str" cm="1">
        <f t="array" ref="B3328">_xlfn.XLOOKUP(C3328, INDEX([1]!카테고리매핑,,2), INDEX([1]!카테고리매핑,,1), "미등록 카테고리")</f>
        <v>음료</v>
      </c>
      <c r="C3328" t="s">
        <v>23</v>
      </c>
      <c r="D3328" t="str">
        <f>VLOOKUP(C3328, '[1]VLOOKUP 함수용 카테고리'!$A$1:$B$59, 2, 0)</f>
        <v>BEVERAGE</v>
      </c>
      <c r="E3328" t="s">
        <v>5444</v>
      </c>
      <c r="F3328" t="s">
        <v>4836</v>
      </c>
    </row>
    <row r="3329" spans="1:6" x14ac:dyDescent="0.3">
      <c r="A3329" t="s">
        <v>5445</v>
      </c>
      <c r="B3329" t="str" cm="1">
        <f t="array" ref="B3329">_xlfn.XLOOKUP(C3329, INDEX([1]!카테고리매핑,,2), INDEX([1]!카테고리매핑,,1), "미등록 카테고리")</f>
        <v>채소/곡물류</v>
      </c>
      <c r="C3329" t="s">
        <v>7</v>
      </c>
      <c r="D3329" t="str">
        <f>VLOOKUP(C3329, '[1]VLOOKUP 함수용 카테고리'!$A$1:$B$59, 2, 0)</f>
        <v>RAW_PRODUCE</v>
      </c>
      <c r="E3329" t="s">
        <v>723</v>
      </c>
    </row>
    <row r="3330" spans="1:6" x14ac:dyDescent="0.3">
      <c r="A3330" t="s">
        <v>5446</v>
      </c>
      <c r="B3330" t="str" cm="1">
        <f t="array" ref="B3330">_xlfn.XLOOKUP(C3330, INDEX([1]!카테고리매핑,,2), INDEX([1]!카테고리매핑,,1), "미등록 카테고리")</f>
        <v>조미료</v>
      </c>
      <c r="C3330" t="s">
        <v>83</v>
      </c>
      <c r="D3330" t="str">
        <f>VLOOKUP(C3330, '[1]VLOOKUP 함수용 카테고리'!$A$1:$B$59, 2, 0)</f>
        <v>SAUCE_SEASONING</v>
      </c>
      <c r="E3330" t="s">
        <v>5447</v>
      </c>
      <c r="F3330" t="s">
        <v>5448</v>
      </c>
    </row>
    <row r="3331" spans="1:6" x14ac:dyDescent="0.3">
      <c r="A3331" t="s">
        <v>5449</v>
      </c>
      <c r="B3331" t="str" cm="1">
        <f t="array" ref="B3331">_xlfn.XLOOKUP(C3331, INDEX([1]!카테고리매핑,,2), INDEX([1]!카테고리매핑,,1), "미등록 카테고리")</f>
        <v>조미료</v>
      </c>
      <c r="C3331" t="s">
        <v>117</v>
      </c>
      <c r="D3331" t="str">
        <f>VLOOKUP(C3331, '[1]VLOOKUP 함수용 카테고리'!$A$1:$B$59, 2, 0)</f>
        <v>SAUCE_SEASONING</v>
      </c>
      <c r="E3331" t="s">
        <v>5450</v>
      </c>
      <c r="F3331" t="s">
        <v>2482</v>
      </c>
    </row>
    <row r="3332" spans="1:6" x14ac:dyDescent="0.3">
      <c r="A3332" t="s">
        <v>5451</v>
      </c>
      <c r="B3332" t="str" cm="1">
        <f t="array" ref="B3332">_xlfn.XLOOKUP(C3332, INDEX([1]!카테고리매핑,,2), INDEX([1]!카테고리매핑,,1), "미등록 카테고리")</f>
        <v>간편식</v>
      </c>
      <c r="C3332" t="s">
        <v>46</v>
      </c>
      <c r="D3332" t="str">
        <f>VLOOKUP(C3332, '[1]VLOOKUP 함수용 카테고리'!$A$1:$B$59, 2, 0)</f>
        <v>RTC_MEAL</v>
      </c>
      <c r="E3332" t="s">
        <v>5317</v>
      </c>
      <c r="F3332" t="s">
        <v>5452</v>
      </c>
    </row>
    <row r="3333" spans="1:6" x14ac:dyDescent="0.3">
      <c r="A3333" t="s">
        <v>5453</v>
      </c>
      <c r="B3333" t="str" cm="1">
        <f t="array" ref="B3333">_xlfn.XLOOKUP(C3333, INDEX([1]!카테고리매핑,,2), INDEX([1]!카테고리매핑,,1), "미등록 카테고리")</f>
        <v>간편식</v>
      </c>
      <c r="C3333" t="s">
        <v>256</v>
      </c>
      <c r="D3333" t="str">
        <f>VLOOKUP(C3333, '[1]VLOOKUP 함수용 카테고리'!$A$1:$B$59, 2, 0)</f>
        <v>RTC_MEAL</v>
      </c>
      <c r="E3333" t="s">
        <v>256</v>
      </c>
      <c r="F3333" t="s">
        <v>5454</v>
      </c>
    </row>
    <row r="3334" spans="1:6" x14ac:dyDescent="0.3">
      <c r="A3334" t="s">
        <v>5455</v>
      </c>
      <c r="B3334" t="str" cm="1">
        <f t="array" ref="B3334">_xlfn.XLOOKUP(C3334, INDEX([1]!카테고리매핑,,2), INDEX([1]!카테고리매핑,,1), "미등록 카테고리")</f>
        <v>과일/견과류</v>
      </c>
      <c r="C3334" t="s">
        <v>1179</v>
      </c>
      <c r="D3334" t="str">
        <f>VLOOKUP(C3334, '[1]VLOOKUP 함수용 카테고리'!$A$1:$B$59, 2, 0)</f>
        <v>RAW_FRUIT</v>
      </c>
      <c r="E3334" t="s">
        <v>1238</v>
      </c>
      <c r="F3334" t="s">
        <v>5456</v>
      </c>
    </row>
    <row r="3335" spans="1:6" x14ac:dyDescent="0.3">
      <c r="A3335" t="s">
        <v>5457</v>
      </c>
      <c r="B3335" t="str" cm="1">
        <f t="array" ref="B3335">_xlfn.XLOOKUP(C3335, INDEX([1]!카테고리매핑,,2), INDEX([1]!카테고리매핑,,1), "미등록 카테고리")</f>
        <v>간식류</v>
      </c>
      <c r="C3335" t="s">
        <v>15</v>
      </c>
      <c r="D3335" t="str">
        <f>VLOOKUP(C3335, '[1]VLOOKUP 함수용 카테고리'!$A$1:$B$59, 2, 0)</f>
        <v>BAKERY</v>
      </c>
      <c r="E3335" t="s">
        <v>53</v>
      </c>
      <c r="F3335" t="s">
        <v>632</v>
      </c>
    </row>
    <row r="3336" spans="1:6" x14ac:dyDescent="0.3">
      <c r="A3336" t="s">
        <v>5458</v>
      </c>
      <c r="B3336" t="str" cm="1">
        <f t="array" ref="B3336">_xlfn.XLOOKUP(C3336, INDEX([1]!카테고리매핑,,2), INDEX([1]!카테고리매핑,,1), "미등록 카테고리")</f>
        <v>과일/견과류</v>
      </c>
      <c r="C3336" t="s">
        <v>654</v>
      </c>
      <c r="D3336" t="str">
        <f>VLOOKUP(C3336, '[1]VLOOKUP 함수용 카테고리'!$A$1:$B$59, 2, 0)</f>
        <v>RAW_FRUIT</v>
      </c>
      <c r="E3336" t="s">
        <v>5459</v>
      </c>
      <c r="F3336" t="s">
        <v>5456</v>
      </c>
    </row>
    <row r="3337" spans="1:6" x14ac:dyDescent="0.3">
      <c r="A3337" t="s">
        <v>5460</v>
      </c>
      <c r="B3337" t="str" cm="1">
        <f t="array" ref="B3337">_xlfn.XLOOKUP(C3337, INDEX([1]!카테고리매핑,,2), INDEX([1]!카테고리매핑,,1), "미등록 카테고리")</f>
        <v>과일/견과류</v>
      </c>
      <c r="C3337" t="s">
        <v>1179</v>
      </c>
      <c r="D3337" t="str">
        <f>VLOOKUP(C3337, '[1]VLOOKUP 함수용 카테고리'!$A$1:$B$59, 2, 0)</f>
        <v>RAW_FRUIT</v>
      </c>
      <c r="E3337" t="s">
        <v>1238</v>
      </c>
      <c r="F3337" t="s">
        <v>5456</v>
      </c>
    </row>
    <row r="3338" spans="1:6" x14ac:dyDescent="0.3">
      <c r="A3338" t="s">
        <v>5461</v>
      </c>
      <c r="B3338" t="str" cm="1">
        <f t="array" ref="B3338">_xlfn.XLOOKUP(C3338, INDEX([1]!카테고리매핑,,2), INDEX([1]!카테고리매핑,,1), "미등록 카테고리")</f>
        <v>유제품</v>
      </c>
      <c r="C3338" t="s">
        <v>123</v>
      </c>
      <c r="D3338" t="str">
        <f>VLOOKUP(C3338, '[1]VLOOKUP 함수용 카테고리'!$A$1:$B$59, 2, 0)</f>
        <v>DAIRY</v>
      </c>
      <c r="E3338" t="s">
        <v>190</v>
      </c>
      <c r="F3338" t="s">
        <v>623</v>
      </c>
    </row>
    <row r="3339" spans="1:6" x14ac:dyDescent="0.3">
      <c r="A3339" t="s">
        <v>5462</v>
      </c>
      <c r="B3339" t="str" cm="1">
        <f t="array" ref="B3339">_xlfn.XLOOKUP(C3339, INDEX([1]!카테고리매핑,,2), INDEX([1]!카테고리매핑,,1), "미등록 카테고리")</f>
        <v>육류/계란</v>
      </c>
      <c r="C3339" t="s">
        <v>149</v>
      </c>
      <c r="D3339" t="str">
        <f>VLOOKUP(C3339, '[1]VLOOKUP 함수용 카테고리'!$A$1:$B$59, 2, 0)</f>
        <v>RAW_MEAT</v>
      </c>
      <c r="E3339" t="s">
        <v>150</v>
      </c>
      <c r="F3339" t="s">
        <v>5463</v>
      </c>
    </row>
    <row r="3340" spans="1:6" x14ac:dyDescent="0.3">
      <c r="A3340" t="s">
        <v>5464</v>
      </c>
      <c r="B3340" t="str" cm="1">
        <f t="array" ref="B3340">_xlfn.XLOOKUP(C3340, INDEX([1]!카테고리매핑,,2), INDEX([1]!카테고리매핑,,1), "미등록 카테고리")</f>
        <v>수산물</v>
      </c>
      <c r="C3340" t="s">
        <v>140</v>
      </c>
      <c r="D3340" t="str">
        <f>VLOOKUP(C3340, '[1]VLOOKUP 함수용 카테고리'!$A$1:$B$59, 2, 0)</f>
        <v>SIMPLE_PROCESSED</v>
      </c>
      <c r="E3340" t="s">
        <v>5465</v>
      </c>
      <c r="F3340" t="s">
        <v>391</v>
      </c>
    </row>
    <row r="3341" spans="1:6" x14ac:dyDescent="0.3">
      <c r="A3341" t="s">
        <v>5466</v>
      </c>
      <c r="B3341" t="str" cm="1">
        <f t="array" ref="B3341">_xlfn.XLOOKUP(C3341, INDEX([1]!카테고리매핑,,2), INDEX([1]!카테고리매핑,,1), "미등록 카테고리")</f>
        <v>과일/견과류</v>
      </c>
      <c r="C3341" t="s">
        <v>1179</v>
      </c>
      <c r="D3341" t="str">
        <f>VLOOKUP(C3341, '[1]VLOOKUP 함수용 카테고리'!$A$1:$B$59, 2, 0)</f>
        <v>RAW_FRUIT</v>
      </c>
      <c r="E3341" t="s">
        <v>1238</v>
      </c>
      <c r="F3341" t="s">
        <v>5456</v>
      </c>
    </row>
    <row r="3342" spans="1:6" x14ac:dyDescent="0.3">
      <c r="A3342" t="s">
        <v>5467</v>
      </c>
      <c r="B3342" t="str" cm="1">
        <f t="array" ref="B3342">_xlfn.XLOOKUP(C3342, INDEX([1]!카테고리매핑,,2), INDEX([1]!카테고리매핑,,1), "미등록 카테고리")</f>
        <v>간식류</v>
      </c>
      <c r="C3342" t="s">
        <v>11</v>
      </c>
      <c r="D3342" t="str">
        <f>VLOOKUP(C3342, '[1]VLOOKUP 함수용 카테고리'!$A$1:$B$59, 2, 0)</f>
        <v>SNACK</v>
      </c>
      <c r="E3342" t="s">
        <v>1482</v>
      </c>
      <c r="F3342" t="s">
        <v>154</v>
      </c>
    </row>
    <row r="3343" spans="1:6" x14ac:dyDescent="0.3">
      <c r="A3343" t="s">
        <v>5468</v>
      </c>
      <c r="B3343" t="str" cm="1">
        <f t="array" ref="B3343">_xlfn.XLOOKUP(C3343, INDEX([1]!카테고리매핑,,2), INDEX([1]!카테고리매핑,,1), "미등록 카테고리")</f>
        <v>간편식</v>
      </c>
      <c r="C3343" t="s">
        <v>46</v>
      </c>
      <c r="D3343" t="str">
        <f>VLOOKUP(C3343, '[1]VLOOKUP 함수용 카테고리'!$A$1:$B$59, 2, 0)</f>
        <v>RTC_MEAL</v>
      </c>
      <c r="E3343" t="s">
        <v>46</v>
      </c>
      <c r="F3343" t="s">
        <v>416</v>
      </c>
    </row>
    <row r="3344" spans="1:6" x14ac:dyDescent="0.3">
      <c r="A3344" t="s">
        <v>5469</v>
      </c>
      <c r="B3344" t="str" cm="1">
        <f t="array" ref="B3344">_xlfn.XLOOKUP(C3344, INDEX([1]!카테고리매핑,,2), INDEX([1]!카테고리매핑,,1), "미등록 카테고리")</f>
        <v>수산물</v>
      </c>
      <c r="C3344" t="s">
        <v>1397</v>
      </c>
      <c r="D3344" t="str">
        <f>VLOOKUP(C3344, '[1]VLOOKUP 함수용 카테고리'!$A$1:$B$59, 2, 0)</f>
        <v>RAW_SEAFOOD</v>
      </c>
      <c r="E3344" t="s">
        <v>2607</v>
      </c>
      <c r="F3344" t="s">
        <v>5470</v>
      </c>
    </row>
    <row r="3345" spans="1:6" x14ac:dyDescent="0.3">
      <c r="A3345" t="s">
        <v>5471</v>
      </c>
      <c r="B3345" t="str" cm="1">
        <f t="array" ref="B3345">_xlfn.XLOOKUP(C3345, INDEX([1]!카테고리매핑,,2), INDEX([1]!카테고리매핑,,1), "미등록 카테고리")</f>
        <v>채소/곡물류</v>
      </c>
      <c r="C3345" t="s">
        <v>27</v>
      </c>
      <c r="D3345" t="str">
        <f>VLOOKUP(C3345, '[1]VLOOKUP 함수용 카테고리'!$A$1:$B$59, 2, 0)</f>
        <v>SIMPLE_PROCESSED</v>
      </c>
      <c r="E3345" t="s">
        <v>220</v>
      </c>
      <c r="F3345" t="s">
        <v>1000</v>
      </c>
    </row>
    <row r="3346" spans="1:6" x14ac:dyDescent="0.3">
      <c r="A3346" t="s">
        <v>5472</v>
      </c>
      <c r="B3346" t="str" cm="1">
        <f t="array" ref="B3346">_xlfn.XLOOKUP(C3346, INDEX([1]!카테고리매핑,,2), INDEX([1]!카테고리매핑,,1), "미등록 카테고리")</f>
        <v>과일/견과류</v>
      </c>
      <c r="C3346" t="s">
        <v>1179</v>
      </c>
      <c r="D3346" t="str">
        <f>VLOOKUP(C3346, '[1]VLOOKUP 함수용 카테고리'!$A$1:$B$59, 2, 0)</f>
        <v>RAW_FRUIT</v>
      </c>
      <c r="E3346" t="s">
        <v>5473</v>
      </c>
      <c r="F3346" t="s">
        <v>5456</v>
      </c>
    </row>
    <row r="3347" spans="1:6" x14ac:dyDescent="0.3">
      <c r="A3347" t="s">
        <v>5474</v>
      </c>
      <c r="B3347" t="str" cm="1">
        <f t="array" ref="B3347">_xlfn.XLOOKUP(C3347, INDEX([1]!카테고리매핑,,2), INDEX([1]!카테고리매핑,,1), "미등록 카테고리")</f>
        <v>음료</v>
      </c>
      <c r="C3347" t="s">
        <v>708</v>
      </c>
      <c r="D3347" t="str">
        <f>VLOOKUP(C3347, '[1]VLOOKUP 함수용 카테고리'!$A$1:$B$59, 2, 0)</f>
        <v>BEVERAGE</v>
      </c>
      <c r="E3347" t="s">
        <v>708</v>
      </c>
      <c r="F3347" t="s">
        <v>5475</v>
      </c>
    </row>
    <row r="3348" spans="1:6" x14ac:dyDescent="0.3">
      <c r="A3348" t="s">
        <v>5476</v>
      </c>
      <c r="B3348" t="str" cm="1">
        <f t="array" ref="B3348">_xlfn.XLOOKUP(C3348, INDEX([1]!카테고리매핑,,2), INDEX([1]!카테고리매핑,,1), "미등록 카테고리")</f>
        <v>간편식</v>
      </c>
      <c r="C3348" t="s">
        <v>256</v>
      </c>
      <c r="D3348" t="str">
        <f>VLOOKUP(C3348, '[1]VLOOKUP 함수용 카테고리'!$A$1:$B$59, 2, 0)</f>
        <v>RTC_MEAL</v>
      </c>
      <c r="E3348" t="s">
        <v>256</v>
      </c>
      <c r="F3348" t="s">
        <v>5477</v>
      </c>
    </row>
    <row r="3349" spans="1:6" x14ac:dyDescent="0.3">
      <c r="A3349" t="s">
        <v>5478</v>
      </c>
      <c r="B3349" t="str" cm="1">
        <f t="array" ref="B3349">_xlfn.XLOOKUP(C3349, INDEX([1]!카테고리매핑,,2), INDEX([1]!카테고리매핑,,1), "미등록 카테고리")</f>
        <v>육류/계란</v>
      </c>
      <c r="C3349" t="s">
        <v>149</v>
      </c>
      <c r="D3349" t="str">
        <f>VLOOKUP(C3349, '[1]VLOOKUP 함수용 카테고리'!$A$1:$B$59, 2, 0)</f>
        <v>RAW_MEAT</v>
      </c>
      <c r="E3349" t="s">
        <v>1151</v>
      </c>
      <c r="F3349" t="s">
        <v>2649</v>
      </c>
    </row>
    <row r="3350" spans="1:6" x14ac:dyDescent="0.3">
      <c r="A3350" t="s">
        <v>5479</v>
      </c>
      <c r="B3350" t="str" cm="1">
        <f t="array" ref="B3350">_xlfn.XLOOKUP(C3350, INDEX([1]!카테고리매핑,,2), INDEX([1]!카테고리매핑,,1), "미등록 카테고리")</f>
        <v>간식류</v>
      </c>
      <c r="C3350" t="s">
        <v>63</v>
      </c>
      <c r="D3350" t="str">
        <f>VLOOKUP(C3350, '[1]VLOOKUP 함수용 카테고리'!$A$1:$B$59, 2, 0)</f>
        <v>BAKERY</v>
      </c>
      <c r="E3350" t="s">
        <v>400</v>
      </c>
      <c r="F3350" t="s">
        <v>5314</v>
      </c>
    </row>
    <row r="3351" spans="1:6" x14ac:dyDescent="0.3">
      <c r="A3351" t="s">
        <v>5480</v>
      </c>
      <c r="B3351" t="str" cm="1">
        <f t="array" ref="B3351">_xlfn.XLOOKUP(C3351, INDEX([1]!카테고리매핑,,2), INDEX([1]!카테고리매핑,,1), "미등록 카테고리")</f>
        <v>간편식</v>
      </c>
      <c r="C3351" t="s">
        <v>19</v>
      </c>
      <c r="D3351" t="str">
        <f>VLOOKUP(C3351, '[1]VLOOKUP 함수용 카테고리'!$A$1:$B$59, 2, 0)</f>
        <v>FROZEN_MEAL</v>
      </c>
      <c r="E3351" t="s">
        <v>5481</v>
      </c>
      <c r="F3351" t="s">
        <v>5482</v>
      </c>
    </row>
    <row r="3352" spans="1:6" x14ac:dyDescent="0.3">
      <c r="A3352" t="s">
        <v>5483</v>
      </c>
      <c r="B3352" t="str" cm="1">
        <f t="array" ref="B3352">_xlfn.XLOOKUP(C3352, INDEX([1]!카테고리매핑,,2), INDEX([1]!카테고리매핑,,1), "미등록 카테고리")</f>
        <v>간식류</v>
      </c>
      <c r="C3352" t="s">
        <v>63</v>
      </c>
      <c r="D3352" t="str">
        <f>VLOOKUP(C3352, '[1]VLOOKUP 함수용 카테고리'!$A$1:$B$59, 2, 0)</f>
        <v>BAKERY</v>
      </c>
      <c r="E3352" t="s">
        <v>5133</v>
      </c>
      <c r="F3352" t="s">
        <v>5484</v>
      </c>
    </row>
    <row r="3353" spans="1:6" x14ac:dyDescent="0.3">
      <c r="A3353" t="s">
        <v>5485</v>
      </c>
      <c r="B3353" t="str" cm="1">
        <f t="array" ref="B3353">_xlfn.XLOOKUP(C3353, INDEX([1]!카테고리매핑,,2), INDEX([1]!카테고리매핑,,1), "미등록 카테고리")</f>
        <v>채소/곡물류</v>
      </c>
      <c r="C3353" t="s">
        <v>301</v>
      </c>
      <c r="D3353" t="str">
        <f>VLOOKUP(C3353, '[1]VLOOKUP 함수용 카테고리'!$A$1:$B$59, 2, 0)</f>
        <v>GRAIN</v>
      </c>
      <c r="E3353" t="s">
        <v>611</v>
      </c>
      <c r="F3353" t="s">
        <v>303</v>
      </c>
    </row>
    <row r="3354" spans="1:6" x14ac:dyDescent="0.3">
      <c r="A3354" t="s">
        <v>5486</v>
      </c>
      <c r="B3354" t="str" cm="1">
        <f t="array" ref="B3354">_xlfn.XLOOKUP(C3354, INDEX([1]!카테고리매핑,,2), INDEX([1]!카테고리매핑,,1), "미등록 카테고리")</f>
        <v>음료</v>
      </c>
      <c r="C3354" t="s">
        <v>23</v>
      </c>
      <c r="D3354" t="str">
        <f>VLOOKUP(C3354, '[1]VLOOKUP 함수용 카테고리'!$A$1:$B$59, 2, 0)</f>
        <v>BEVERAGE</v>
      </c>
      <c r="E3354" t="s">
        <v>24</v>
      </c>
      <c r="F3354" t="s">
        <v>1300</v>
      </c>
    </row>
    <row r="3355" spans="1:6" x14ac:dyDescent="0.3">
      <c r="A3355" t="s">
        <v>5487</v>
      </c>
      <c r="B3355" t="str" cm="1">
        <f t="array" ref="B3355">_xlfn.XLOOKUP(C3355, INDEX([1]!카테고리매핑,,2), INDEX([1]!카테고리매핑,,1), "미등록 카테고리")</f>
        <v>유제품</v>
      </c>
      <c r="C3355" t="s">
        <v>98</v>
      </c>
      <c r="D3355" t="str">
        <f>VLOOKUP(C3355, '[1]VLOOKUP 함수용 카테고리'!$A$1:$B$59, 2, 0)</f>
        <v>DAIRY</v>
      </c>
      <c r="E3355" t="s">
        <v>98</v>
      </c>
      <c r="F3355" t="s">
        <v>5488</v>
      </c>
    </row>
    <row r="3356" spans="1:6" x14ac:dyDescent="0.3">
      <c r="A3356" t="s">
        <v>5489</v>
      </c>
      <c r="B3356" t="str" cm="1">
        <f t="array" ref="B3356">_xlfn.XLOOKUP(C3356, INDEX([1]!카테고리매핑,,2), INDEX([1]!카테고리매핑,,1), "미등록 카테고리")</f>
        <v>수산물</v>
      </c>
      <c r="C3356" t="s">
        <v>1397</v>
      </c>
      <c r="D3356" t="str">
        <f>VLOOKUP(C3356, '[1]VLOOKUP 함수용 카테고리'!$A$1:$B$59, 2, 0)</f>
        <v>RAW_SEAFOOD</v>
      </c>
      <c r="E3356" t="s">
        <v>5490</v>
      </c>
      <c r="F3356" t="s">
        <v>2155</v>
      </c>
    </row>
    <row r="3357" spans="1:6" x14ac:dyDescent="0.3">
      <c r="A3357" t="s">
        <v>5491</v>
      </c>
      <c r="B3357" t="str" cm="1">
        <f t="array" ref="B3357">_xlfn.XLOOKUP(C3357, INDEX([1]!카테고리매핑,,2), INDEX([1]!카테고리매핑,,1), "미등록 카테고리")</f>
        <v>육류/계란</v>
      </c>
      <c r="C3357" t="s">
        <v>105</v>
      </c>
      <c r="D3357" t="str">
        <f>VLOOKUP(C3357, '[1]VLOOKUP 함수용 카테고리'!$A$1:$B$59, 2, 0)</f>
        <v>RAW_MEAT</v>
      </c>
      <c r="E3357" t="s">
        <v>1031</v>
      </c>
      <c r="F3357" t="s">
        <v>254</v>
      </c>
    </row>
    <row r="3358" spans="1:6" x14ac:dyDescent="0.3">
      <c r="A3358" t="s">
        <v>5492</v>
      </c>
      <c r="B3358" t="str" cm="1">
        <f t="array" ref="B3358">_xlfn.XLOOKUP(C3358, INDEX([1]!카테고리매핑,,2), INDEX([1]!카테고리매핑,,1), "미등록 카테고리")</f>
        <v>채소/곡물류</v>
      </c>
      <c r="C3358" t="s">
        <v>301</v>
      </c>
      <c r="D3358" t="str">
        <f>VLOOKUP(C3358, '[1]VLOOKUP 함수용 카테고리'!$A$1:$B$59, 2, 0)</f>
        <v>GRAIN</v>
      </c>
      <c r="E3358" t="s">
        <v>611</v>
      </c>
      <c r="F3358" t="s">
        <v>5493</v>
      </c>
    </row>
    <row r="3359" spans="1:6" x14ac:dyDescent="0.3">
      <c r="A3359" t="s">
        <v>5494</v>
      </c>
      <c r="B3359" t="str" cm="1">
        <f t="array" ref="B3359">_xlfn.XLOOKUP(C3359, INDEX([1]!카테고리매핑,,2), INDEX([1]!카테고리매핑,,1), "미등록 카테고리")</f>
        <v>술</v>
      </c>
      <c r="C3359" t="s">
        <v>42</v>
      </c>
      <c r="D3359" t="str">
        <f>VLOOKUP(C3359, '[1]VLOOKUP 함수용 카테고리'!$A$1:$B$59, 2, 0)</f>
        <v>ALCOHOL</v>
      </c>
      <c r="E3359" t="s">
        <v>43</v>
      </c>
      <c r="F3359" t="s">
        <v>5495</v>
      </c>
    </row>
    <row r="3360" spans="1:6" x14ac:dyDescent="0.3">
      <c r="A3360" t="s">
        <v>5496</v>
      </c>
      <c r="B3360" t="str" cm="1">
        <f t="array" ref="B3360">_xlfn.XLOOKUP(C3360, INDEX([1]!카테고리매핑,,2), INDEX([1]!카테고리매핑,,1), "미등록 카테고리")</f>
        <v>조미료</v>
      </c>
      <c r="C3360" t="s">
        <v>558</v>
      </c>
      <c r="D3360" t="str">
        <f>VLOOKUP(C3360, '[1]VLOOKUP 함수용 카테고리'!$A$1:$B$59, 2, 0)</f>
        <v>SAUCE_SEASONING</v>
      </c>
      <c r="E3360" t="s">
        <v>559</v>
      </c>
      <c r="F3360" t="s">
        <v>350</v>
      </c>
    </row>
    <row r="3361" spans="1:6" x14ac:dyDescent="0.3">
      <c r="A3361" t="s">
        <v>5497</v>
      </c>
      <c r="B3361" t="str" cm="1">
        <f t="array" ref="B3361">_xlfn.XLOOKUP(C3361, INDEX([1]!카테고리매핑,,2), INDEX([1]!카테고리매핑,,1), "미등록 카테고리")</f>
        <v>조미료</v>
      </c>
      <c r="C3361" t="s">
        <v>127</v>
      </c>
      <c r="D3361" t="str">
        <f>VLOOKUP(C3361, '[1]VLOOKUP 함수용 카테고리'!$A$1:$B$59, 2, 0)</f>
        <v>SAUCE_SEASONING</v>
      </c>
      <c r="E3361" t="s">
        <v>860</v>
      </c>
      <c r="F3361" t="s">
        <v>5498</v>
      </c>
    </row>
    <row r="3362" spans="1:6" x14ac:dyDescent="0.3">
      <c r="A3362" t="s">
        <v>5499</v>
      </c>
      <c r="B3362" t="str" cm="1">
        <f t="array" ref="B3362">_xlfn.XLOOKUP(C3362, INDEX([1]!카테고리매핑,,2), INDEX([1]!카테고리매핑,,1), "미등록 카테고리")</f>
        <v>음료</v>
      </c>
      <c r="C3362" t="s">
        <v>708</v>
      </c>
      <c r="D3362" t="str">
        <f>VLOOKUP(C3362, '[1]VLOOKUP 함수용 카테고리'!$A$1:$B$59, 2, 0)</f>
        <v>BEVERAGE</v>
      </c>
      <c r="E3362" t="s">
        <v>708</v>
      </c>
      <c r="F3362" t="s">
        <v>1258</v>
      </c>
    </row>
    <row r="3363" spans="1:6" x14ac:dyDescent="0.3">
      <c r="A3363" t="s">
        <v>5500</v>
      </c>
      <c r="B3363" t="str" cm="1">
        <f t="array" ref="B3363">_xlfn.XLOOKUP(C3363, INDEX([1]!카테고리매핑,,2), INDEX([1]!카테고리매핑,,1), "미등록 카테고리")</f>
        <v>간편식</v>
      </c>
      <c r="C3363" t="s">
        <v>131</v>
      </c>
      <c r="D3363" t="str">
        <f>VLOOKUP(C3363, '[1]VLOOKUP 함수용 카테고리'!$A$1:$B$59, 2, 0)</f>
        <v>SIMPLE_PROCESSED</v>
      </c>
      <c r="E3363" t="s">
        <v>132</v>
      </c>
      <c r="F3363" t="s">
        <v>133</v>
      </c>
    </row>
    <row r="3364" spans="1:6" x14ac:dyDescent="0.3">
      <c r="A3364" t="s">
        <v>5501</v>
      </c>
      <c r="B3364" t="str" cm="1">
        <f t="array" ref="B3364">_xlfn.XLOOKUP(C3364, INDEX([1]!카테고리매핑,,2), INDEX([1]!카테고리매핑,,1), "미등록 카테고리")</f>
        <v>유제품</v>
      </c>
      <c r="C3364" t="s">
        <v>123</v>
      </c>
      <c r="D3364" t="str">
        <f>VLOOKUP(C3364, '[1]VLOOKUP 함수용 카테고리'!$A$1:$B$59, 2, 0)</f>
        <v>DAIRY</v>
      </c>
      <c r="E3364" t="s">
        <v>5502</v>
      </c>
      <c r="F3364" t="s">
        <v>1663</v>
      </c>
    </row>
    <row r="3365" spans="1:6" x14ac:dyDescent="0.3">
      <c r="A3365" t="s">
        <v>5503</v>
      </c>
      <c r="B3365" t="str" cm="1">
        <f t="array" ref="B3365">_xlfn.XLOOKUP(C3365, INDEX([1]!카테고리매핑,,2), INDEX([1]!카테고리매핑,,1), "미등록 카테고리")</f>
        <v>간식류</v>
      </c>
      <c r="C3365" t="s">
        <v>11</v>
      </c>
      <c r="D3365" t="str">
        <f>VLOOKUP(C3365, '[1]VLOOKUP 함수용 카테고리'!$A$1:$B$59, 2, 0)</f>
        <v>SNACK</v>
      </c>
      <c r="E3365" t="s">
        <v>455</v>
      </c>
      <c r="F3365" t="s">
        <v>32</v>
      </c>
    </row>
    <row r="3366" spans="1:6" x14ac:dyDescent="0.3">
      <c r="A3366" t="s">
        <v>5504</v>
      </c>
      <c r="B3366" t="str" cm="1">
        <f t="array" ref="B3366">_xlfn.XLOOKUP(C3366, INDEX([1]!카테고리매핑,,2), INDEX([1]!카테고리매핑,,1), "미등록 카테고리")</f>
        <v>과일/견과류</v>
      </c>
      <c r="C3366" t="s">
        <v>5029</v>
      </c>
      <c r="D3366" t="str">
        <f>VLOOKUP(C3366, '[1]VLOOKUP 함수용 카테고리'!$A$1:$B$59, 2, 0)</f>
        <v>SIMPLE_PROCESSED</v>
      </c>
      <c r="E3366" t="s">
        <v>5505</v>
      </c>
      <c r="F3366" t="s">
        <v>5506</v>
      </c>
    </row>
    <row r="3367" spans="1:6" x14ac:dyDescent="0.3">
      <c r="A3367" t="s">
        <v>5507</v>
      </c>
      <c r="B3367" t="str" cm="1">
        <f t="array" ref="B3367">_xlfn.XLOOKUP(C3367, INDEX([1]!카테고리매핑,,2), INDEX([1]!카테고리매핑,,1), "미등록 카테고리")</f>
        <v>간편식</v>
      </c>
      <c r="C3367" t="s">
        <v>158</v>
      </c>
      <c r="D3367" t="str">
        <f>VLOOKUP(C3367, '[1]VLOOKUP 함수용 카테고리'!$A$1:$B$59, 2, 0)</f>
        <v>INSTANT</v>
      </c>
      <c r="E3367" t="s">
        <v>4498</v>
      </c>
      <c r="F3367" t="s">
        <v>154</v>
      </c>
    </row>
    <row r="3368" spans="1:6" x14ac:dyDescent="0.3">
      <c r="A3368" t="s">
        <v>5508</v>
      </c>
      <c r="B3368" t="str" cm="1">
        <f t="array" ref="B3368">_xlfn.XLOOKUP(C3368, INDEX([1]!카테고리매핑,,2), INDEX([1]!카테고리매핑,,1), "미등록 카테고리")</f>
        <v>유제품</v>
      </c>
      <c r="C3368" t="s">
        <v>123</v>
      </c>
      <c r="D3368" t="str">
        <f>VLOOKUP(C3368, '[1]VLOOKUP 함수용 카테고리'!$A$1:$B$59, 2, 0)</f>
        <v>DAIRY</v>
      </c>
      <c r="E3368" t="s">
        <v>190</v>
      </c>
      <c r="F3368" t="s">
        <v>5509</v>
      </c>
    </row>
    <row r="3369" spans="1:6" x14ac:dyDescent="0.3">
      <c r="A3369" t="s">
        <v>5510</v>
      </c>
      <c r="B3369" t="str" cm="1">
        <f t="array" ref="B3369">_xlfn.XLOOKUP(C3369, INDEX([1]!카테고리매핑,,2), INDEX([1]!카테고리매핑,,1), "미등록 카테고리")</f>
        <v>음료</v>
      </c>
      <c r="C3369" t="s">
        <v>23</v>
      </c>
      <c r="D3369" t="str">
        <f>VLOOKUP(C3369, '[1]VLOOKUP 함수용 카테고리'!$A$1:$B$59, 2, 0)</f>
        <v>BEVERAGE</v>
      </c>
      <c r="E3369" t="s">
        <v>288</v>
      </c>
      <c r="F3369" t="s">
        <v>1600</v>
      </c>
    </row>
    <row r="3370" spans="1:6" x14ac:dyDescent="0.3">
      <c r="A3370" t="s">
        <v>5511</v>
      </c>
      <c r="B3370" t="str" cm="1">
        <f t="array" ref="B3370">_xlfn.XLOOKUP(C3370, INDEX([1]!카테고리매핑,,2), INDEX([1]!카테고리매핑,,1), "미등록 카테고리")</f>
        <v>간식류</v>
      </c>
      <c r="C3370" t="s">
        <v>38</v>
      </c>
      <c r="D3370" t="str">
        <f>VLOOKUP(C3370, '[1]VLOOKUP 함수용 카테고리'!$A$1:$B$59, 2, 0)</f>
        <v>SNACK</v>
      </c>
      <c r="E3370" t="s">
        <v>39</v>
      </c>
      <c r="F3370" t="s">
        <v>5512</v>
      </c>
    </row>
    <row r="3371" spans="1:6" x14ac:dyDescent="0.3">
      <c r="A3371" t="s">
        <v>5513</v>
      </c>
      <c r="B3371" t="str" cm="1">
        <f t="array" ref="B3371">_xlfn.XLOOKUP(C3371, INDEX([1]!카테고리매핑,,2), INDEX([1]!카테고리매핑,,1), "미등록 카테고리")</f>
        <v>간편식</v>
      </c>
      <c r="C3371" t="s">
        <v>256</v>
      </c>
      <c r="D3371" t="str">
        <f>VLOOKUP(C3371, '[1]VLOOKUP 함수용 카테고리'!$A$1:$B$59, 2, 0)</f>
        <v>RTC_MEAL</v>
      </c>
      <c r="E3371" t="s">
        <v>256</v>
      </c>
      <c r="F3371" t="s">
        <v>1340</v>
      </c>
    </row>
    <row r="3372" spans="1:6" x14ac:dyDescent="0.3">
      <c r="A3372" t="s">
        <v>5514</v>
      </c>
      <c r="B3372" t="str" cm="1">
        <f t="array" ref="B3372">_xlfn.XLOOKUP(C3372, INDEX([1]!카테고리매핑,,2), INDEX([1]!카테고리매핑,,1), "미등록 카테고리")</f>
        <v>유제품</v>
      </c>
      <c r="C3372" t="s">
        <v>123</v>
      </c>
      <c r="D3372" t="str">
        <f>VLOOKUP(C3372, '[1]VLOOKUP 함수용 카테고리'!$A$1:$B$59, 2, 0)</f>
        <v>DAIRY</v>
      </c>
      <c r="E3372" t="s">
        <v>367</v>
      </c>
      <c r="F3372" t="s">
        <v>191</v>
      </c>
    </row>
    <row r="3373" spans="1:6" x14ac:dyDescent="0.3">
      <c r="A3373" t="s">
        <v>5515</v>
      </c>
      <c r="B3373" t="str" cm="1">
        <f t="array" ref="B3373">_xlfn.XLOOKUP(C3373, INDEX([1]!카테고리매핑,,2), INDEX([1]!카테고리매핑,,1), "미등록 카테고리")</f>
        <v>채소/곡물류</v>
      </c>
      <c r="C3373" t="s">
        <v>7</v>
      </c>
      <c r="D3373" t="str">
        <f>VLOOKUP(C3373, '[1]VLOOKUP 함수용 카테고리'!$A$1:$B$59, 2, 0)</f>
        <v>RAW_PRODUCE</v>
      </c>
      <c r="E3373" t="s">
        <v>743</v>
      </c>
    </row>
    <row r="3374" spans="1:6" x14ac:dyDescent="0.3">
      <c r="A3374" t="s">
        <v>5516</v>
      </c>
      <c r="B3374" t="str" cm="1">
        <f t="array" ref="B3374">_xlfn.XLOOKUP(C3374, INDEX([1]!카테고리매핑,,2), INDEX([1]!카테고리매핑,,1), "미등록 카테고리")</f>
        <v>간식류</v>
      </c>
      <c r="C3374" t="s">
        <v>11</v>
      </c>
      <c r="D3374" t="str">
        <f>VLOOKUP(C3374, '[1]VLOOKUP 함수용 카테고리'!$A$1:$B$59, 2, 0)</f>
        <v>SNACK</v>
      </c>
      <c r="E3374" t="s">
        <v>3991</v>
      </c>
      <c r="F3374" t="s">
        <v>129</v>
      </c>
    </row>
    <row r="3375" spans="1:6" x14ac:dyDescent="0.3">
      <c r="A3375" t="s">
        <v>5517</v>
      </c>
      <c r="B3375" t="str" cm="1">
        <f t="array" ref="B3375">_xlfn.XLOOKUP(C3375, INDEX([1]!카테고리매핑,,2), INDEX([1]!카테고리매핑,,1), "미등록 카테고리")</f>
        <v>상온식품</v>
      </c>
      <c r="C3375" t="s">
        <v>276</v>
      </c>
      <c r="D3375" t="str">
        <f>VLOOKUP(C3375, '[1]VLOOKUP 함수용 카테고리'!$A$1:$B$59, 2, 0)</f>
        <v>DRIED_SEAFOOD</v>
      </c>
      <c r="E3375" t="s">
        <v>277</v>
      </c>
      <c r="F3375" t="s">
        <v>736</v>
      </c>
    </row>
    <row r="3376" spans="1:6" x14ac:dyDescent="0.3">
      <c r="A3376" t="s">
        <v>5518</v>
      </c>
      <c r="B3376" t="str" cm="1">
        <f t="array" ref="B3376">_xlfn.XLOOKUP(C3376, INDEX([1]!카테고리매핑,,2), INDEX([1]!카테고리매핑,,1), "미등록 카테고리")</f>
        <v>수산물</v>
      </c>
      <c r="C3376" t="s">
        <v>229</v>
      </c>
      <c r="D3376" t="str">
        <f>VLOOKUP(C3376, '[1]VLOOKUP 함수용 카테고리'!$A$1:$B$59, 2, 0)</f>
        <v>RAW_SEAFOOD</v>
      </c>
      <c r="E3376" t="s">
        <v>230</v>
      </c>
      <c r="F3376" t="s">
        <v>1336</v>
      </c>
    </row>
    <row r="3377" spans="1:6" x14ac:dyDescent="0.3">
      <c r="A3377" t="s">
        <v>5519</v>
      </c>
      <c r="B3377" t="str" cm="1">
        <f t="array" ref="B3377">_xlfn.XLOOKUP(C3377, INDEX([1]!카테고리매핑,,2), INDEX([1]!카테고리매핑,,1), "미등록 카테고리")</f>
        <v>육류/계란</v>
      </c>
      <c r="C3377" t="s">
        <v>428</v>
      </c>
      <c r="D3377" t="str">
        <f>VLOOKUP(C3377, '[1]VLOOKUP 함수용 카테고리'!$A$1:$B$59, 2, 0)</f>
        <v>PROCESSED_MEAT</v>
      </c>
      <c r="E3377" t="s">
        <v>790</v>
      </c>
      <c r="F3377" t="s">
        <v>182</v>
      </c>
    </row>
    <row r="3378" spans="1:6" x14ac:dyDescent="0.3">
      <c r="A3378" t="s">
        <v>5520</v>
      </c>
      <c r="B3378" t="str" cm="1">
        <f t="array" ref="B3378">_xlfn.XLOOKUP(C3378, INDEX([1]!카테고리매핑,,2), INDEX([1]!카테고리매핑,,1), "미등록 카테고리")</f>
        <v>간편식</v>
      </c>
      <c r="C3378" t="s">
        <v>131</v>
      </c>
      <c r="D3378" t="str">
        <f>VLOOKUP(C3378, '[1]VLOOKUP 함수용 카테고리'!$A$1:$B$59, 2, 0)</f>
        <v>SIMPLE_PROCESSED</v>
      </c>
      <c r="E3378" t="s">
        <v>2792</v>
      </c>
      <c r="F3378" t="s">
        <v>133</v>
      </c>
    </row>
    <row r="3379" spans="1:6" x14ac:dyDescent="0.3">
      <c r="A3379" t="s">
        <v>5521</v>
      </c>
      <c r="B3379" t="str" cm="1">
        <f t="array" ref="B3379">_xlfn.XLOOKUP(C3379, INDEX([1]!카테고리매핑,,2), INDEX([1]!카테고리매핑,,1), "미등록 카테고리")</f>
        <v>음료</v>
      </c>
      <c r="C3379" t="s">
        <v>5424</v>
      </c>
      <c r="D3379" t="str">
        <f>VLOOKUP(C3379, '[1]VLOOKUP 함수용 카테고리'!$A$1:$B$59, 2, 0)</f>
        <v>BEVERAGE</v>
      </c>
      <c r="E3379" t="s">
        <v>5522</v>
      </c>
      <c r="F3379" t="s">
        <v>7851</v>
      </c>
    </row>
    <row r="3380" spans="1:6" x14ac:dyDescent="0.3">
      <c r="A3380" t="s">
        <v>5523</v>
      </c>
      <c r="B3380" t="str" cm="1">
        <f t="array" ref="B3380">_xlfn.XLOOKUP(C3380, INDEX([1]!카테고리매핑,,2), INDEX([1]!카테고리매핑,,1), "미등록 카테고리")</f>
        <v>수산물</v>
      </c>
      <c r="C3380" t="s">
        <v>140</v>
      </c>
      <c r="D3380" t="str">
        <f>VLOOKUP(C3380, '[1]VLOOKUP 함수용 카테고리'!$A$1:$B$59, 2, 0)</f>
        <v>SIMPLE_PROCESSED</v>
      </c>
      <c r="E3380" t="s">
        <v>5524</v>
      </c>
      <c r="F3380" t="s">
        <v>5525</v>
      </c>
    </row>
    <row r="3381" spans="1:6" x14ac:dyDescent="0.3">
      <c r="A3381" t="s">
        <v>5526</v>
      </c>
      <c r="B3381" t="str" cm="1">
        <f t="array" ref="B3381">_xlfn.XLOOKUP(C3381, INDEX([1]!카테고리매핑,,2), INDEX([1]!카테고리매핑,,1), "미등록 카테고리")</f>
        <v>과일/견과류</v>
      </c>
      <c r="C3381" t="s">
        <v>5029</v>
      </c>
      <c r="D3381" t="str">
        <f>VLOOKUP(C3381, '[1]VLOOKUP 함수용 카테고리'!$A$1:$B$59, 2, 0)</f>
        <v>SIMPLE_PROCESSED</v>
      </c>
      <c r="E3381" t="s">
        <v>5527</v>
      </c>
      <c r="F3381" t="s">
        <v>5506</v>
      </c>
    </row>
    <row r="3382" spans="1:6" x14ac:dyDescent="0.3">
      <c r="A3382" t="s">
        <v>5528</v>
      </c>
      <c r="B3382" t="str" cm="1">
        <f t="array" ref="B3382">_xlfn.XLOOKUP(C3382, INDEX([1]!카테고리매핑,,2), INDEX([1]!카테고리매핑,,1), "미등록 카테고리")</f>
        <v>간식류</v>
      </c>
      <c r="C3382" t="s">
        <v>11</v>
      </c>
      <c r="D3382" t="str">
        <f>VLOOKUP(C3382, '[1]VLOOKUP 함수용 카테고리'!$A$1:$B$59, 2, 0)</f>
        <v>SNACK</v>
      </c>
      <c r="E3382" t="s">
        <v>4517</v>
      </c>
      <c r="F3382" t="s">
        <v>2182</v>
      </c>
    </row>
    <row r="3383" spans="1:6" x14ac:dyDescent="0.3">
      <c r="A3383" t="s">
        <v>5529</v>
      </c>
      <c r="B3383" t="str" cm="1">
        <f t="array" ref="B3383">_xlfn.XLOOKUP(C3383, INDEX([1]!카테고리매핑,,2), INDEX([1]!카테고리매핑,,1), "미등록 카테고리")</f>
        <v>간편식</v>
      </c>
      <c r="C3383" t="s">
        <v>131</v>
      </c>
      <c r="D3383" t="str">
        <f>VLOOKUP(C3383, '[1]VLOOKUP 함수용 카테고리'!$A$1:$B$59, 2, 0)</f>
        <v>SIMPLE_PROCESSED</v>
      </c>
      <c r="E3383" t="s">
        <v>2128</v>
      </c>
      <c r="F3383" t="s">
        <v>156</v>
      </c>
    </row>
    <row r="3384" spans="1:6" x14ac:dyDescent="0.3">
      <c r="A3384" t="s">
        <v>5530</v>
      </c>
      <c r="B3384" t="str" cm="1">
        <f t="array" ref="B3384">_xlfn.XLOOKUP(C3384, INDEX([1]!카테고리매핑,,2), INDEX([1]!카테고리매핑,,1), "미등록 카테고리")</f>
        <v>상온식품</v>
      </c>
      <c r="C3384" t="s">
        <v>769</v>
      </c>
      <c r="D3384" t="str">
        <f>VLOOKUP(C3384, '[1]VLOOKUP 함수용 카테고리'!$A$1:$B$59, 2, 0)</f>
        <v>GRAIN</v>
      </c>
      <c r="E3384" t="s">
        <v>770</v>
      </c>
      <c r="F3384" t="s">
        <v>5531</v>
      </c>
    </row>
    <row r="3385" spans="1:6" x14ac:dyDescent="0.3">
      <c r="A3385" t="s">
        <v>5532</v>
      </c>
      <c r="B3385" t="str" cm="1">
        <f t="array" ref="B3385">_xlfn.XLOOKUP(C3385, INDEX([1]!카테고리매핑,,2), INDEX([1]!카테고리매핑,,1), "미등록 카테고리")</f>
        <v>간편식</v>
      </c>
      <c r="C3385" t="s">
        <v>131</v>
      </c>
      <c r="D3385" t="str">
        <f>VLOOKUP(C3385, '[1]VLOOKUP 함수용 카테고리'!$A$1:$B$59, 2, 0)</f>
        <v>SIMPLE_PROCESSED</v>
      </c>
      <c r="E3385" t="s">
        <v>5533</v>
      </c>
      <c r="F3385" t="s">
        <v>5534</v>
      </c>
    </row>
    <row r="3386" spans="1:6" x14ac:dyDescent="0.3">
      <c r="A3386" t="s">
        <v>5535</v>
      </c>
      <c r="B3386" t="str" cm="1">
        <f t="array" ref="B3386">_xlfn.XLOOKUP(C3386, INDEX([1]!카테고리매핑,,2), INDEX([1]!카테고리매핑,,1), "미등록 카테고리")</f>
        <v>유제품</v>
      </c>
      <c r="C3386" t="s">
        <v>123</v>
      </c>
      <c r="D3386" t="str">
        <f>VLOOKUP(C3386, '[1]VLOOKUP 함수용 카테고리'!$A$1:$B$59, 2, 0)</f>
        <v>DAIRY</v>
      </c>
      <c r="E3386" t="s">
        <v>367</v>
      </c>
      <c r="F3386" t="s">
        <v>623</v>
      </c>
    </row>
    <row r="3387" spans="1:6" x14ac:dyDescent="0.3">
      <c r="A3387" t="s">
        <v>5536</v>
      </c>
      <c r="B3387" t="str" cm="1">
        <f t="array" ref="B3387">_xlfn.XLOOKUP(C3387, INDEX([1]!카테고리매핑,,2), INDEX([1]!카테고리매핑,,1), "미등록 카테고리")</f>
        <v>간편식</v>
      </c>
      <c r="C3387" t="s">
        <v>46</v>
      </c>
      <c r="D3387" t="str">
        <f>VLOOKUP(C3387, '[1]VLOOKUP 함수용 카테고리'!$A$1:$B$59, 2, 0)</f>
        <v>RTC_MEAL</v>
      </c>
      <c r="E3387" t="s">
        <v>46</v>
      </c>
      <c r="F3387" t="s">
        <v>5140</v>
      </c>
    </row>
    <row r="3388" spans="1:6" x14ac:dyDescent="0.3">
      <c r="A3388" t="s">
        <v>5537</v>
      </c>
      <c r="B3388" t="str" cm="1">
        <f t="array" ref="B3388">_xlfn.XLOOKUP(C3388, INDEX([1]!카테고리매핑,,2), INDEX([1]!카테고리매핑,,1), "미등록 카테고리")</f>
        <v>간식류</v>
      </c>
      <c r="C3388" t="s">
        <v>38</v>
      </c>
      <c r="D3388" t="str">
        <f>VLOOKUP(C3388, '[1]VLOOKUP 함수용 카테고리'!$A$1:$B$59, 2, 0)</f>
        <v>SNACK</v>
      </c>
      <c r="E3388" t="s">
        <v>179</v>
      </c>
      <c r="F3388" t="s">
        <v>734</v>
      </c>
    </row>
    <row r="3389" spans="1:6" x14ac:dyDescent="0.3">
      <c r="A3389" t="s">
        <v>5538</v>
      </c>
      <c r="B3389" t="str" cm="1">
        <f t="array" ref="B3389">_xlfn.XLOOKUP(C3389, INDEX([1]!카테고리매핑,,2), INDEX([1]!카테고리매핑,,1), "미등록 카테고리")</f>
        <v>간편식</v>
      </c>
      <c r="C3389" t="s">
        <v>256</v>
      </c>
      <c r="D3389" t="str">
        <f>VLOOKUP(C3389, '[1]VLOOKUP 함수용 카테고리'!$A$1:$B$59, 2, 0)</f>
        <v>RTC_MEAL</v>
      </c>
      <c r="E3389" t="s">
        <v>256</v>
      </c>
      <c r="F3389" t="s">
        <v>5539</v>
      </c>
    </row>
    <row r="3390" spans="1:6" x14ac:dyDescent="0.3">
      <c r="A3390" t="s">
        <v>5540</v>
      </c>
      <c r="B3390" t="str" cm="1">
        <f t="array" ref="B3390">_xlfn.XLOOKUP(C3390, INDEX([1]!카테고리매핑,,2), INDEX([1]!카테고리매핑,,1), "미등록 카테고리")</f>
        <v>간식류</v>
      </c>
      <c r="C3390" t="s">
        <v>38</v>
      </c>
      <c r="D3390" t="str">
        <f>VLOOKUP(C3390, '[1]VLOOKUP 함수용 카테고리'!$A$1:$B$59, 2, 0)</f>
        <v>SNACK</v>
      </c>
      <c r="E3390" t="s">
        <v>1291</v>
      </c>
      <c r="F3390" t="s">
        <v>4230</v>
      </c>
    </row>
    <row r="3391" spans="1:6" x14ac:dyDescent="0.3">
      <c r="A3391" t="s">
        <v>5541</v>
      </c>
      <c r="B3391" t="str" cm="1">
        <f t="array" ref="B3391">_xlfn.XLOOKUP(C3391, INDEX([1]!카테고리매핑,,2), INDEX([1]!카테고리매핑,,1), "미등록 카테고리")</f>
        <v>조미료</v>
      </c>
      <c r="C3391" t="s">
        <v>83</v>
      </c>
      <c r="D3391" t="str">
        <f>VLOOKUP(C3391, '[1]VLOOKUP 함수용 카테고리'!$A$1:$B$59, 2, 0)</f>
        <v>SAUCE_SEASONING</v>
      </c>
      <c r="E3391" t="s">
        <v>3952</v>
      </c>
      <c r="F3391" t="s">
        <v>5542</v>
      </c>
    </row>
    <row r="3392" spans="1:6" x14ac:dyDescent="0.3">
      <c r="A3392" t="s">
        <v>5543</v>
      </c>
      <c r="B3392" t="str" cm="1">
        <f t="array" ref="B3392">_xlfn.XLOOKUP(C3392, INDEX([1]!카테고리매핑,,2), INDEX([1]!카테고리매핑,,1), "미등록 카테고리")</f>
        <v>조미료</v>
      </c>
      <c r="C3392" t="s">
        <v>84</v>
      </c>
      <c r="D3392" t="str">
        <f>VLOOKUP(C3392, '[1]VLOOKUP 함수용 카테고리'!$A$1:$B$59, 2, 0)</f>
        <v>SAUCE_SEASONING</v>
      </c>
      <c r="E3392" t="s">
        <v>85</v>
      </c>
      <c r="F3392" t="s">
        <v>381</v>
      </c>
    </row>
    <row r="3393" spans="1:6" x14ac:dyDescent="0.3">
      <c r="A3393" t="s">
        <v>5544</v>
      </c>
      <c r="B3393" t="str" cm="1">
        <f t="array" ref="B3393">_xlfn.XLOOKUP(C3393, INDEX([1]!카테고리매핑,,2), INDEX([1]!카테고리매핑,,1), "미등록 카테고리")</f>
        <v>수산물</v>
      </c>
      <c r="C3393" t="s">
        <v>101</v>
      </c>
      <c r="D3393" t="str">
        <f>VLOOKUP(C3393, '[1]VLOOKUP 함수용 카테고리'!$A$1:$B$59, 2, 0)</f>
        <v>DRIED_SEAFOOD</v>
      </c>
      <c r="E3393" t="s">
        <v>102</v>
      </c>
      <c r="F3393" t="s">
        <v>5545</v>
      </c>
    </row>
    <row r="3394" spans="1:6" x14ac:dyDescent="0.3">
      <c r="A3394" t="s">
        <v>5546</v>
      </c>
      <c r="B3394" t="str" cm="1">
        <f t="array" ref="B3394">_xlfn.XLOOKUP(C3394, INDEX([1]!카테고리매핑,,2), INDEX([1]!카테고리매핑,,1), "미등록 카테고리")</f>
        <v>간편식</v>
      </c>
      <c r="C3394" t="s">
        <v>161</v>
      </c>
      <c r="D3394" t="str">
        <f>VLOOKUP(C3394, '[1]VLOOKUP 함수용 카테고리'!$A$1:$B$59, 2, 0)</f>
        <v>RTC_MEAL</v>
      </c>
      <c r="E3394" t="s">
        <v>4211</v>
      </c>
      <c r="F3394" t="s">
        <v>5547</v>
      </c>
    </row>
    <row r="3395" spans="1:6" x14ac:dyDescent="0.3">
      <c r="A3395" t="s">
        <v>5548</v>
      </c>
      <c r="B3395" t="str" cm="1">
        <f t="array" ref="B3395">_xlfn.XLOOKUP(C3395, INDEX([1]!카테고리매핑,,2), INDEX([1]!카테고리매핑,,1), "미등록 카테고리")</f>
        <v>채소/곡물류</v>
      </c>
      <c r="C3395" t="s">
        <v>7</v>
      </c>
      <c r="D3395" t="str">
        <f>VLOOKUP(C3395, '[1]VLOOKUP 함수용 카테고리'!$A$1:$B$59, 2, 0)</f>
        <v>RAW_PRODUCE</v>
      </c>
      <c r="E3395" t="s">
        <v>5281</v>
      </c>
    </row>
    <row r="3396" spans="1:6" x14ac:dyDescent="0.3">
      <c r="A3396" t="s">
        <v>5549</v>
      </c>
      <c r="B3396" t="str" cm="1">
        <f t="array" ref="B3396">_xlfn.XLOOKUP(C3396, INDEX([1]!카테고리매핑,,2), INDEX([1]!카테고리매핑,,1), "미등록 카테고리")</f>
        <v>육류/계란</v>
      </c>
      <c r="C3396" t="s">
        <v>149</v>
      </c>
      <c r="D3396" t="str">
        <f>VLOOKUP(C3396, '[1]VLOOKUP 함수용 카테고리'!$A$1:$B$59, 2, 0)</f>
        <v>RAW_MEAT</v>
      </c>
      <c r="E3396" t="s">
        <v>150</v>
      </c>
      <c r="F3396" t="s">
        <v>1510</v>
      </c>
    </row>
    <row r="3397" spans="1:6" x14ac:dyDescent="0.3">
      <c r="A3397" t="s">
        <v>5550</v>
      </c>
      <c r="B3397" t="str" cm="1">
        <f t="array" ref="B3397">_xlfn.XLOOKUP(C3397, INDEX([1]!카테고리매핑,,2), INDEX([1]!카테고리매핑,,1), "미등록 카테고리")</f>
        <v>간식류</v>
      </c>
      <c r="C3397" t="s">
        <v>63</v>
      </c>
      <c r="D3397" t="str">
        <f>VLOOKUP(C3397, '[1]VLOOKUP 함수용 카테고리'!$A$1:$B$59, 2, 0)</f>
        <v>BAKERY</v>
      </c>
      <c r="E3397" t="s">
        <v>672</v>
      </c>
      <c r="F3397" t="s">
        <v>156</v>
      </c>
    </row>
    <row r="3398" spans="1:6" x14ac:dyDescent="0.3">
      <c r="A3398" t="s">
        <v>5551</v>
      </c>
      <c r="B3398" t="str" cm="1">
        <f t="array" ref="B3398">_xlfn.XLOOKUP(C3398, INDEX([1]!카테고리매핑,,2), INDEX([1]!카테고리매핑,,1), "미등록 카테고리")</f>
        <v>채소/곡물류</v>
      </c>
      <c r="C3398" t="s">
        <v>164</v>
      </c>
      <c r="D3398" t="str">
        <f>VLOOKUP(C3398, '[1]VLOOKUP 함수용 카테고리'!$A$1:$B$59, 2, 0)</f>
        <v>RAW_PRODUCE</v>
      </c>
      <c r="E3398" t="s">
        <v>5552</v>
      </c>
    </row>
    <row r="3399" spans="1:6" x14ac:dyDescent="0.3">
      <c r="A3399" t="s">
        <v>5553</v>
      </c>
      <c r="B3399" t="str" cm="1">
        <f t="array" ref="B3399">_xlfn.XLOOKUP(C3399, INDEX([1]!카테고리매핑,,2), INDEX([1]!카테고리매핑,,1), "미등록 카테고리")</f>
        <v>음료</v>
      </c>
      <c r="C3399" t="s">
        <v>23</v>
      </c>
      <c r="D3399" t="str">
        <f>VLOOKUP(C3399, '[1]VLOOKUP 함수용 카테고리'!$A$1:$B$59, 2, 0)</f>
        <v>BEVERAGE</v>
      </c>
      <c r="E3399" t="s">
        <v>355</v>
      </c>
      <c r="F3399" t="s">
        <v>1378</v>
      </c>
    </row>
    <row r="3400" spans="1:6" x14ac:dyDescent="0.3">
      <c r="A3400" t="s">
        <v>5554</v>
      </c>
      <c r="B3400" t="str" cm="1">
        <f t="array" ref="B3400">_xlfn.XLOOKUP(C3400, INDEX([1]!카테고리매핑,,2), INDEX([1]!카테고리매핑,,1), "미등록 카테고리")</f>
        <v>음료</v>
      </c>
      <c r="C3400" t="s">
        <v>584</v>
      </c>
      <c r="D3400" t="str">
        <f>VLOOKUP(C3400, '[1]VLOOKUP 함수용 카테고리'!$A$1:$B$59, 2, 0)</f>
        <v>BEVERAGE</v>
      </c>
      <c r="E3400" t="s">
        <v>3148</v>
      </c>
      <c r="F3400" t="s">
        <v>7851</v>
      </c>
    </row>
    <row r="3401" spans="1:6" x14ac:dyDescent="0.3">
      <c r="A3401" t="s">
        <v>5555</v>
      </c>
      <c r="B3401" t="str" cm="1">
        <f t="array" ref="B3401">_xlfn.XLOOKUP(C3401, INDEX([1]!카테고리매핑,,2), INDEX([1]!카테고리매핑,,1), "미등록 카테고리")</f>
        <v>채소/곡물류</v>
      </c>
      <c r="C3401" t="s">
        <v>7</v>
      </c>
      <c r="D3401" t="str">
        <f>VLOOKUP(C3401, '[1]VLOOKUP 함수용 카테고리'!$A$1:$B$59, 2, 0)</f>
        <v>RAW_PRODUCE</v>
      </c>
      <c r="E3401" t="s">
        <v>405</v>
      </c>
    </row>
    <row r="3402" spans="1:6" x14ac:dyDescent="0.3">
      <c r="A3402" t="s">
        <v>5556</v>
      </c>
      <c r="B3402" t="str" cm="1">
        <f t="array" ref="B3402">_xlfn.XLOOKUP(C3402, INDEX([1]!카테고리매핑,,2), INDEX([1]!카테고리매핑,,1), "미등록 카테고리")</f>
        <v>채소/곡물류</v>
      </c>
      <c r="C3402" t="s">
        <v>207</v>
      </c>
      <c r="D3402" t="str">
        <f>VLOOKUP(C3402, '[1]VLOOKUP 함수용 카테고리'!$A$1:$B$59, 2, 0)</f>
        <v>GRAIN</v>
      </c>
      <c r="E3402" t="s">
        <v>2588</v>
      </c>
      <c r="F3402" t="s">
        <v>5557</v>
      </c>
    </row>
    <row r="3403" spans="1:6" x14ac:dyDescent="0.3">
      <c r="A3403" t="s">
        <v>5558</v>
      </c>
      <c r="B3403" t="str" cm="1">
        <f t="array" ref="B3403">_xlfn.XLOOKUP(C3403, INDEX([1]!카테고리매핑,,2), INDEX([1]!카테고리매핑,,1), "미등록 카테고리")</f>
        <v>간편식</v>
      </c>
      <c r="C3403" t="s">
        <v>256</v>
      </c>
      <c r="D3403" t="str">
        <f>VLOOKUP(C3403, '[1]VLOOKUP 함수용 카테고리'!$A$1:$B$59, 2, 0)</f>
        <v>RTC_MEAL</v>
      </c>
      <c r="E3403" t="s">
        <v>256</v>
      </c>
      <c r="F3403" t="s">
        <v>182</v>
      </c>
    </row>
    <row r="3404" spans="1:6" x14ac:dyDescent="0.3">
      <c r="A3404" t="s">
        <v>5559</v>
      </c>
      <c r="B3404" t="str" cm="1">
        <f t="array" ref="B3404">_xlfn.XLOOKUP(C3404, INDEX([1]!카테고리매핑,,2), INDEX([1]!카테고리매핑,,1), "미등록 카테고리")</f>
        <v>채소/곡물류</v>
      </c>
      <c r="C3404" t="s">
        <v>27</v>
      </c>
      <c r="D3404" t="str">
        <f>VLOOKUP(C3404, '[1]VLOOKUP 함수용 카테고리'!$A$1:$B$59, 2, 0)</f>
        <v>SIMPLE_PROCESSED</v>
      </c>
      <c r="E3404" t="s">
        <v>5560</v>
      </c>
      <c r="F3404" t="s">
        <v>51</v>
      </c>
    </row>
    <row r="3405" spans="1:6" x14ac:dyDescent="0.3">
      <c r="A3405" t="s">
        <v>5561</v>
      </c>
      <c r="B3405" t="str" cm="1">
        <f t="array" ref="B3405">_xlfn.XLOOKUP(C3405, INDEX([1]!카테고리매핑,,2), INDEX([1]!카테고리매핑,,1), "미등록 카테고리")</f>
        <v>조미료</v>
      </c>
      <c r="C3405" t="s">
        <v>127</v>
      </c>
      <c r="D3405" t="str">
        <f>VLOOKUP(C3405, '[1]VLOOKUP 함수용 카테고리'!$A$1:$B$59, 2, 0)</f>
        <v>SAUCE_SEASONING</v>
      </c>
      <c r="E3405" t="s">
        <v>436</v>
      </c>
      <c r="F3405" t="s">
        <v>182</v>
      </c>
    </row>
    <row r="3406" spans="1:6" x14ac:dyDescent="0.3">
      <c r="A3406" t="s">
        <v>5562</v>
      </c>
      <c r="B3406" t="str" cm="1">
        <f t="array" ref="B3406">_xlfn.XLOOKUP(C3406, INDEX([1]!카테고리매핑,,2), INDEX([1]!카테고리매핑,,1), "미등록 카테고리")</f>
        <v>간편식</v>
      </c>
      <c r="C3406" t="s">
        <v>256</v>
      </c>
      <c r="D3406" t="str">
        <f>VLOOKUP(C3406, '[1]VLOOKUP 함수용 카테고리'!$A$1:$B$59, 2, 0)</f>
        <v>RTC_MEAL</v>
      </c>
      <c r="E3406" t="s">
        <v>256</v>
      </c>
      <c r="F3406" t="s">
        <v>765</v>
      </c>
    </row>
    <row r="3407" spans="1:6" x14ac:dyDescent="0.3">
      <c r="A3407" t="s">
        <v>5563</v>
      </c>
      <c r="B3407" t="str" cm="1">
        <f t="array" ref="B3407">_xlfn.XLOOKUP(C3407, INDEX([1]!카테고리매핑,,2), INDEX([1]!카테고리매핑,,1), "미등록 카테고리")</f>
        <v>조미료</v>
      </c>
      <c r="C3407" t="s">
        <v>84</v>
      </c>
      <c r="D3407" t="str">
        <f>VLOOKUP(C3407, '[1]VLOOKUP 함수용 카테고리'!$A$1:$B$59, 2, 0)</f>
        <v>SAUCE_SEASONING</v>
      </c>
      <c r="E3407" t="s">
        <v>444</v>
      </c>
      <c r="F3407" t="s">
        <v>646</v>
      </c>
    </row>
    <row r="3408" spans="1:6" x14ac:dyDescent="0.3">
      <c r="A3408" t="s">
        <v>5564</v>
      </c>
      <c r="B3408" t="str" cm="1">
        <f t="array" ref="B3408">_xlfn.XLOOKUP(C3408, INDEX([1]!카테고리매핑,,2), INDEX([1]!카테고리매핑,,1), "미등록 카테고리")</f>
        <v>유제품</v>
      </c>
      <c r="C3408" t="s">
        <v>98</v>
      </c>
      <c r="D3408" t="str">
        <f>VLOOKUP(C3408, '[1]VLOOKUP 함수용 카테고리'!$A$1:$B$59, 2, 0)</f>
        <v>DAIRY</v>
      </c>
      <c r="E3408" t="s">
        <v>98</v>
      </c>
      <c r="F3408" t="s">
        <v>3524</v>
      </c>
    </row>
    <row r="3409" spans="1:6" x14ac:dyDescent="0.3">
      <c r="A3409" t="s">
        <v>5565</v>
      </c>
      <c r="B3409" t="str" cm="1">
        <f t="array" ref="B3409">_xlfn.XLOOKUP(C3409, INDEX([1]!카테고리매핑,,2), INDEX([1]!카테고리매핑,,1), "미등록 카테고리")</f>
        <v>유제품</v>
      </c>
      <c r="C3409" t="s">
        <v>211</v>
      </c>
      <c r="D3409" t="str">
        <f>VLOOKUP(C3409, '[1]VLOOKUP 함수용 카테고리'!$A$1:$B$59, 2, 0)</f>
        <v>DAIRY</v>
      </c>
      <c r="E3409" t="s">
        <v>212</v>
      </c>
      <c r="F3409" t="s">
        <v>193</v>
      </c>
    </row>
    <row r="3410" spans="1:6" x14ac:dyDescent="0.3">
      <c r="A3410" t="s">
        <v>5566</v>
      </c>
      <c r="B3410" t="str" cm="1">
        <f t="array" ref="B3410">_xlfn.XLOOKUP(C3410, INDEX([1]!카테고리매핑,,2), INDEX([1]!카테고리매핑,,1), "미등록 카테고리")</f>
        <v>조미료</v>
      </c>
      <c r="C3410" t="s">
        <v>127</v>
      </c>
      <c r="D3410" t="str">
        <f>VLOOKUP(C3410, '[1]VLOOKUP 함수용 카테고리'!$A$1:$B$59, 2, 0)</f>
        <v>SAUCE_SEASONING</v>
      </c>
      <c r="E3410" t="s">
        <v>4381</v>
      </c>
      <c r="F3410" t="s">
        <v>182</v>
      </c>
    </row>
    <row r="3411" spans="1:6" x14ac:dyDescent="0.3">
      <c r="A3411" t="s">
        <v>5567</v>
      </c>
      <c r="B3411" t="str" cm="1">
        <f t="array" ref="B3411">_xlfn.XLOOKUP(C3411, INDEX([1]!카테고리매핑,,2), INDEX([1]!카테고리매핑,,1), "미등록 카테고리")</f>
        <v>간편식</v>
      </c>
      <c r="C3411" t="s">
        <v>46</v>
      </c>
      <c r="D3411" t="str">
        <f>VLOOKUP(C3411, '[1]VLOOKUP 함수용 카테고리'!$A$1:$B$59, 2, 0)</f>
        <v>RTC_MEAL</v>
      </c>
      <c r="E3411" t="s">
        <v>46</v>
      </c>
      <c r="F3411" t="s">
        <v>1406</v>
      </c>
    </row>
    <row r="3412" spans="1:6" x14ac:dyDescent="0.3">
      <c r="A3412" t="s">
        <v>5568</v>
      </c>
      <c r="B3412" t="str" cm="1">
        <f t="array" ref="B3412">_xlfn.XLOOKUP(C3412, INDEX([1]!카테고리매핑,,2), INDEX([1]!카테고리매핑,,1), "미등록 카테고리")</f>
        <v>육류/계란</v>
      </c>
      <c r="C3412" t="s">
        <v>428</v>
      </c>
      <c r="D3412" t="str">
        <f>VLOOKUP(C3412, '[1]VLOOKUP 함수용 카테고리'!$A$1:$B$59, 2, 0)</f>
        <v>PROCESSED_MEAT</v>
      </c>
      <c r="E3412" t="s">
        <v>5569</v>
      </c>
      <c r="F3412" t="s">
        <v>646</v>
      </c>
    </row>
    <row r="3413" spans="1:6" x14ac:dyDescent="0.3">
      <c r="A3413" t="s">
        <v>5570</v>
      </c>
      <c r="B3413" t="str" cm="1">
        <f t="array" ref="B3413">_xlfn.XLOOKUP(C3413, INDEX([1]!카테고리매핑,,2), INDEX([1]!카테고리매핑,,1), "미등록 카테고리")</f>
        <v>과일/견과류</v>
      </c>
      <c r="C3413" t="s">
        <v>5029</v>
      </c>
      <c r="D3413" t="str">
        <f>VLOOKUP(C3413, '[1]VLOOKUP 함수용 카테고리'!$A$1:$B$59, 2, 0)</f>
        <v>SIMPLE_PROCESSED</v>
      </c>
      <c r="E3413" t="s">
        <v>5505</v>
      </c>
      <c r="F3413" t="s">
        <v>5506</v>
      </c>
    </row>
    <row r="3414" spans="1:6" x14ac:dyDescent="0.3">
      <c r="A3414" t="s">
        <v>5571</v>
      </c>
      <c r="B3414" t="str" cm="1">
        <f t="array" ref="B3414">_xlfn.XLOOKUP(C3414, INDEX([1]!카테고리매핑,,2), INDEX([1]!카테고리매핑,,1), "미등록 카테고리")</f>
        <v>채소/곡물류</v>
      </c>
      <c r="C3414" t="s">
        <v>27</v>
      </c>
      <c r="D3414" t="str">
        <f>VLOOKUP(C3414, '[1]VLOOKUP 함수용 카테고리'!$A$1:$B$59, 2, 0)</f>
        <v>SIMPLE_PROCESSED</v>
      </c>
      <c r="E3414" t="s">
        <v>28</v>
      </c>
      <c r="F3414" t="s">
        <v>350</v>
      </c>
    </row>
    <row r="3415" spans="1:6" x14ac:dyDescent="0.3">
      <c r="A3415" t="s">
        <v>5572</v>
      </c>
      <c r="B3415" t="str" cm="1">
        <f t="array" ref="B3415">_xlfn.XLOOKUP(C3415, INDEX([1]!카테고리매핑,,2), INDEX([1]!카테고리매핑,,1), "미등록 카테고리")</f>
        <v>간식류</v>
      </c>
      <c r="C3415" t="s">
        <v>11</v>
      </c>
      <c r="D3415" t="str">
        <f>VLOOKUP(C3415, '[1]VLOOKUP 함수용 카테고리'!$A$1:$B$59, 2, 0)</f>
        <v>SNACK</v>
      </c>
      <c r="E3415" t="s">
        <v>371</v>
      </c>
      <c r="F3415" t="s">
        <v>5573</v>
      </c>
    </row>
    <row r="3416" spans="1:6" x14ac:dyDescent="0.3">
      <c r="A3416" t="s">
        <v>5574</v>
      </c>
      <c r="B3416" t="str" cm="1">
        <f t="array" ref="B3416">_xlfn.XLOOKUP(C3416, INDEX([1]!카테고리매핑,,2), INDEX([1]!카테고리매핑,,1), "미등록 카테고리")</f>
        <v>술</v>
      </c>
      <c r="C3416" t="s">
        <v>411</v>
      </c>
      <c r="D3416" t="str">
        <f>VLOOKUP(C3416, '[1]VLOOKUP 함수용 카테고리'!$A$1:$B$59, 2, 0)</f>
        <v>ALCOHOL</v>
      </c>
      <c r="E3416" t="s">
        <v>5575</v>
      </c>
      <c r="F3416" t="s">
        <v>411</v>
      </c>
    </row>
    <row r="3417" spans="1:6" x14ac:dyDescent="0.3">
      <c r="A3417" t="s">
        <v>5576</v>
      </c>
      <c r="B3417" t="str" cm="1">
        <f t="array" ref="B3417">_xlfn.XLOOKUP(C3417, INDEX([1]!카테고리매핑,,2), INDEX([1]!카테고리매핑,,1), "미등록 카테고리")</f>
        <v>미등록 카테고리</v>
      </c>
      <c r="C3417" t="s">
        <v>334</v>
      </c>
      <c r="D3417" t="str">
        <f>VLOOKUP(C3417, '[1]VLOOKUP 함수용 카테고리'!$A$1:$B$59, 2, 0)</f>
        <v>UNKNOWN</v>
      </c>
      <c r="E3417" t="s">
        <v>334</v>
      </c>
      <c r="F3417" t="s">
        <v>5577</v>
      </c>
    </row>
    <row r="3418" spans="1:6" x14ac:dyDescent="0.3">
      <c r="A3418" t="s">
        <v>5578</v>
      </c>
      <c r="B3418" t="str" cm="1">
        <f t="array" ref="B3418">_xlfn.XLOOKUP(C3418, INDEX([1]!카테고리매핑,,2), INDEX([1]!카테고리매핑,,1), "미등록 카테고리")</f>
        <v>미등록 카테고리</v>
      </c>
      <c r="C3418" t="s">
        <v>334</v>
      </c>
      <c r="D3418" t="str">
        <f>VLOOKUP(C3418, '[1]VLOOKUP 함수용 카테고리'!$A$1:$B$59, 2, 0)</f>
        <v>UNKNOWN</v>
      </c>
      <c r="E3418" t="s">
        <v>334</v>
      </c>
      <c r="F3418" t="s">
        <v>5579</v>
      </c>
    </row>
    <row r="3419" spans="1:6" x14ac:dyDescent="0.3">
      <c r="A3419" t="s">
        <v>5580</v>
      </c>
      <c r="B3419" t="str" cm="1">
        <f t="array" ref="B3419">_xlfn.XLOOKUP(C3419, INDEX([1]!카테고리매핑,,2), INDEX([1]!카테고리매핑,,1), "미등록 카테고리")</f>
        <v>간편식</v>
      </c>
      <c r="C3419" t="s">
        <v>19</v>
      </c>
      <c r="D3419" t="str">
        <f>VLOOKUP(C3419, '[1]VLOOKUP 함수용 카테고리'!$A$1:$B$59, 2, 0)</f>
        <v>FROZEN_MEAL</v>
      </c>
      <c r="E3419" t="s">
        <v>20</v>
      </c>
      <c r="F3419" t="s">
        <v>632</v>
      </c>
    </row>
    <row r="3420" spans="1:6" x14ac:dyDescent="0.3">
      <c r="A3420" t="s">
        <v>5581</v>
      </c>
      <c r="B3420" t="str" cm="1">
        <f t="array" ref="B3420">_xlfn.XLOOKUP(C3420, INDEX([1]!카테고리매핑,,2), INDEX([1]!카테고리매핑,,1), "미등록 카테고리")</f>
        <v>채소/곡물류</v>
      </c>
      <c r="C3420" t="s">
        <v>27</v>
      </c>
      <c r="D3420" t="str">
        <f>VLOOKUP(C3420, '[1]VLOOKUP 함수용 카테고리'!$A$1:$B$59, 2, 0)</f>
        <v>SIMPLE_PROCESSED</v>
      </c>
      <c r="E3420" t="s">
        <v>28</v>
      </c>
      <c r="F3420" t="s">
        <v>760</v>
      </c>
    </row>
    <row r="3421" spans="1:6" x14ac:dyDescent="0.3">
      <c r="A3421" t="s">
        <v>5582</v>
      </c>
      <c r="B3421" t="str" cm="1">
        <f t="array" ref="B3421">_xlfn.XLOOKUP(C3421, INDEX([1]!카테고리매핑,,2), INDEX([1]!카테고리매핑,,1), "미등록 카테고리")</f>
        <v>유제품</v>
      </c>
      <c r="C3421" t="s">
        <v>211</v>
      </c>
      <c r="D3421" t="str">
        <f>VLOOKUP(C3421, '[1]VLOOKUP 함수용 카테고리'!$A$1:$B$59, 2, 0)</f>
        <v>DAIRY</v>
      </c>
      <c r="E3421" t="s">
        <v>211</v>
      </c>
      <c r="F3421" t="s">
        <v>5583</v>
      </c>
    </row>
    <row r="3422" spans="1:6" x14ac:dyDescent="0.3">
      <c r="A3422" t="s">
        <v>5584</v>
      </c>
      <c r="B3422" t="str" cm="1">
        <f t="array" ref="B3422">_xlfn.XLOOKUP(C3422, INDEX([1]!카테고리매핑,,2), INDEX([1]!카테고리매핑,,1), "미등록 카테고리")</f>
        <v>음료</v>
      </c>
      <c r="C3422" t="s">
        <v>23</v>
      </c>
      <c r="D3422" t="str">
        <f>VLOOKUP(C3422, '[1]VLOOKUP 함수용 카테고리'!$A$1:$B$59, 2, 0)</f>
        <v>BEVERAGE</v>
      </c>
      <c r="E3422" t="s">
        <v>355</v>
      </c>
      <c r="F3422" t="s">
        <v>5585</v>
      </c>
    </row>
    <row r="3423" spans="1:6" x14ac:dyDescent="0.3">
      <c r="A3423" t="s">
        <v>5586</v>
      </c>
      <c r="B3423" t="str" cm="1">
        <f t="array" ref="B3423">_xlfn.XLOOKUP(C3423, INDEX([1]!카테고리매핑,,2), INDEX([1]!카테고리매핑,,1), "미등록 카테고리")</f>
        <v>조미료</v>
      </c>
      <c r="C3423" t="s">
        <v>83</v>
      </c>
      <c r="D3423" t="str">
        <f>VLOOKUP(C3423, '[1]VLOOKUP 함수용 카테고리'!$A$1:$B$59, 2, 0)</f>
        <v>SAUCE_SEASONING</v>
      </c>
      <c r="E3423" t="s">
        <v>3439</v>
      </c>
      <c r="F3423" t="s">
        <v>5587</v>
      </c>
    </row>
    <row r="3424" spans="1:6" x14ac:dyDescent="0.3">
      <c r="A3424" t="s">
        <v>5588</v>
      </c>
      <c r="B3424" t="str" cm="1">
        <f t="array" ref="B3424">_xlfn.XLOOKUP(C3424, INDEX([1]!카테고리매핑,,2), INDEX([1]!카테고리매핑,,1), "미등록 카테고리")</f>
        <v>음료</v>
      </c>
      <c r="C3424" t="s">
        <v>5424</v>
      </c>
      <c r="D3424" t="str">
        <f>VLOOKUP(C3424, '[1]VLOOKUP 함수용 카테고리'!$A$1:$B$59, 2, 0)</f>
        <v>BEVERAGE</v>
      </c>
      <c r="E3424" t="s">
        <v>5425</v>
      </c>
      <c r="F3424" t="s">
        <v>7851</v>
      </c>
    </row>
    <row r="3425" spans="1:6" x14ac:dyDescent="0.3">
      <c r="A3425" t="s">
        <v>5589</v>
      </c>
      <c r="B3425" t="str" cm="1">
        <f t="array" ref="B3425">_xlfn.XLOOKUP(C3425, INDEX([1]!카테고리매핑,,2), INDEX([1]!카테고리매핑,,1), "미등록 카테고리")</f>
        <v>과일/견과류</v>
      </c>
      <c r="C3425" t="s">
        <v>5029</v>
      </c>
      <c r="D3425" t="str">
        <f>VLOOKUP(C3425, '[1]VLOOKUP 함수용 카테고리'!$A$1:$B$59, 2, 0)</f>
        <v>SIMPLE_PROCESSED</v>
      </c>
      <c r="E3425" t="s">
        <v>5505</v>
      </c>
      <c r="F3425" t="s">
        <v>5506</v>
      </c>
    </row>
    <row r="3426" spans="1:6" x14ac:dyDescent="0.3">
      <c r="A3426" t="s">
        <v>5590</v>
      </c>
      <c r="B3426" t="str" cm="1">
        <f t="array" ref="B3426">_xlfn.XLOOKUP(C3426, INDEX([1]!카테고리매핑,,2), INDEX([1]!카테고리매핑,,1), "미등록 카테고리")</f>
        <v>간식류</v>
      </c>
      <c r="C3426" t="s">
        <v>11</v>
      </c>
      <c r="D3426" t="str">
        <f>VLOOKUP(C3426, '[1]VLOOKUP 함수용 카테고리'!$A$1:$B$59, 2, 0)</f>
        <v>SNACK</v>
      </c>
      <c r="E3426" t="s">
        <v>1482</v>
      </c>
      <c r="F3426" t="s">
        <v>7799</v>
      </c>
    </row>
    <row r="3427" spans="1:6" x14ac:dyDescent="0.3">
      <c r="A3427" t="s">
        <v>5591</v>
      </c>
      <c r="B3427" t="str" cm="1">
        <f t="array" ref="B3427">_xlfn.XLOOKUP(C3427, INDEX([1]!카테고리매핑,,2), INDEX([1]!카테고리매핑,,1), "미등록 카테고리")</f>
        <v>간식류</v>
      </c>
      <c r="C3427" t="s">
        <v>38</v>
      </c>
      <c r="D3427" t="str">
        <f>VLOOKUP(C3427, '[1]VLOOKUP 함수용 카테고리'!$A$1:$B$59, 2, 0)</f>
        <v>SNACK</v>
      </c>
      <c r="E3427" t="s">
        <v>39</v>
      </c>
      <c r="F3427" t="s">
        <v>246</v>
      </c>
    </row>
    <row r="3428" spans="1:6" x14ac:dyDescent="0.3">
      <c r="A3428" t="s">
        <v>5592</v>
      </c>
      <c r="B3428" t="str" cm="1">
        <f t="array" ref="B3428">_xlfn.XLOOKUP(C3428, INDEX([1]!카테고리매핑,,2), INDEX([1]!카테고리매핑,,1), "미등록 카테고리")</f>
        <v>육류/계란</v>
      </c>
      <c r="C3428" t="s">
        <v>428</v>
      </c>
      <c r="D3428" t="str">
        <f>VLOOKUP(C3428, '[1]VLOOKUP 함수용 카테고리'!$A$1:$B$59, 2, 0)</f>
        <v>PROCESSED_MEAT</v>
      </c>
      <c r="E3428" t="s">
        <v>790</v>
      </c>
      <c r="F3428" t="s">
        <v>5593</v>
      </c>
    </row>
    <row r="3429" spans="1:6" x14ac:dyDescent="0.3">
      <c r="A3429" t="s">
        <v>5594</v>
      </c>
      <c r="B3429" t="str" cm="1">
        <f t="array" ref="B3429">_xlfn.XLOOKUP(C3429, INDEX([1]!카테고리매핑,,2), INDEX([1]!카테고리매핑,,1), "미등록 카테고리")</f>
        <v>육류/계란</v>
      </c>
      <c r="C3429" t="s">
        <v>105</v>
      </c>
      <c r="D3429" t="str">
        <f>VLOOKUP(C3429, '[1]VLOOKUP 함수용 카테고리'!$A$1:$B$59, 2, 0)</f>
        <v>RAW_MEAT</v>
      </c>
      <c r="E3429" t="s">
        <v>5595</v>
      </c>
      <c r="F3429" t="s">
        <v>151</v>
      </c>
    </row>
    <row r="3430" spans="1:6" x14ac:dyDescent="0.3">
      <c r="A3430" t="s">
        <v>5596</v>
      </c>
      <c r="B3430" t="str" cm="1">
        <f t="array" ref="B3430">_xlfn.XLOOKUP(C3430, INDEX([1]!카테고리매핑,,2), INDEX([1]!카테고리매핑,,1), "미등록 카테고리")</f>
        <v>간편식</v>
      </c>
      <c r="C3430" t="s">
        <v>131</v>
      </c>
      <c r="D3430" t="str">
        <f>VLOOKUP(C3430, '[1]VLOOKUP 함수용 카테고리'!$A$1:$B$59, 2, 0)</f>
        <v>SIMPLE_PROCESSED</v>
      </c>
      <c r="E3430" t="s">
        <v>2792</v>
      </c>
      <c r="F3430" t="s">
        <v>928</v>
      </c>
    </row>
    <row r="3431" spans="1:6" x14ac:dyDescent="0.3">
      <c r="A3431" t="s">
        <v>5597</v>
      </c>
      <c r="B3431" t="str" cm="1">
        <f t="array" ref="B3431">_xlfn.XLOOKUP(C3431, INDEX([1]!카테고리매핑,,2), INDEX([1]!카테고리매핑,,1), "미등록 카테고리")</f>
        <v>간식류</v>
      </c>
      <c r="C3431" t="s">
        <v>38</v>
      </c>
      <c r="D3431" t="str">
        <f>VLOOKUP(C3431, '[1]VLOOKUP 함수용 카테고리'!$A$1:$B$59, 2, 0)</f>
        <v>SNACK</v>
      </c>
      <c r="E3431" t="s">
        <v>5598</v>
      </c>
      <c r="F3431" t="s">
        <v>7796</v>
      </c>
    </row>
    <row r="3432" spans="1:6" x14ac:dyDescent="0.3">
      <c r="A3432" t="s">
        <v>5599</v>
      </c>
      <c r="B3432" t="str" cm="1">
        <f t="array" ref="B3432">_xlfn.XLOOKUP(C3432, INDEX([1]!카테고리매핑,,2), INDEX([1]!카테고리매핑,,1), "미등록 카테고리")</f>
        <v>채소/곡물류</v>
      </c>
      <c r="C3432" t="s">
        <v>7</v>
      </c>
      <c r="D3432" t="str">
        <f>VLOOKUP(C3432, '[1]VLOOKUP 함수용 카테고리'!$A$1:$B$59, 2, 0)</f>
        <v>RAW_PRODUCE</v>
      </c>
      <c r="E3432" t="s">
        <v>1058</v>
      </c>
      <c r="F3432" t="s">
        <v>4693</v>
      </c>
    </row>
    <row r="3433" spans="1:6" x14ac:dyDescent="0.3">
      <c r="A3433" t="s">
        <v>5600</v>
      </c>
      <c r="B3433" t="str" cm="1">
        <f t="array" ref="B3433">_xlfn.XLOOKUP(C3433, INDEX([1]!카테고리매핑,,2), INDEX([1]!카테고리매핑,,1), "미등록 카테고리")</f>
        <v>술</v>
      </c>
      <c r="C3433" t="s">
        <v>56</v>
      </c>
      <c r="D3433" t="str">
        <f>VLOOKUP(C3433, '[1]VLOOKUP 함수용 카테고리'!$A$1:$B$59, 2, 0)</f>
        <v>ALCOHOL</v>
      </c>
      <c r="E3433" t="s">
        <v>505</v>
      </c>
    </row>
    <row r="3434" spans="1:6" x14ac:dyDescent="0.3">
      <c r="A3434" t="s">
        <v>5601</v>
      </c>
      <c r="B3434" t="str" cm="1">
        <f t="array" ref="B3434">_xlfn.XLOOKUP(C3434, INDEX([1]!카테고리매핑,,2), INDEX([1]!카테고리매핑,,1), "미등록 카테고리")</f>
        <v>술</v>
      </c>
      <c r="C3434" t="s">
        <v>411</v>
      </c>
      <c r="D3434" t="str">
        <f>VLOOKUP(C3434, '[1]VLOOKUP 함수용 카테고리'!$A$1:$B$59, 2, 0)</f>
        <v>ALCOHOL</v>
      </c>
      <c r="E3434" t="s">
        <v>1159</v>
      </c>
      <c r="F3434" t="s">
        <v>411</v>
      </c>
    </row>
    <row r="3435" spans="1:6" x14ac:dyDescent="0.3">
      <c r="A3435" t="s">
        <v>5602</v>
      </c>
      <c r="B3435" t="str" cm="1">
        <f t="array" ref="B3435">_xlfn.XLOOKUP(C3435, INDEX([1]!카테고리매핑,,2), INDEX([1]!카테고리매핑,,1), "미등록 카테고리")</f>
        <v>간편식</v>
      </c>
      <c r="C3435" t="s">
        <v>161</v>
      </c>
      <c r="D3435" t="str">
        <f>VLOOKUP(C3435, '[1]VLOOKUP 함수용 카테고리'!$A$1:$B$59, 2, 0)</f>
        <v>RTC_MEAL</v>
      </c>
      <c r="E3435" t="s">
        <v>5603</v>
      </c>
      <c r="F3435" t="s">
        <v>4060</v>
      </c>
    </row>
    <row r="3436" spans="1:6" x14ac:dyDescent="0.3">
      <c r="A3436" t="s">
        <v>5604</v>
      </c>
      <c r="B3436" t="str" cm="1">
        <f t="array" ref="B3436">_xlfn.XLOOKUP(C3436, INDEX([1]!카테고리매핑,,2), INDEX([1]!카테고리매핑,,1), "미등록 카테고리")</f>
        <v>간편식</v>
      </c>
      <c r="C3436" t="s">
        <v>131</v>
      </c>
      <c r="D3436" t="str">
        <f>VLOOKUP(C3436, '[1]VLOOKUP 함수용 카테고리'!$A$1:$B$59, 2, 0)</f>
        <v>SIMPLE_PROCESSED</v>
      </c>
      <c r="E3436" t="s">
        <v>236</v>
      </c>
      <c r="F3436" t="s">
        <v>461</v>
      </c>
    </row>
    <row r="3437" spans="1:6" x14ac:dyDescent="0.3">
      <c r="A3437" t="s">
        <v>5605</v>
      </c>
      <c r="B3437" t="str" cm="1">
        <f t="array" ref="B3437">_xlfn.XLOOKUP(C3437, INDEX([1]!카테고리매핑,,2), INDEX([1]!카테고리매핑,,1), "미등록 카테고리")</f>
        <v>간편식</v>
      </c>
      <c r="C3437" t="s">
        <v>46</v>
      </c>
      <c r="D3437" t="str">
        <f>VLOOKUP(C3437, '[1]VLOOKUP 함수용 카테고리'!$A$1:$B$59, 2, 0)</f>
        <v>RTC_MEAL</v>
      </c>
      <c r="E3437" t="s">
        <v>46</v>
      </c>
      <c r="F3437" t="s">
        <v>36</v>
      </c>
    </row>
    <row r="3438" spans="1:6" x14ac:dyDescent="0.3">
      <c r="A3438" t="s">
        <v>5606</v>
      </c>
      <c r="B3438" t="str" cm="1">
        <f t="array" ref="B3438">_xlfn.XLOOKUP(C3438, INDEX([1]!카테고리매핑,,2), INDEX([1]!카테고리매핑,,1), "미등록 카테고리")</f>
        <v>술</v>
      </c>
      <c r="C3438" t="s">
        <v>411</v>
      </c>
      <c r="D3438" t="str">
        <f>VLOOKUP(C3438, '[1]VLOOKUP 함수용 카테고리'!$A$1:$B$59, 2, 0)</f>
        <v>ALCOHOL</v>
      </c>
      <c r="E3438" t="s">
        <v>1159</v>
      </c>
      <c r="F3438" t="s">
        <v>411</v>
      </c>
    </row>
    <row r="3439" spans="1:6" x14ac:dyDescent="0.3">
      <c r="A3439" t="s">
        <v>5607</v>
      </c>
      <c r="B3439" t="str" cm="1">
        <f t="array" ref="B3439">_xlfn.XLOOKUP(C3439, INDEX([1]!카테고리매핑,,2), INDEX([1]!카테고리매핑,,1), "미등록 카테고리")</f>
        <v>간식류</v>
      </c>
      <c r="C3439" t="s">
        <v>15</v>
      </c>
      <c r="D3439" t="str">
        <f>VLOOKUP(C3439, '[1]VLOOKUP 함수용 카테고리'!$A$1:$B$59, 2, 0)</f>
        <v>BAKERY</v>
      </c>
      <c r="E3439" t="s">
        <v>53</v>
      </c>
      <c r="F3439" t="s">
        <v>5608</v>
      </c>
    </row>
    <row r="3440" spans="1:6" x14ac:dyDescent="0.3">
      <c r="A3440" t="s">
        <v>5609</v>
      </c>
      <c r="B3440" t="str" cm="1">
        <f t="array" ref="B3440">_xlfn.XLOOKUP(C3440, INDEX([1]!카테고리매핑,,2), INDEX([1]!카테고리매핑,,1), "미등록 카테고리")</f>
        <v>간편식</v>
      </c>
      <c r="C3440" t="s">
        <v>19</v>
      </c>
      <c r="D3440" t="str">
        <f>VLOOKUP(C3440, '[1]VLOOKUP 함수용 카테고리'!$A$1:$B$59, 2, 0)</f>
        <v>FROZEN_MEAL</v>
      </c>
      <c r="E3440" t="s">
        <v>1430</v>
      </c>
      <c r="F3440" t="s">
        <v>2831</v>
      </c>
    </row>
    <row r="3441" spans="1:6" x14ac:dyDescent="0.3">
      <c r="A3441" t="s">
        <v>5610</v>
      </c>
      <c r="B3441" t="str" cm="1">
        <f t="array" ref="B3441">_xlfn.XLOOKUP(C3441, INDEX([1]!카테고리매핑,,2), INDEX([1]!카테고리매핑,,1), "미등록 카테고리")</f>
        <v>간식류</v>
      </c>
      <c r="C3441" t="s">
        <v>63</v>
      </c>
      <c r="D3441" t="str">
        <f>VLOOKUP(C3441, '[1]VLOOKUP 함수용 카테고리'!$A$1:$B$59, 2, 0)</f>
        <v>BAKERY</v>
      </c>
      <c r="E3441" t="s">
        <v>2246</v>
      </c>
      <c r="F3441" t="s">
        <v>937</v>
      </c>
    </row>
    <row r="3442" spans="1:6" x14ac:dyDescent="0.3">
      <c r="A3442" t="s">
        <v>5611</v>
      </c>
      <c r="B3442" t="str" cm="1">
        <f t="array" ref="B3442">_xlfn.XLOOKUP(C3442, INDEX([1]!카테고리매핑,,2), INDEX([1]!카테고리매핑,,1), "미등록 카테고리")</f>
        <v>간편식</v>
      </c>
      <c r="C3442" t="s">
        <v>131</v>
      </c>
      <c r="D3442" t="str">
        <f>VLOOKUP(C3442, '[1]VLOOKUP 함수용 카테고리'!$A$1:$B$59, 2, 0)</f>
        <v>SIMPLE_PROCESSED</v>
      </c>
      <c r="E3442" t="s">
        <v>5612</v>
      </c>
      <c r="F3442" t="s">
        <v>928</v>
      </c>
    </row>
    <row r="3443" spans="1:6" x14ac:dyDescent="0.3">
      <c r="A3443" t="s">
        <v>5613</v>
      </c>
      <c r="B3443" t="str" cm="1">
        <f t="array" ref="B3443">_xlfn.XLOOKUP(C3443, INDEX([1]!카테고리매핑,,2), INDEX([1]!카테고리매핑,,1), "미등록 카테고리")</f>
        <v>간편식</v>
      </c>
      <c r="C3443" t="s">
        <v>161</v>
      </c>
      <c r="D3443" t="str">
        <f>VLOOKUP(C3443, '[1]VLOOKUP 함수용 카테고리'!$A$1:$B$59, 2, 0)</f>
        <v>RTC_MEAL</v>
      </c>
      <c r="E3443" t="s">
        <v>162</v>
      </c>
      <c r="F3443" t="s">
        <v>977</v>
      </c>
    </row>
    <row r="3444" spans="1:6" x14ac:dyDescent="0.3">
      <c r="A3444" t="s">
        <v>5614</v>
      </c>
      <c r="B3444" t="str" cm="1">
        <f t="array" ref="B3444">_xlfn.XLOOKUP(C3444, INDEX([1]!카테고리매핑,,2), INDEX([1]!카테고리매핑,,1), "미등록 카테고리")</f>
        <v>채소/곡물류</v>
      </c>
      <c r="C3444" t="s">
        <v>27</v>
      </c>
      <c r="D3444" t="str">
        <f>VLOOKUP(C3444, '[1]VLOOKUP 함수용 카테고리'!$A$1:$B$59, 2, 0)</f>
        <v>SIMPLE_PROCESSED</v>
      </c>
      <c r="E3444" t="s">
        <v>28</v>
      </c>
      <c r="F3444" t="s">
        <v>350</v>
      </c>
    </row>
    <row r="3445" spans="1:6" x14ac:dyDescent="0.3">
      <c r="A3445" t="s">
        <v>5615</v>
      </c>
      <c r="B3445" t="str" cm="1">
        <f t="array" ref="B3445">_xlfn.XLOOKUP(C3445, INDEX([1]!카테고리매핑,,2), INDEX([1]!카테고리매핑,,1), "미등록 카테고리")</f>
        <v>채소/곡물류</v>
      </c>
      <c r="C3445" t="s">
        <v>7</v>
      </c>
      <c r="D3445" t="str">
        <f>VLOOKUP(C3445, '[1]VLOOKUP 함수용 카테고리'!$A$1:$B$59, 2, 0)</f>
        <v>RAW_PRODUCE</v>
      </c>
      <c r="E3445" t="s">
        <v>940</v>
      </c>
      <c r="F3445" t="s">
        <v>3065</v>
      </c>
    </row>
    <row r="3446" spans="1:6" x14ac:dyDescent="0.3">
      <c r="A3446" t="s">
        <v>5616</v>
      </c>
      <c r="B3446" t="str" cm="1">
        <f t="array" ref="B3446">_xlfn.XLOOKUP(C3446, INDEX([1]!카테고리매핑,,2), INDEX([1]!카테고리매핑,,1), "미등록 카테고리")</f>
        <v>조미료</v>
      </c>
      <c r="C3446" t="s">
        <v>117</v>
      </c>
      <c r="D3446" t="str">
        <f>VLOOKUP(C3446, '[1]VLOOKUP 함수용 카테고리'!$A$1:$B$59, 2, 0)</f>
        <v>SAUCE_SEASONING</v>
      </c>
      <c r="E3446" t="s">
        <v>645</v>
      </c>
      <c r="F3446" t="s">
        <v>4733</v>
      </c>
    </row>
    <row r="3447" spans="1:6" x14ac:dyDescent="0.3">
      <c r="A3447" t="s">
        <v>5617</v>
      </c>
      <c r="B3447" t="str" cm="1">
        <f t="array" ref="B3447">_xlfn.XLOOKUP(C3447, INDEX([1]!카테고리매핑,,2), INDEX([1]!카테고리매핑,,1), "미등록 카테고리")</f>
        <v>채소/곡물류</v>
      </c>
      <c r="C3447" t="s">
        <v>7</v>
      </c>
      <c r="D3447" t="str">
        <f>VLOOKUP(C3447, '[1]VLOOKUP 함수용 카테고리'!$A$1:$B$59, 2, 0)</f>
        <v>RAW_PRODUCE</v>
      </c>
      <c r="E3447" t="s">
        <v>3054</v>
      </c>
    </row>
    <row r="3448" spans="1:6" x14ac:dyDescent="0.3">
      <c r="A3448" t="s">
        <v>5618</v>
      </c>
      <c r="B3448" t="str" cm="1">
        <f t="array" ref="B3448">_xlfn.XLOOKUP(C3448, INDEX([1]!카테고리매핑,,2), INDEX([1]!카테고리매핑,,1), "미등록 카테고리")</f>
        <v>음료</v>
      </c>
      <c r="C3448" t="s">
        <v>23</v>
      </c>
      <c r="D3448" t="str">
        <f>VLOOKUP(C3448, '[1]VLOOKUP 함수용 카테고리'!$A$1:$B$59, 2, 0)</f>
        <v>BEVERAGE</v>
      </c>
      <c r="E3448" t="s">
        <v>24</v>
      </c>
      <c r="F3448" t="s">
        <v>5619</v>
      </c>
    </row>
    <row r="3449" spans="1:6" x14ac:dyDescent="0.3">
      <c r="A3449" t="s">
        <v>5620</v>
      </c>
      <c r="B3449" t="str" cm="1">
        <f t="array" ref="B3449">_xlfn.XLOOKUP(C3449, INDEX([1]!카테고리매핑,,2), INDEX([1]!카테고리매핑,,1), "미등록 카테고리")</f>
        <v>채소/곡물류</v>
      </c>
      <c r="C3449" t="s">
        <v>164</v>
      </c>
      <c r="D3449" t="str">
        <f>VLOOKUP(C3449, '[1]VLOOKUP 함수용 카테고리'!$A$1:$B$59, 2, 0)</f>
        <v>RAW_PRODUCE</v>
      </c>
      <c r="E3449" t="s">
        <v>165</v>
      </c>
      <c r="F3449" t="s">
        <v>332</v>
      </c>
    </row>
    <row r="3450" spans="1:6" x14ac:dyDescent="0.3">
      <c r="A3450" t="s">
        <v>5621</v>
      </c>
      <c r="B3450" t="str" cm="1">
        <f t="array" ref="B3450">_xlfn.XLOOKUP(C3450, INDEX([1]!카테고리매핑,,2), INDEX([1]!카테고리매핑,,1), "미등록 카테고리")</f>
        <v>조미료</v>
      </c>
      <c r="C3450" t="s">
        <v>127</v>
      </c>
      <c r="D3450" t="str">
        <f>VLOOKUP(C3450, '[1]VLOOKUP 함수용 카테고리'!$A$1:$B$59, 2, 0)</f>
        <v>SAUCE_SEASONING</v>
      </c>
      <c r="E3450" t="s">
        <v>5622</v>
      </c>
      <c r="F3450" t="s">
        <v>646</v>
      </c>
    </row>
    <row r="3451" spans="1:6" x14ac:dyDescent="0.3">
      <c r="A3451" t="s">
        <v>5623</v>
      </c>
      <c r="B3451" t="str" cm="1">
        <f t="array" ref="B3451">_xlfn.XLOOKUP(C3451, INDEX([1]!카테고리매핑,,2), INDEX([1]!카테고리매핑,,1), "미등록 카테고리")</f>
        <v>간식류</v>
      </c>
      <c r="C3451" t="s">
        <v>15</v>
      </c>
      <c r="D3451" t="str">
        <f>VLOOKUP(C3451, '[1]VLOOKUP 함수용 카테고리'!$A$1:$B$59, 2, 0)</f>
        <v>BAKERY</v>
      </c>
      <c r="E3451" t="s">
        <v>1787</v>
      </c>
      <c r="F3451" t="s">
        <v>5624</v>
      </c>
    </row>
    <row r="3452" spans="1:6" x14ac:dyDescent="0.3">
      <c r="A3452" t="s">
        <v>5625</v>
      </c>
      <c r="B3452" t="str" cm="1">
        <f t="array" ref="B3452">_xlfn.XLOOKUP(C3452, INDEX([1]!카테고리매핑,,2), INDEX([1]!카테고리매핑,,1), "미등록 카테고리")</f>
        <v>음료</v>
      </c>
      <c r="C3452" t="s">
        <v>23</v>
      </c>
      <c r="D3452" t="str">
        <f>VLOOKUP(C3452, '[1]VLOOKUP 함수용 카테고리'!$A$1:$B$59, 2, 0)</f>
        <v>BEVERAGE</v>
      </c>
      <c r="E3452" t="s">
        <v>1156</v>
      </c>
      <c r="F3452" t="s">
        <v>475</v>
      </c>
    </row>
    <row r="3453" spans="1:6" x14ac:dyDescent="0.3">
      <c r="A3453" t="s">
        <v>5626</v>
      </c>
      <c r="B3453" t="str" cm="1">
        <f t="array" ref="B3453">_xlfn.XLOOKUP(C3453, INDEX([1]!카테고리매핑,,2), INDEX([1]!카테고리매핑,,1), "미등록 카테고리")</f>
        <v>술</v>
      </c>
      <c r="C3453" t="s">
        <v>42</v>
      </c>
      <c r="D3453" t="str">
        <f>VLOOKUP(C3453, '[1]VLOOKUP 함수용 카테고리'!$A$1:$B$59, 2, 0)</f>
        <v>ALCOHOL</v>
      </c>
      <c r="E3453" t="s">
        <v>4674</v>
      </c>
    </row>
    <row r="3454" spans="1:6" x14ac:dyDescent="0.3">
      <c r="A3454" t="s">
        <v>5627</v>
      </c>
      <c r="B3454" t="str" cm="1">
        <f t="array" ref="B3454">_xlfn.XLOOKUP(C3454, INDEX([1]!카테고리매핑,,2), INDEX([1]!카테고리매핑,,1), "미등록 카테고리")</f>
        <v>유제품</v>
      </c>
      <c r="C3454" t="s">
        <v>98</v>
      </c>
      <c r="D3454" t="str">
        <f>VLOOKUP(C3454, '[1]VLOOKUP 함수용 카테고리'!$A$1:$B$59, 2, 0)</f>
        <v>DAIRY</v>
      </c>
      <c r="E3454" t="s">
        <v>98</v>
      </c>
      <c r="F3454" t="s">
        <v>5628</v>
      </c>
    </row>
    <row r="3455" spans="1:6" x14ac:dyDescent="0.3">
      <c r="A3455" t="s">
        <v>5629</v>
      </c>
      <c r="B3455" t="str" cm="1">
        <f t="array" ref="B3455">_xlfn.XLOOKUP(C3455, INDEX([1]!카테고리매핑,,2), INDEX([1]!카테고리매핑,,1), "미등록 카테고리")</f>
        <v>간편식</v>
      </c>
      <c r="C3455" t="s">
        <v>256</v>
      </c>
      <c r="D3455" t="str">
        <f>VLOOKUP(C3455, '[1]VLOOKUP 함수용 카테고리'!$A$1:$B$59, 2, 0)</f>
        <v>RTC_MEAL</v>
      </c>
      <c r="E3455" t="s">
        <v>256</v>
      </c>
      <c r="F3455" t="s">
        <v>350</v>
      </c>
    </row>
    <row r="3456" spans="1:6" x14ac:dyDescent="0.3">
      <c r="A3456" t="s">
        <v>5630</v>
      </c>
      <c r="B3456" t="str" cm="1">
        <f t="array" ref="B3456">_xlfn.XLOOKUP(C3456, INDEX([1]!카테고리매핑,,2), INDEX([1]!카테고리매핑,,1), "미등록 카테고리")</f>
        <v>술</v>
      </c>
      <c r="C3456" t="s">
        <v>411</v>
      </c>
      <c r="D3456" t="str">
        <f>VLOOKUP(C3456, '[1]VLOOKUP 함수용 카테고리'!$A$1:$B$59, 2, 0)</f>
        <v>ALCOHOL</v>
      </c>
      <c r="E3456" t="s">
        <v>1753</v>
      </c>
      <c r="F3456" t="s">
        <v>411</v>
      </c>
    </row>
    <row r="3457" spans="1:6" x14ac:dyDescent="0.3">
      <c r="A3457" t="s">
        <v>5631</v>
      </c>
      <c r="B3457" t="str" cm="1">
        <f t="array" ref="B3457">_xlfn.XLOOKUP(C3457, INDEX([1]!카테고리매핑,,2), INDEX([1]!카테고리매핑,,1), "미등록 카테고리")</f>
        <v>조미료</v>
      </c>
      <c r="C3457" t="s">
        <v>127</v>
      </c>
      <c r="D3457" t="str">
        <f>VLOOKUP(C3457, '[1]VLOOKUP 함수용 카테고리'!$A$1:$B$59, 2, 0)</f>
        <v>SAUCE_SEASONING</v>
      </c>
      <c r="E3457" t="s">
        <v>5632</v>
      </c>
      <c r="F3457" t="s">
        <v>359</v>
      </c>
    </row>
    <row r="3458" spans="1:6" x14ac:dyDescent="0.3">
      <c r="A3458" t="s">
        <v>5633</v>
      </c>
      <c r="B3458" t="str" cm="1">
        <f t="array" ref="B3458">_xlfn.XLOOKUP(C3458, INDEX([1]!카테고리매핑,,2), INDEX([1]!카테고리매핑,,1), "미등록 카테고리")</f>
        <v>채소/곡물류</v>
      </c>
      <c r="C3458" t="s">
        <v>7</v>
      </c>
      <c r="D3458" t="str">
        <f>VLOOKUP(C3458, '[1]VLOOKUP 함수용 카테고리'!$A$1:$B$59, 2, 0)</f>
        <v>RAW_PRODUCE</v>
      </c>
      <c r="E3458" t="s">
        <v>1913</v>
      </c>
    </row>
    <row r="3459" spans="1:6" x14ac:dyDescent="0.3">
      <c r="A3459" t="s">
        <v>5634</v>
      </c>
      <c r="B3459" t="str" cm="1">
        <f t="array" ref="B3459">_xlfn.XLOOKUP(C3459, INDEX([1]!카테고리매핑,,2), INDEX([1]!카테고리매핑,,1), "미등록 카테고리")</f>
        <v>음료</v>
      </c>
      <c r="C3459" t="s">
        <v>23</v>
      </c>
      <c r="D3459" t="str">
        <f>VLOOKUP(C3459, '[1]VLOOKUP 함수용 카테고리'!$A$1:$B$59, 2, 0)</f>
        <v>BEVERAGE</v>
      </c>
      <c r="E3459" t="s">
        <v>323</v>
      </c>
      <c r="F3459" t="s">
        <v>5635</v>
      </c>
    </row>
    <row r="3460" spans="1:6" x14ac:dyDescent="0.3">
      <c r="A3460" t="s">
        <v>5636</v>
      </c>
      <c r="B3460" t="str" cm="1">
        <f t="array" ref="B3460">_xlfn.XLOOKUP(C3460, INDEX([1]!카테고리매핑,,2), INDEX([1]!카테고리매핑,,1), "미등록 카테고리")</f>
        <v>육류/계란</v>
      </c>
      <c r="C3460" t="s">
        <v>105</v>
      </c>
      <c r="D3460" t="str">
        <f>VLOOKUP(C3460, '[1]VLOOKUP 함수용 카테고리'!$A$1:$B$59, 2, 0)</f>
        <v>RAW_MEAT</v>
      </c>
      <c r="E3460" t="s">
        <v>5595</v>
      </c>
      <c r="F3460" t="s">
        <v>1408</v>
      </c>
    </row>
    <row r="3461" spans="1:6" x14ac:dyDescent="0.3">
      <c r="A3461" t="s">
        <v>5637</v>
      </c>
      <c r="B3461" t="str" cm="1">
        <f t="array" ref="B3461">_xlfn.XLOOKUP(C3461, INDEX([1]!카테고리매핑,,2), INDEX([1]!카테고리매핑,,1), "미등록 카테고리")</f>
        <v>육류/계란</v>
      </c>
      <c r="C3461" t="s">
        <v>428</v>
      </c>
      <c r="D3461" t="str">
        <f>VLOOKUP(C3461, '[1]VLOOKUP 함수용 카테고리'!$A$1:$B$59, 2, 0)</f>
        <v>PROCESSED_MEAT</v>
      </c>
      <c r="E3461" t="s">
        <v>790</v>
      </c>
      <c r="F3461" t="s">
        <v>303</v>
      </c>
    </row>
    <row r="3462" spans="1:6" x14ac:dyDescent="0.3">
      <c r="A3462" t="s">
        <v>5638</v>
      </c>
      <c r="B3462" t="str" cm="1">
        <f t="array" ref="B3462">_xlfn.XLOOKUP(C3462, INDEX([1]!카테고리매핑,,2), INDEX([1]!카테고리매핑,,1), "미등록 카테고리")</f>
        <v>음료</v>
      </c>
      <c r="C3462" t="s">
        <v>23</v>
      </c>
      <c r="D3462" t="str">
        <f>VLOOKUP(C3462, '[1]VLOOKUP 함수용 카테고리'!$A$1:$B$59, 2, 0)</f>
        <v>BEVERAGE</v>
      </c>
      <c r="E3462" t="s">
        <v>355</v>
      </c>
      <c r="F3462" t="s">
        <v>375</v>
      </c>
    </row>
    <row r="3463" spans="1:6" x14ac:dyDescent="0.3">
      <c r="A3463" t="s">
        <v>5639</v>
      </c>
      <c r="B3463" t="str" cm="1">
        <f t="array" ref="B3463">_xlfn.XLOOKUP(C3463, INDEX([1]!카테고리매핑,,2), INDEX([1]!카테고리매핑,,1), "미등록 카테고리")</f>
        <v>술</v>
      </c>
      <c r="C3463" t="s">
        <v>411</v>
      </c>
      <c r="D3463" t="str">
        <f>VLOOKUP(C3463, '[1]VLOOKUP 함수용 카테고리'!$A$1:$B$59, 2, 0)</f>
        <v>ALCOHOL</v>
      </c>
      <c r="E3463" t="s">
        <v>1753</v>
      </c>
      <c r="F3463" t="s">
        <v>411</v>
      </c>
    </row>
    <row r="3464" spans="1:6" x14ac:dyDescent="0.3">
      <c r="A3464" t="s">
        <v>5640</v>
      </c>
      <c r="B3464" t="str" cm="1">
        <f t="array" ref="B3464">_xlfn.XLOOKUP(C3464, INDEX([1]!카테고리매핑,,2), INDEX([1]!카테고리매핑,,1), "미등록 카테고리")</f>
        <v>채소/곡물류</v>
      </c>
      <c r="C3464" t="s">
        <v>7</v>
      </c>
      <c r="D3464" t="str">
        <f>VLOOKUP(C3464, '[1]VLOOKUP 함수용 카테고리'!$A$1:$B$59, 2, 0)</f>
        <v>RAW_PRODUCE</v>
      </c>
      <c r="E3464" t="s">
        <v>960</v>
      </c>
    </row>
    <row r="3465" spans="1:6" x14ac:dyDescent="0.3">
      <c r="A3465" t="s">
        <v>5641</v>
      </c>
      <c r="B3465" t="str" cm="1">
        <f t="array" ref="B3465">_xlfn.XLOOKUP(C3465, INDEX([1]!카테고리매핑,,2), INDEX([1]!카테고리매핑,,1), "미등록 카테고리")</f>
        <v>간식류</v>
      </c>
      <c r="C3465" t="s">
        <v>11</v>
      </c>
      <c r="D3465" t="str">
        <f>VLOOKUP(C3465, '[1]VLOOKUP 함수용 카테고리'!$A$1:$B$59, 2, 0)</f>
        <v>SNACK</v>
      </c>
      <c r="E3465" t="s">
        <v>4826</v>
      </c>
      <c r="F3465" t="s">
        <v>5642</v>
      </c>
    </row>
    <row r="3466" spans="1:6" x14ac:dyDescent="0.3">
      <c r="A3466" t="s">
        <v>5643</v>
      </c>
      <c r="B3466" t="str" cm="1">
        <f t="array" ref="B3466">_xlfn.XLOOKUP(C3466, INDEX([1]!카테고리매핑,,2), INDEX([1]!카테고리매핑,,1), "미등록 카테고리")</f>
        <v>육류/계란</v>
      </c>
      <c r="C3466" t="s">
        <v>34</v>
      </c>
      <c r="D3466" t="str">
        <f>VLOOKUP(C3466, '[1]VLOOKUP 함수용 카테고리'!$A$1:$B$59, 2, 0)</f>
        <v>RAW_MEAT</v>
      </c>
      <c r="E3466" t="s">
        <v>35</v>
      </c>
      <c r="F3466" t="s">
        <v>5644</v>
      </c>
    </row>
    <row r="3467" spans="1:6" x14ac:dyDescent="0.3">
      <c r="A3467" t="s">
        <v>5645</v>
      </c>
      <c r="B3467" t="str" cm="1">
        <f t="array" ref="B3467">_xlfn.XLOOKUP(C3467, INDEX([1]!카테고리매핑,,2), INDEX([1]!카테고리매핑,,1), "미등록 카테고리")</f>
        <v>간편식</v>
      </c>
      <c r="C3467" t="s">
        <v>19</v>
      </c>
      <c r="D3467" t="str">
        <f>VLOOKUP(C3467, '[1]VLOOKUP 함수용 카테고리'!$A$1:$B$59, 2, 0)</f>
        <v>FROZEN_MEAL</v>
      </c>
      <c r="E3467" t="s">
        <v>4880</v>
      </c>
      <c r="F3467" t="s">
        <v>36</v>
      </c>
    </row>
    <row r="3468" spans="1:6" x14ac:dyDescent="0.3">
      <c r="A3468" t="s">
        <v>5646</v>
      </c>
      <c r="B3468" t="str" cm="1">
        <f t="array" ref="B3468">_xlfn.XLOOKUP(C3468, INDEX([1]!카테고리매핑,,2), INDEX([1]!카테고리매핑,,1), "미등록 카테고리")</f>
        <v>조미료</v>
      </c>
      <c r="C3468" t="s">
        <v>127</v>
      </c>
      <c r="D3468" t="str">
        <f>VLOOKUP(C3468, '[1]VLOOKUP 함수용 카테고리'!$A$1:$B$59, 2, 0)</f>
        <v>SAUCE_SEASONING</v>
      </c>
      <c r="E3468" t="s">
        <v>5647</v>
      </c>
      <c r="F3468" t="s">
        <v>2115</v>
      </c>
    </row>
    <row r="3469" spans="1:6" x14ac:dyDescent="0.3">
      <c r="A3469" t="s">
        <v>5648</v>
      </c>
      <c r="B3469" t="str" cm="1">
        <f t="array" ref="B3469">_xlfn.XLOOKUP(C3469, INDEX([1]!카테고리매핑,,2), INDEX([1]!카테고리매핑,,1), "미등록 카테고리")</f>
        <v>술</v>
      </c>
      <c r="C3469" t="s">
        <v>411</v>
      </c>
      <c r="D3469" t="str">
        <f>VLOOKUP(C3469, '[1]VLOOKUP 함수용 카테고리'!$A$1:$B$59, 2, 0)</f>
        <v>ALCOHOL</v>
      </c>
      <c r="E3469" t="s">
        <v>1753</v>
      </c>
      <c r="F3469" t="s">
        <v>411</v>
      </c>
    </row>
    <row r="3470" spans="1:6" x14ac:dyDescent="0.3">
      <c r="A3470" t="s">
        <v>5649</v>
      </c>
      <c r="B3470" t="str" cm="1">
        <f t="array" ref="B3470">_xlfn.XLOOKUP(C3470, INDEX([1]!카테고리매핑,,2), INDEX([1]!카테고리매핑,,1), "미등록 카테고리")</f>
        <v>육류/계란</v>
      </c>
      <c r="C3470" t="s">
        <v>428</v>
      </c>
      <c r="D3470" t="str">
        <f>VLOOKUP(C3470, '[1]VLOOKUP 함수용 카테고리'!$A$1:$B$59, 2, 0)</f>
        <v>PROCESSED_MEAT</v>
      </c>
      <c r="E3470" t="s">
        <v>804</v>
      </c>
      <c r="F3470" t="s">
        <v>282</v>
      </c>
    </row>
    <row r="3471" spans="1:6" x14ac:dyDescent="0.3">
      <c r="A3471" t="s">
        <v>5650</v>
      </c>
      <c r="B3471" t="str" cm="1">
        <f t="array" ref="B3471">_xlfn.XLOOKUP(C3471, INDEX([1]!카테고리매핑,,2), INDEX([1]!카테고리매핑,,1), "미등록 카테고리")</f>
        <v>조미료</v>
      </c>
      <c r="C3471" t="s">
        <v>83</v>
      </c>
      <c r="D3471" t="str">
        <f>VLOOKUP(C3471, '[1]VLOOKUP 함수용 카테고리'!$A$1:$B$59, 2, 0)</f>
        <v>SAUCE_SEASONING</v>
      </c>
      <c r="E3471" t="s">
        <v>5651</v>
      </c>
      <c r="F3471" t="s">
        <v>411</v>
      </c>
    </row>
    <row r="3472" spans="1:6" x14ac:dyDescent="0.3">
      <c r="A3472" t="s">
        <v>5652</v>
      </c>
      <c r="B3472" t="str" cm="1">
        <f t="array" ref="B3472">_xlfn.XLOOKUP(C3472, INDEX([1]!카테고리매핑,,2), INDEX([1]!카테고리매핑,,1), "미등록 카테고리")</f>
        <v>유제품</v>
      </c>
      <c r="C3472" t="s">
        <v>123</v>
      </c>
      <c r="D3472" t="str">
        <f>VLOOKUP(C3472, '[1]VLOOKUP 함수용 카테고리'!$A$1:$B$59, 2, 0)</f>
        <v>DAIRY</v>
      </c>
      <c r="E3472" t="s">
        <v>239</v>
      </c>
      <c r="F3472" t="s">
        <v>1043</v>
      </c>
    </row>
    <row r="3473" spans="1:6" x14ac:dyDescent="0.3">
      <c r="A3473" t="s">
        <v>5653</v>
      </c>
      <c r="B3473" t="str" cm="1">
        <f t="array" ref="B3473">_xlfn.XLOOKUP(C3473, INDEX([1]!카테고리매핑,,2), INDEX([1]!카테고리매핑,,1), "미등록 카테고리")</f>
        <v>유제품</v>
      </c>
      <c r="C3473" t="s">
        <v>123</v>
      </c>
      <c r="D3473" t="str">
        <f>VLOOKUP(C3473, '[1]VLOOKUP 함수용 카테고리'!$A$1:$B$59, 2, 0)</f>
        <v>DAIRY</v>
      </c>
      <c r="E3473" t="s">
        <v>239</v>
      </c>
      <c r="F3473" t="s">
        <v>5654</v>
      </c>
    </row>
    <row r="3474" spans="1:6" x14ac:dyDescent="0.3">
      <c r="A3474" t="s">
        <v>5655</v>
      </c>
      <c r="B3474" t="str" cm="1">
        <f t="array" ref="B3474">_xlfn.XLOOKUP(C3474, INDEX([1]!카테고리매핑,,2), INDEX([1]!카테고리매핑,,1), "미등록 카테고리")</f>
        <v>채소/곡물류</v>
      </c>
      <c r="C3474" t="s">
        <v>207</v>
      </c>
      <c r="D3474" t="str">
        <f>VLOOKUP(C3474, '[1]VLOOKUP 함수용 카테고리'!$A$1:$B$59, 2, 0)</f>
        <v>GRAIN</v>
      </c>
      <c r="E3474" t="s">
        <v>2588</v>
      </c>
      <c r="F3474" t="s">
        <v>381</v>
      </c>
    </row>
    <row r="3475" spans="1:6" x14ac:dyDescent="0.3">
      <c r="A3475" t="s">
        <v>5656</v>
      </c>
      <c r="B3475" t="str" cm="1">
        <f t="array" ref="B3475">_xlfn.XLOOKUP(C3475, INDEX([1]!카테고리매핑,,2), INDEX([1]!카테고리매핑,,1), "미등록 카테고리")</f>
        <v>간식류</v>
      </c>
      <c r="C3475" t="s">
        <v>11</v>
      </c>
      <c r="D3475" t="str">
        <f>VLOOKUP(C3475, '[1]VLOOKUP 함수용 카테고리'!$A$1:$B$59, 2, 0)</f>
        <v>SNACK</v>
      </c>
      <c r="E3475" t="s">
        <v>1261</v>
      </c>
      <c r="F3475" t="s">
        <v>1043</v>
      </c>
    </row>
    <row r="3476" spans="1:6" x14ac:dyDescent="0.3">
      <c r="A3476" t="s">
        <v>5657</v>
      </c>
      <c r="B3476" t="str" cm="1">
        <f t="array" ref="B3476">_xlfn.XLOOKUP(C3476, INDEX([1]!카테고리매핑,,2), INDEX([1]!카테고리매핑,,1), "미등록 카테고리")</f>
        <v>술</v>
      </c>
      <c r="C3476" t="s">
        <v>56</v>
      </c>
      <c r="D3476" t="str">
        <f>VLOOKUP(C3476, '[1]VLOOKUP 함수용 카테고리'!$A$1:$B$59, 2, 0)</f>
        <v>ALCOHOL</v>
      </c>
      <c r="E3476" t="s">
        <v>721</v>
      </c>
      <c r="F3476" t="s">
        <v>411</v>
      </c>
    </row>
    <row r="3477" spans="1:6" x14ac:dyDescent="0.3">
      <c r="A3477" t="s">
        <v>5658</v>
      </c>
      <c r="B3477" t="str" cm="1">
        <f t="array" ref="B3477">_xlfn.XLOOKUP(C3477, INDEX([1]!카테고리매핑,,2), INDEX([1]!카테고리매핑,,1), "미등록 카테고리")</f>
        <v>간식류</v>
      </c>
      <c r="C3477" t="s">
        <v>63</v>
      </c>
      <c r="D3477" t="str">
        <f>VLOOKUP(C3477, '[1]VLOOKUP 함수용 카테고리'!$A$1:$B$59, 2, 0)</f>
        <v>BAKERY</v>
      </c>
      <c r="E3477" t="s">
        <v>5133</v>
      </c>
      <c r="F3477" t="s">
        <v>4585</v>
      </c>
    </row>
    <row r="3478" spans="1:6" x14ac:dyDescent="0.3">
      <c r="A3478" t="s">
        <v>5659</v>
      </c>
      <c r="B3478" t="str" cm="1">
        <f t="array" ref="B3478">_xlfn.XLOOKUP(C3478, INDEX([1]!카테고리매핑,,2), INDEX([1]!카테고리매핑,,1), "미등록 카테고리")</f>
        <v>간편식</v>
      </c>
      <c r="C3478" t="s">
        <v>167</v>
      </c>
      <c r="D3478" t="str">
        <f>VLOOKUP(C3478, '[1]VLOOKUP 함수용 카테고리'!$A$1:$B$59, 2, 0)</f>
        <v>INSTANT</v>
      </c>
      <c r="E3478" t="s">
        <v>5660</v>
      </c>
      <c r="F3478" t="s">
        <v>129</v>
      </c>
    </row>
    <row r="3479" spans="1:6" x14ac:dyDescent="0.3">
      <c r="A3479" t="s">
        <v>5661</v>
      </c>
      <c r="B3479" t="str" cm="1">
        <f t="array" ref="B3479">_xlfn.XLOOKUP(C3479, INDEX([1]!카테고리매핑,,2), INDEX([1]!카테고리매핑,,1), "미등록 카테고리")</f>
        <v>수산물</v>
      </c>
      <c r="C3479" t="s">
        <v>183</v>
      </c>
      <c r="D3479" t="str">
        <f>VLOOKUP(C3479, '[1]VLOOKUP 함수용 카테고리'!$A$1:$B$59, 2, 0)</f>
        <v>DRIED_SEAFOOD</v>
      </c>
      <c r="E3479" t="s">
        <v>466</v>
      </c>
      <c r="F3479" t="s">
        <v>129</v>
      </c>
    </row>
    <row r="3480" spans="1:6" x14ac:dyDescent="0.3">
      <c r="A3480" t="s">
        <v>5662</v>
      </c>
      <c r="B3480" t="str" cm="1">
        <f t="array" ref="B3480">_xlfn.XLOOKUP(C3480, INDEX([1]!카테고리매핑,,2), INDEX([1]!카테고리매핑,,1), "미등록 카테고리")</f>
        <v>유제품</v>
      </c>
      <c r="C3480" t="s">
        <v>123</v>
      </c>
      <c r="D3480" t="str">
        <f>VLOOKUP(C3480, '[1]VLOOKUP 함수용 카테고리'!$A$1:$B$59, 2, 0)</f>
        <v>DAIRY</v>
      </c>
      <c r="E3480" t="s">
        <v>190</v>
      </c>
      <c r="F3480" t="s">
        <v>191</v>
      </c>
    </row>
    <row r="3481" spans="1:6" x14ac:dyDescent="0.3">
      <c r="A3481" t="s">
        <v>5663</v>
      </c>
      <c r="B3481" t="str" cm="1">
        <f t="array" ref="B3481">_xlfn.XLOOKUP(C3481, INDEX([1]!카테고리매핑,,2), INDEX([1]!카테고리매핑,,1), "미등록 카테고리")</f>
        <v>조미료</v>
      </c>
      <c r="C3481" t="s">
        <v>127</v>
      </c>
      <c r="D3481" t="str">
        <f>VLOOKUP(C3481, '[1]VLOOKUP 함수용 카테고리'!$A$1:$B$59, 2, 0)</f>
        <v>SAUCE_SEASONING</v>
      </c>
      <c r="E3481" t="s">
        <v>860</v>
      </c>
      <c r="F3481" t="s">
        <v>182</v>
      </c>
    </row>
    <row r="3482" spans="1:6" x14ac:dyDescent="0.3">
      <c r="A3482" t="s">
        <v>5664</v>
      </c>
      <c r="B3482" t="str" cm="1">
        <f t="array" ref="B3482">_xlfn.XLOOKUP(C3482, INDEX([1]!카테고리매핑,,2), INDEX([1]!카테고리매핑,,1), "미등록 카테고리")</f>
        <v>수산물</v>
      </c>
      <c r="C3482" t="s">
        <v>101</v>
      </c>
      <c r="D3482" t="str">
        <f>VLOOKUP(C3482, '[1]VLOOKUP 함수용 카테고리'!$A$1:$B$59, 2, 0)</f>
        <v>DRIED_SEAFOOD</v>
      </c>
      <c r="E3482" t="s">
        <v>601</v>
      </c>
      <c r="F3482" t="s">
        <v>1336</v>
      </c>
    </row>
    <row r="3483" spans="1:6" x14ac:dyDescent="0.3">
      <c r="A3483" t="s">
        <v>5665</v>
      </c>
      <c r="B3483" t="str" cm="1">
        <f t="array" ref="B3483">_xlfn.XLOOKUP(C3483, INDEX([1]!카테고리매핑,,2), INDEX([1]!카테고리매핑,,1), "미등록 카테고리")</f>
        <v>음료</v>
      </c>
      <c r="C3483" t="s">
        <v>23</v>
      </c>
      <c r="D3483" t="str">
        <f>VLOOKUP(C3483, '[1]VLOOKUP 함수용 카테고리'!$A$1:$B$59, 2, 0)</f>
        <v>BEVERAGE</v>
      </c>
      <c r="E3483" t="s">
        <v>323</v>
      </c>
      <c r="F3483" t="s">
        <v>5635</v>
      </c>
    </row>
    <row r="3484" spans="1:6" x14ac:dyDescent="0.3">
      <c r="A3484" t="s">
        <v>5666</v>
      </c>
      <c r="B3484" t="str" cm="1">
        <f t="array" ref="B3484">_xlfn.XLOOKUP(C3484, INDEX([1]!카테고리매핑,,2), INDEX([1]!카테고리매핑,,1), "미등록 카테고리")</f>
        <v>채소/곡물류</v>
      </c>
      <c r="C3484" t="s">
        <v>207</v>
      </c>
      <c r="D3484" t="str">
        <f>VLOOKUP(C3484, '[1]VLOOKUP 함수용 카테고리'!$A$1:$B$59, 2, 0)</f>
        <v>GRAIN</v>
      </c>
      <c r="E3484" t="s">
        <v>2588</v>
      </c>
      <c r="F3484" t="s">
        <v>129</v>
      </c>
    </row>
    <row r="3485" spans="1:6" x14ac:dyDescent="0.3">
      <c r="A3485" t="s">
        <v>5667</v>
      </c>
      <c r="B3485" t="str" cm="1">
        <f t="array" ref="B3485">_xlfn.XLOOKUP(C3485, INDEX([1]!카테고리매핑,,2), INDEX([1]!카테고리매핑,,1), "미등록 카테고리")</f>
        <v>간편식</v>
      </c>
      <c r="C3485" t="s">
        <v>131</v>
      </c>
      <c r="D3485" t="str">
        <f>VLOOKUP(C3485, '[1]VLOOKUP 함수용 카테고리'!$A$1:$B$59, 2, 0)</f>
        <v>SIMPLE_PROCESSED</v>
      </c>
      <c r="E3485" t="s">
        <v>132</v>
      </c>
      <c r="F3485" t="s">
        <v>156</v>
      </c>
    </row>
    <row r="3486" spans="1:6" x14ac:dyDescent="0.3">
      <c r="A3486" t="s">
        <v>5668</v>
      </c>
      <c r="B3486" t="str" cm="1">
        <f t="array" ref="B3486">_xlfn.XLOOKUP(C3486, INDEX([1]!카테고리매핑,,2), INDEX([1]!카테고리매핑,,1), "미등록 카테고리")</f>
        <v>수산물</v>
      </c>
      <c r="C3486" t="s">
        <v>140</v>
      </c>
      <c r="D3486" t="str">
        <f>VLOOKUP(C3486, '[1]VLOOKUP 함수용 카테고리'!$A$1:$B$59, 2, 0)</f>
        <v>SIMPLE_PROCESSED</v>
      </c>
      <c r="E3486" t="s">
        <v>141</v>
      </c>
      <c r="F3486" t="s">
        <v>2806</v>
      </c>
    </row>
    <row r="3487" spans="1:6" x14ac:dyDescent="0.3">
      <c r="A3487" t="s">
        <v>5669</v>
      </c>
      <c r="B3487" t="str" cm="1">
        <f t="array" ref="B3487">_xlfn.XLOOKUP(C3487, INDEX([1]!카테고리매핑,,2), INDEX([1]!카테고리매핑,,1), "미등록 카테고리")</f>
        <v>간식류</v>
      </c>
      <c r="C3487" t="s">
        <v>38</v>
      </c>
      <c r="D3487" t="str">
        <f>VLOOKUP(C3487, '[1]VLOOKUP 함수용 카테고리'!$A$1:$B$59, 2, 0)</f>
        <v>SNACK</v>
      </c>
      <c r="E3487" t="s">
        <v>179</v>
      </c>
      <c r="F3487" t="s">
        <v>5670</v>
      </c>
    </row>
    <row r="3488" spans="1:6" x14ac:dyDescent="0.3">
      <c r="A3488" t="s">
        <v>5671</v>
      </c>
      <c r="B3488" t="str" cm="1">
        <f t="array" ref="B3488">_xlfn.XLOOKUP(C3488, INDEX([1]!카테고리매핑,,2), INDEX([1]!카테고리매핑,,1), "미등록 카테고리")</f>
        <v>채소/곡물류</v>
      </c>
      <c r="C3488" t="s">
        <v>7</v>
      </c>
      <c r="D3488" t="str">
        <f>VLOOKUP(C3488, '[1]VLOOKUP 함수용 카테고리'!$A$1:$B$59, 2, 0)</f>
        <v>RAW_PRODUCE</v>
      </c>
      <c r="E3488" t="s">
        <v>5672</v>
      </c>
    </row>
    <row r="3489" spans="1:6" x14ac:dyDescent="0.3">
      <c r="A3489" t="s">
        <v>5673</v>
      </c>
      <c r="B3489" t="str" cm="1">
        <f t="array" ref="B3489">_xlfn.XLOOKUP(C3489, INDEX([1]!카테고리매핑,,2), INDEX([1]!카테고리매핑,,1), "미등록 카테고리")</f>
        <v>간식류</v>
      </c>
      <c r="C3489" t="s">
        <v>11</v>
      </c>
      <c r="D3489" t="str">
        <f>VLOOKUP(C3489, '[1]VLOOKUP 함수용 카테고리'!$A$1:$B$59, 2, 0)</f>
        <v>SNACK</v>
      </c>
      <c r="E3489" t="s">
        <v>2614</v>
      </c>
      <c r="F3489" t="s">
        <v>198</v>
      </c>
    </row>
    <row r="3490" spans="1:6" x14ac:dyDescent="0.3">
      <c r="A3490" t="s">
        <v>5674</v>
      </c>
      <c r="B3490" t="str" cm="1">
        <f t="array" ref="B3490">_xlfn.XLOOKUP(C3490, INDEX([1]!카테고리매핑,,2), INDEX([1]!카테고리매핑,,1), "미등록 카테고리")</f>
        <v>간편식</v>
      </c>
      <c r="C3490" t="s">
        <v>131</v>
      </c>
      <c r="D3490" t="str">
        <f>VLOOKUP(C3490, '[1]VLOOKUP 함수용 카테고리'!$A$1:$B$59, 2, 0)</f>
        <v>SIMPLE_PROCESSED</v>
      </c>
      <c r="E3490" t="s">
        <v>5675</v>
      </c>
      <c r="F3490" t="s">
        <v>257</v>
      </c>
    </row>
    <row r="3491" spans="1:6" x14ac:dyDescent="0.3">
      <c r="A3491" t="s">
        <v>5676</v>
      </c>
      <c r="B3491" t="str" cm="1">
        <f t="array" ref="B3491">_xlfn.XLOOKUP(C3491, INDEX([1]!카테고리매핑,,2), INDEX([1]!카테고리매핑,,1), "미등록 카테고리")</f>
        <v>조미료</v>
      </c>
      <c r="C3491" t="s">
        <v>83</v>
      </c>
      <c r="D3491" t="str">
        <f>VLOOKUP(C3491, '[1]VLOOKUP 함수용 카테고리'!$A$1:$B$59, 2, 0)</f>
        <v>SAUCE_SEASONING</v>
      </c>
      <c r="E3491" t="s">
        <v>658</v>
      </c>
      <c r="F3491" t="s">
        <v>646</v>
      </c>
    </row>
    <row r="3492" spans="1:6" x14ac:dyDescent="0.3">
      <c r="A3492" t="s">
        <v>5677</v>
      </c>
      <c r="B3492" t="str" cm="1">
        <f t="array" ref="B3492">_xlfn.XLOOKUP(C3492, INDEX([1]!카테고리매핑,,2), INDEX([1]!카테고리매핑,,1), "미등록 카테고리")</f>
        <v>조미료</v>
      </c>
      <c r="C3492" t="s">
        <v>84</v>
      </c>
      <c r="D3492" t="str">
        <f>VLOOKUP(C3492, '[1]VLOOKUP 함수용 카테고리'!$A$1:$B$59, 2, 0)</f>
        <v>SAUCE_SEASONING</v>
      </c>
      <c r="E3492" t="s">
        <v>364</v>
      </c>
      <c r="F3492" t="s">
        <v>646</v>
      </c>
    </row>
    <row r="3493" spans="1:6" x14ac:dyDescent="0.3">
      <c r="A3493" t="s">
        <v>5678</v>
      </c>
      <c r="B3493" t="str" cm="1">
        <f t="array" ref="B3493">_xlfn.XLOOKUP(C3493, INDEX([1]!카테고리매핑,,2), INDEX([1]!카테고리매핑,,1), "미등록 카테고리")</f>
        <v>음료</v>
      </c>
      <c r="C3493" t="s">
        <v>23</v>
      </c>
      <c r="D3493" t="str">
        <f>VLOOKUP(C3493, '[1]VLOOKUP 함수용 카테고리'!$A$1:$B$59, 2, 0)</f>
        <v>BEVERAGE</v>
      </c>
      <c r="E3493" t="s">
        <v>288</v>
      </c>
      <c r="F3493" t="s">
        <v>1882</v>
      </c>
    </row>
    <row r="3494" spans="1:6" x14ac:dyDescent="0.3">
      <c r="A3494" t="s">
        <v>5679</v>
      </c>
      <c r="B3494" t="str" cm="1">
        <f t="array" ref="B3494">_xlfn.XLOOKUP(C3494, INDEX([1]!카테고리매핑,,2), INDEX([1]!카테고리매핑,,1), "미등록 카테고리")</f>
        <v>육류/계란</v>
      </c>
      <c r="C3494" t="s">
        <v>428</v>
      </c>
      <c r="D3494" t="str">
        <f>VLOOKUP(C3494, '[1]VLOOKUP 함수용 카테고리'!$A$1:$B$59, 2, 0)</f>
        <v>PROCESSED_MEAT</v>
      </c>
      <c r="E3494" t="s">
        <v>429</v>
      </c>
      <c r="F3494" t="s">
        <v>5680</v>
      </c>
    </row>
    <row r="3495" spans="1:6" x14ac:dyDescent="0.3">
      <c r="A3495" t="s">
        <v>5681</v>
      </c>
      <c r="B3495" t="str" cm="1">
        <f t="array" ref="B3495">_xlfn.XLOOKUP(C3495, INDEX([1]!카테고리매핑,,2), INDEX([1]!카테고리매핑,,1), "미등록 카테고리")</f>
        <v>간편식</v>
      </c>
      <c r="C3495" t="s">
        <v>46</v>
      </c>
      <c r="D3495" t="str">
        <f>VLOOKUP(C3495, '[1]VLOOKUP 함수용 카테고리'!$A$1:$B$59, 2, 0)</f>
        <v>RTC_MEAL</v>
      </c>
      <c r="E3495" t="s">
        <v>46</v>
      </c>
      <c r="F3495" t="s">
        <v>5682</v>
      </c>
    </row>
    <row r="3496" spans="1:6" x14ac:dyDescent="0.3">
      <c r="A3496" t="s">
        <v>5683</v>
      </c>
      <c r="B3496" t="str" cm="1">
        <f t="array" ref="B3496">_xlfn.XLOOKUP(C3496, INDEX([1]!카테고리매핑,,2), INDEX([1]!카테고리매핑,,1), "미등록 카테고리")</f>
        <v>음료</v>
      </c>
      <c r="C3496" t="s">
        <v>23</v>
      </c>
      <c r="D3496" t="str">
        <f>VLOOKUP(C3496, '[1]VLOOKUP 함수용 카테고리'!$A$1:$B$59, 2, 0)</f>
        <v>BEVERAGE</v>
      </c>
      <c r="E3496" t="s">
        <v>1156</v>
      </c>
      <c r="F3496" t="s">
        <v>3587</v>
      </c>
    </row>
    <row r="3497" spans="1:6" x14ac:dyDescent="0.3">
      <c r="A3497" t="s">
        <v>5684</v>
      </c>
      <c r="B3497" t="str" cm="1">
        <f t="array" ref="B3497">_xlfn.XLOOKUP(C3497, INDEX([1]!카테고리매핑,,2), INDEX([1]!카테고리매핑,,1), "미등록 카테고리")</f>
        <v>육류/계란</v>
      </c>
      <c r="C3497" t="s">
        <v>105</v>
      </c>
      <c r="D3497" t="str">
        <f>VLOOKUP(C3497, '[1]VLOOKUP 함수용 카테고리'!$A$1:$B$59, 2, 0)</f>
        <v>RAW_MEAT</v>
      </c>
      <c r="E3497" t="s">
        <v>5595</v>
      </c>
      <c r="F3497" t="s">
        <v>1708</v>
      </c>
    </row>
    <row r="3498" spans="1:6" x14ac:dyDescent="0.3">
      <c r="A3498" t="s">
        <v>5685</v>
      </c>
      <c r="B3498" t="str" cm="1">
        <f t="array" ref="B3498">_xlfn.XLOOKUP(C3498, INDEX([1]!카테고리매핑,,2), INDEX([1]!카테고리매핑,,1), "미등록 카테고리")</f>
        <v>음료</v>
      </c>
      <c r="C3498" t="s">
        <v>23</v>
      </c>
      <c r="D3498" t="str">
        <f>VLOOKUP(C3498, '[1]VLOOKUP 함수용 카테고리'!$A$1:$B$59, 2, 0)</f>
        <v>BEVERAGE</v>
      </c>
      <c r="E3498" t="s">
        <v>323</v>
      </c>
      <c r="F3498" t="s">
        <v>4433</v>
      </c>
    </row>
    <row r="3499" spans="1:6" x14ac:dyDescent="0.3">
      <c r="A3499" t="s">
        <v>5686</v>
      </c>
      <c r="B3499" t="str" cm="1">
        <f t="array" ref="B3499">_xlfn.XLOOKUP(C3499, INDEX([1]!카테고리매핑,,2), INDEX([1]!카테고리매핑,,1), "미등록 카테고리")</f>
        <v>유제품</v>
      </c>
      <c r="C3499" t="s">
        <v>211</v>
      </c>
      <c r="D3499" t="str">
        <f>VLOOKUP(C3499, '[1]VLOOKUP 함수용 카테고리'!$A$1:$B$59, 2, 0)</f>
        <v>DAIRY</v>
      </c>
      <c r="E3499" t="s">
        <v>211</v>
      </c>
      <c r="F3499" t="s">
        <v>54</v>
      </c>
    </row>
    <row r="3500" spans="1:6" x14ac:dyDescent="0.3">
      <c r="A3500" t="s">
        <v>5687</v>
      </c>
      <c r="B3500" t="str" cm="1">
        <f t="array" ref="B3500">_xlfn.XLOOKUP(C3500, INDEX([2]!카테고리매핑,,2), INDEX([2]!카테고리매핑,,1), "미등록 카테고리")</f>
        <v>간편식</v>
      </c>
      <c r="C3500" t="s">
        <v>46</v>
      </c>
      <c r="D3500" t="str">
        <f>VLOOKUP(C3500, '[2]VLOOKUP 함수용 카테고리'!$A$1:$B$59, 2, 0)</f>
        <v>RTC_MEAL</v>
      </c>
      <c r="E3500" t="s">
        <v>46</v>
      </c>
      <c r="F3500" t="s">
        <v>5688</v>
      </c>
    </row>
    <row r="3501" spans="1:6" x14ac:dyDescent="0.3">
      <c r="A3501" t="s">
        <v>5689</v>
      </c>
      <c r="B3501" t="str" cm="1">
        <f t="array" ref="B3501">_xlfn.XLOOKUP(C3501, INDEX([2]!카테고리매핑,,2), INDEX([2]!카테고리매핑,,1), "미등록 카테고리")</f>
        <v>채소/곡물류</v>
      </c>
      <c r="C3501" t="s">
        <v>164</v>
      </c>
      <c r="D3501" t="str">
        <f>VLOOKUP(C3501, '[2]VLOOKUP 함수용 카테고리'!$A$1:$B$59, 2, 0)</f>
        <v>RAW_PRODUCE</v>
      </c>
      <c r="E3501" t="s">
        <v>1412</v>
      </c>
    </row>
    <row r="3502" spans="1:6" x14ac:dyDescent="0.3">
      <c r="A3502" t="s">
        <v>5690</v>
      </c>
      <c r="B3502" t="str" cm="1">
        <f t="array" ref="B3502">_xlfn.XLOOKUP(C3502, INDEX([2]!카테고리매핑,,2), INDEX([2]!카테고리매핑,,1), "미등록 카테고리")</f>
        <v>유제품</v>
      </c>
      <c r="C3502" t="s">
        <v>123</v>
      </c>
      <c r="D3502" t="str">
        <f>VLOOKUP(C3502, '[2]VLOOKUP 함수용 카테고리'!$A$1:$B$59, 2, 0)</f>
        <v>DAIRY</v>
      </c>
      <c r="E3502" t="s">
        <v>239</v>
      </c>
      <c r="F3502" t="s">
        <v>240</v>
      </c>
    </row>
    <row r="3503" spans="1:6" x14ac:dyDescent="0.3">
      <c r="A3503" t="s">
        <v>5691</v>
      </c>
      <c r="B3503" t="str" cm="1">
        <f t="array" ref="B3503">_xlfn.XLOOKUP(C3503, INDEX([2]!카테고리매핑,,2), INDEX([2]!카테고리매핑,,1), "미등록 카테고리")</f>
        <v>조미료</v>
      </c>
      <c r="C3503" t="s">
        <v>83</v>
      </c>
      <c r="D3503" t="str">
        <f>VLOOKUP(C3503, '[2]VLOOKUP 함수용 카테고리'!$A$1:$B$59, 2, 0)</f>
        <v>SAUCE_SEASONING</v>
      </c>
      <c r="E3503" t="s">
        <v>658</v>
      </c>
      <c r="F3503" t="s">
        <v>646</v>
      </c>
    </row>
    <row r="3504" spans="1:6" x14ac:dyDescent="0.3">
      <c r="A3504" t="s">
        <v>5692</v>
      </c>
      <c r="B3504" t="str" cm="1">
        <f t="array" ref="B3504">_xlfn.XLOOKUP(C3504, INDEX([2]!카테고리매핑,,2), INDEX([2]!카테고리매핑,,1), "미등록 카테고리")</f>
        <v>간식류</v>
      </c>
      <c r="C3504" t="s">
        <v>11</v>
      </c>
      <c r="D3504" t="str">
        <f>VLOOKUP(C3504, '[2]VLOOKUP 함수용 카테고리'!$A$1:$B$59, 2, 0)</f>
        <v>SNACK</v>
      </c>
      <c r="E3504" t="s">
        <v>1482</v>
      </c>
      <c r="F3504" t="s">
        <v>7853</v>
      </c>
    </row>
    <row r="3505" spans="1:6" x14ac:dyDescent="0.3">
      <c r="A3505" t="s">
        <v>5693</v>
      </c>
      <c r="B3505" t="str" cm="1">
        <f t="array" ref="B3505">_xlfn.XLOOKUP(C3505, INDEX([2]!카테고리매핑,,2), INDEX([2]!카테고리매핑,,1), "미등록 카테고리")</f>
        <v>유제품</v>
      </c>
      <c r="C3505" t="s">
        <v>123</v>
      </c>
      <c r="D3505" t="str">
        <f>VLOOKUP(C3505, '[2]VLOOKUP 함수용 카테고리'!$A$1:$B$59, 2, 0)</f>
        <v>DAIRY</v>
      </c>
      <c r="E3505" t="s">
        <v>190</v>
      </c>
      <c r="F3505" t="s">
        <v>623</v>
      </c>
    </row>
    <row r="3506" spans="1:6" x14ac:dyDescent="0.3">
      <c r="A3506" t="s">
        <v>5694</v>
      </c>
      <c r="B3506" t="str" cm="1">
        <f t="array" ref="B3506">_xlfn.XLOOKUP(C3506, INDEX([2]!카테고리매핑,,2), INDEX([2]!카테고리매핑,,1), "미등록 카테고리")</f>
        <v>간식류</v>
      </c>
      <c r="C3506" t="s">
        <v>11</v>
      </c>
      <c r="D3506" t="str">
        <f>VLOOKUP(C3506, '[2]VLOOKUP 함수용 카테고리'!$A$1:$B$59, 2, 0)</f>
        <v>SNACK</v>
      </c>
      <c r="E3506" t="s">
        <v>5695</v>
      </c>
      <c r="F3506" t="s">
        <v>7677</v>
      </c>
    </row>
    <row r="3507" spans="1:6" x14ac:dyDescent="0.3">
      <c r="A3507" t="s">
        <v>5696</v>
      </c>
      <c r="B3507" t="str" cm="1">
        <f t="array" ref="B3507">_xlfn.XLOOKUP(C3507, INDEX([2]!카테고리매핑,,2), INDEX([2]!카테고리매핑,,1), "미등록 카테고리")</f>
        <v>간식류</v>
      </c>
      <c r="C3507" t="s">
        <v>63</v>
      </c>
      <c r="D3507" t="str">
        <f>VLOOKUP(C3507, '[2]VLOOKUP 함수용 카테고리'!$A$1:$B$59, 2, 0)</f>
        <v>BAKERY</v>
      </c>
      <c r="E3507" t="s">
        <v>2522</v>
      </c>
      <c r="F3507" t="s">
        <v>5697</v>
      </c>
    </row>
    <row r="3508" spans="1:6" x14ac:dyDescent="0.3">
      <c r="A3508" t="s">
        <v>5698</v>
      </c>
      <c r="B3508" t="str" cm="1">
        <f t="array" ref="B3508">_xlfn.XLOOKUP(C3508, INDEX([2]!카테고리매핑,,2), INDEX([2]!카테고리매핑,,1), "미등록 카테고리")</f>
        <v>조미료</v>
      </c>
      <c r="C3508" t="s">
        <v>84</v>
      </c>
      <c r="D3508" t="str">
        <f>VLOOKUP(C3508, '[2]VLOOKUP 함수용 카테고리'!$A$1:$B$59, 2, 0)</f>
        <v>SAUCE_SEASONING</v>
      </c>
      <c r="E3508" t="s">
        <v>85</v>
      </c>
      <c r="F3508" t="s">
        <v>5699</v>
      </c>
    </row>
    <row r="3509" spans="1:6" x14ac:dyDescent="0.3">
      <c r="A3509" t="s">
        <v>5700</v>
      </c>
      <c r="B3509" t="str" cm="1">
        <f t="array" ref="B3509">_xlfn.XLOOKUP(C3509, INDEX([2]!카테고리매핑,,2), INDEX([2]!카테고리매핑,,1), "미등록 카테고리")</f>
        <v>육류/계란</v>
      </c>
      <c r="C3509" t="s">
        <v>149</v>
      </c>
      <c r="D3509" t="str">
        <f>VLOOKUP(C3509, '[2]VLOOKUP 함수용 카테고리'!$A$1:$B$59, 2, 0)</f>
        <v>RAW_MEAT</v>
      </c>
      <c r="E3509" t="s">
        <v>573</v>
      </c>
      <c r="F3509" t="s">
        <v>5701</v>
      </c>
    </row>
    <row r="3510" spans="1:6" x14ac:dyDescent="0.3">
      <c r="A3510" t="s">
        <v>5702</v>
      </c>
      <c r="B3510" t="str" cm="1">
        <f t="array" ref="B3510">_xlfn.XLOOKUP(C3510, INDEX([2]!카테고리매핑,,2), INDEX([2]!카테고리매핑,,1), "미등록 카테고리")</f>
        <v>채소/곡물류</v>
      </c>
      <c r="C3510" t="s">
        <v>7</v>
      </c>
      <c r="D3510" t="str">
        <f>VLOOKUP(C3510, '[2]VLOOKUP 함수용 카테고리'!$A$1:$B$59, 2, 0)</f>
        <v>RAW_PRODUCE</v>
      </c>
      <c r="E3510" t="s">
        <v>188</v>
      </c>
    </row>
    <row r="3511" spans="1:6" x14ac:dyDescent="0.3">
      <c r="A3511" t="s">
        <v>5703</v>
      </c>
      <c r="B3511" t="str" cm="1">
        <f t="array" ref="B3511">_xlfn.XLOOKUP(C3511, INDEX([2]!카테고리매핑,,2), INDEX([2]!카테고리매핑,,1), "미등록 카테고리")</f>
        <v>채소/곡물류</v>
      </c>
      <c r="C3511" t="s">
        <v>301</v>
      </c>
      <c r="D3511" t="str">
        <f>VLOOKUP(C3511, '[2]VLOOKUP 함수용 카테고리'!$A$1:$B$59, 2, 0)</f>
        <v>GRAIN</v>
      </c>
      <c r="E3511" t="s">
        <v>611</v>
      </c>
      <c r="F3511" t="s">
        <v>4184</v>
      </c>
    </row>
    <row r="3512" spans="1:6" x14ac:dyDescent="0.3">
      <c r="A3512" t="s">
        <v>5704</v>
      </c>
      <c r="B3512" t="str" cm="1">
        <f t="array" ref="B3512">_xlfn.XLOOKUP(C3512, INDEX([2]!카테고리매핑,,2), INDEX([2]!카테고리매핑,,1), "미등록 카테고리")</f>
        <v>미등록 카테고리</v>
      </c>
      <c r="C3512" t="s">
        <v>334</v>
      </c>
      <c r="D3512" t="str">
        <f>VLOOKUP(C3512, '[2]VLOOKUP 함수용 카테고리'!$A$1:$B$59, 2, 0)</f>
        <v>UNKNOWN</v>
      </c>
      <c r="E3512" t="s">
        <v>334</v>
      </c>
      <c r="F3512" t="s">
        <v>629</v>
      </c>
    </row>
    <row r="3513" spans="1:6" x14ac:dyDescent="0.3">
      <c r="A3513" t="s">
        <v>5705</v>
      </c>
      <c r="B3513" t="str" cm="1">
        <f t="array" ref="B3513">_xlfn.XLOOKUP(C3513, INDEX([2]!카테고리매핑,,2), INDEX([2]!카테고리매핑,,1), "미등록 카테고리")</f>
        <v>수산물</v>
      </c>
      <c r="C3513" t="s">
        <v>183</v>
      </c>
      <c r="D3513" t="str">
        <f>VLOOKUP(C3513, '[2]VLOOKUP 함수용 카테고리'!$A$1:$B$59, 2, 0)</f>
        <v>DRIED_SEAFOOD</v>
      </c>
      <c r="E3513" t="s">
        <v>184</v>
      </c>
      <c r="F3513" t="s">
        <v>2502</v>
      </c>
    </row>
    <row r="3514" spans="1:6" x14ac:dyDescent="0.3">
      <c r="A3514" t="s">
        <v>5706</v>
      </c>
      <c r="B3514" t="str" cm="1">
        <f t="array" ref="B3514">_xlfn.XLOOKUP(C3514, INDEX([2]!카테고리매핑,,2), INDEX([2]!카테고리매핑,,1), "미등록 카테고리")</f>
        <v>수산물</v>
      </c>
      <c r="C3514" t="s">
        <v>101</v>
      </c>
      <c r="D3514" t="str">
        <f>VLOOKUP(C3514, '[2]VLOOKUP 함수용 카테고리'!$A$1:$B$59, 2, 0)</f>
        <v>DRIED_SEAFOOD</v>
      </c>
      <c r="E3514" t="s">
        <v>693</v>
      </c>
      <c r="F3514" t="s">
        <v>694</v>
      </c>
    </row>
    <row r="3515" spans="1:6" x14ac:dyDescent="0.3">
      <c r="A3515" t="s">
        <v>5707</v>
      </c>
      <c r="B3515" t="str" cm="1">
        <f t="array" ref="B3515">_xlfn.XLOOKUP(C3515, INDEX([2]!카테고리매핑,,2), INDEX([2]!카테고리매핑,,1), "미등록 카테고리")</f>
        <v>과일/견과류</v>
      </c>
      <c r="C3515" t="s">
        <v>1179</v>
      </c>
      <c r="D3515" t="str">
        <f>VLOOKUP(C3515, '[2]VLOOKUP 함수용 카테고리'!$A$1:$B$59, 2, 0)</f>
        <v>RAW_FRUIT</v>
      </c>
      <c r="E3515" t="s">
        <v>1179</v>
      </c>
      <c r="F3515" t="s">
        <v>4707</v>
      </c>
    </row>
    <row r="3516" spans="1:6" x14ac:dyDescent="0.3">
      <c r="A3516" t="s">
        <v>5708</v>
      </c>
      <c r="B3516" t="str" cm="1">
        <f t="array" ref="B3516">_xlfn.XLOOKUP(C3516, INDEX([2]!카테고리매핑,,2), INDEX([2]!카테고리매핑,,1), "미등록 카테고리")</f>
        <v>간편식</v>
      </c>
      <c r="C3516" t="s">
        <v>167</v>
      </c>
      <c r="D3516" t="str">
        <f>VLOOKUP(C3516, '[2]VLOOKUP 함수용 카테고리'!$A$1:$B$59, 2, 0)</f>
        <v>INSTANT</v>
      </c>
      <c r="E3516" t="s">
        <v>5709</v>
      </c>
      <c r="F3516" t="s">
        <v>169</v>
      </c>
    </row>
    <row r="3517" spans="1:6" x14ac:dyDescent="0.3">
      <c r="A3517" t="s">
        <v>5710</v>
      </c>
      <c r="B3517" t="str" cm="1">
        <f t="array" ref="B3517">_xlfn.XLOOKUP(C3517, INDEX([2]!카테고리매핑,,2), INDEX([2]!카테고리매핑,,1), "미등록 카테고리")</f>
        <v>상온식품</v>
      </c>
      <c r="C3517" t="s">
        <v>835</v>
      </c>
      <c r="D3517" t="str">
        <f>VLOOKUP(C3517, '[2]VLOOKUP 함수용 카테고리'!$A$1:$B$59, 2, 0)</f>
        <v>SAUCE_SEASONING</v>
      </c>
      <c r="E3517" t="s">
        <v>2643</v>
      </c>
      <c r="F3517" t="s">
        <v>2644</v>
      </c>
    </row>
    <row r="3518" spans="1:6" x14ac:dyDescent="0.3">
      <c r="A3518" t="s">
        <v>5711</v>
      </c>
      <c r="B3518" t="str" cm="1">
        <f t="array" ref="B3518">_xlfn.XLOOKUP(C3518, INDEX([2]!카테고리매핑,,2), INDEX([2]!카테고리매핑,,1), "미등록 카테고리")</f>
        <v>간식류</v>
      </c>
      <c r="C3518" t="s">
        <v>15</v>
      </c>
      <c r="D3518" t="str">
        <f>VLOOKUP(C3518, '[2]VLOOKUP 함수용 카테고리'!$A$1:$B$59, 2, 0)</f>
        <v>BAKERY</v>
      </c>
      <c r="E3518" t="s">
        <v>499</v>
      </c>
      <c r="F3518" t="s">
        <v>5712</v>
      </c>
    </row>
    <row r="3519" spans="1:6" x14ac:dyDescent="0.3">
      <c r="A3519" t="s">
        <v>5713</v>
      </c>
      <c r="B3519" t="str" cm="1">
        <f t="array" ref="B3519">_xlfn.XLOOKUP(C3519, INDEX([2]!카테고리매핑,,2), INDEX([2]!카테고리매핑,,1), "미등록 카테고리")</f>
        <v>간편식</v>
      </c>
      <c r="C3519" t="s">
        <v>256</v>
      </c>
      <c r="D3519" t="str">
        <f>VLOOKUP(C3519, '[2]VLOOKUP 함수용 카테고리'!$A$1:$B$59, 2, 0)</f>
        <v>RTC_MEAL</v>
      </c>
      <c r="E3519" t="s">
        <v>256</v>
      </c>
      <c r="F3519" t="s">
        <v>5714</v>
      </c>
    </row>
    <row r="3520" spans="1:6" x14ac:dyDescent="0.3">
      <c r="A3520" t="s">
        <v>5715</v>
      </c>
      <c r="B3520" t="str" cm="1">
        <f t="array" ref="B3520">_xlfn.XLOOKUP(C3520, INDEX([2]!카테고리매핑,,2), INDEX([2]!카테고리매핑,,1), "미등록 카테고리")</f>
        <v>유제품</v>
      </c>
      <c r="C3520" t="s">
        <v>123</v>
      </c>
      <c r="D3520" t="str">
        <f>VLOOKUP(C3520, '[2]VLOOKUP 함수용 카테고리'!$A$1:$B$59, 2, 0)</f>
        <v>DAIRY</v>
      </c>
      <c r="E3520" t="s">
        <v>190</v>
      </c>
      <c r="F3520" t="s">
        <v>5099</v>
      </c>
    </row>
    <row r="3521" spans="1:6" x14ac:dyDescent="0.3">
      <c r="A3521" t="s">
        <v>5716</v>
      </c>
      <c r="B3521" t="str" cm="1">
        <f t="array" ref="B3521">_xlfn.XLOOKUP(C3521, INDEX([2]!카테고리매핑,,2), INDEX([2]!카테고리매핑,,1), "미등록 카테고리")</f>
        <v>간편식</v>
      </c>
      <c r="C3521" t="s">
        <v>131</v>
      </c>
      <c r="D3521" t="str">
        <f>VLOOKUP(C3521, '[2]VLOOKUP 함수용 카테고리'!$A$1:$B$59, 2, 0)</f>
        <v>SIMPLE_PROCESSED</v>
      </c>
      <c r="E3521" t="s">
        <v>5717</v>
      </c>
      <c r="F3521" t="s">
        <v>3217</v>
      </c>
    </row>
    <row r="3522" spans="1:6" x14ac:dyDescent="0.3">
      <c r="A3522" t="s">
        <v>5718</v>
      </c>
      <c r="B3522" t="str" cm="1">
        <f t="array" ref="B3522">_xlfn.XLOOKUP(C3522, INDEX([2]!카테고리매핑,,2), INDEX([2]!카테고리매핑,,1), "미등록 카테고리")</f>
        <v>채소/곡물류</v>
      </c>
      <c r="C3522" t="s">
        <v>301</v>
      </c>
      <c r="D3522" t="str">
        <f>VLOOKUP(C3522, '[2]VLOOKUP 함수용 카테고리'!$A$1:$B$59, 2, 0)</f>
        <v>GRAIN</v>
      </c>
      <c r="E3522" t="s">
        <v>611</v>
      </c>
      <c r="F3522" t="s">
        <v>7854</v>
      </c>
    </row>
    <row r="3523" spans="1:6" x14ac:dyDescent="0.3">
      <c r="A3523" t="s">
        <v>5719</v>
      </c>
      <c r="B3523" t="str" cm="1">
        <f t="array" ref="B3523">_xlfn.XLOOKUP(C3523, INDEX([2]!카테고리매핑,,2), INDEX([2]!카테고리매핑,,1), "미등록 카테고리")</f>
        <v>유제품</v>
      </c>
      <c r="C3523" t="s">
        <v>123</v>
      </c>
      <c r="D3523" t="str">
        <f>VLOOKUP(C3523, '[2]VLOOKUP 함수용 카테고리'!$A$1:$B$59, 2, 0)</f>
        <v>DAIRY</v>
      </c>
      <c r="E3523" t="s">
        <v>239</v>
      </c>
      <c r="F3523" t="s">
        <v>191</v>
      </c>
    </row>
    <row r="3524" spans="1:6" x14ac:dyDescent="0.3">
      <c r="A3524" t="s">
        <v>5720</v>
      </c>
      <c r="B3524" t="str" cm="1">
        <f t="array" ref="B3524">_xlfn.XLOOKUP(C3524, INDEX([2]!카테고리매핑,,2), INDEX([2]!카테고리매핑,,1), "미등록 카테고리")</f>
        <v>간식류</v>
      </c>
      <c r="C3524" t="s">
        <v>63</v>
      </c>
      <c r="D3524" t="str">
        <f>VLOOKUP(C3524, '[2]VLOOKUP 함수용 카테고리'!$A$1:$B$59, 2, 0)</f>
        <v>BAKERY</v>
      </c>
      <c r="E3524" t="s">
        <v>496</v>
      </c>
      <c r="F3524" t="s">
        <v>401</v>
      </c>
    </row>
    <row r="3525" spans="1:6" x14ac:dyDescent="0.3">
      <c r="A3525" t="s">
        <v>5721</v>
      </c>
      <c r="B3525" t="str" cm="1">
        <f t="array" ref="B3525">_xlfn.XLOOKUP(C3525, INDEX([2]!카테고리매핑,,2), INDEX([2]!카테고리매핑,,1), "미등록 카테고리")</f>
        <v>유제품</v>
      </c>
      <c r="C3525" t="s">
        <v>432</v>
      </c>
      <c r="D3525" t="str">
        <f>VLOOKUP(C3525, '[2]VLOOKUP 함수용 카테고리'!$A$1:$B$59, 2, 0)</f>
        <v>DAIRY</v>
      </c>
      <c r="E3525" t="s">
        <v>549</v>
      </c>
      <c r="F3525" t="s">
        <v>2950</v>
      </c>
    </row>
    <row r="3526" spans="1:6" x14ac:dyDescent="0.3">
      <c r="A3526" t="s">
        <v>5722</v>
      </c>
      <c r="B3526" t="str" cm="1">
        <f t="array" ref="B3526">_xlfn.XLOOKUP(C3526, INDEX([2]!카테고리매핑,,2), INDEX([2]!카테고리매핑,,1), "미등록 카테고리")</f>
        <v>조미료</v>
      </c>
      <c r="C3526" t="s">
        <v>127</v>
      </c>
      <c r="D3526" t="str">
        <f>VLOOKUP(C3526, '[2]VLOOKUP 함수용 카테고리'!$A$1:$B$59, 2, 0)</f>
        <v>SAUCE_SEASONING</v>
      </c>
      <c r="E3526" t="s">
        <v>248</v>
      </c>
      <c r="F3526" t="s">
        <v>7855</v>
      </c>
    </row>
    <row r="3527" spans="1:6" x14ac:dyDescent="0.3">
      <c r="A3527" t="s">
        <v>5723</v>
      </c>
      <c r="B3527" t="str" cm="1">
        <f t="array" ref="B3527">_xlfn.XLOOKUP(C3527, INDEX([2]!카테고리매핑,,2), INDEX([2]!카테고리매핑,,1), "미등록 카테고리")</f>
        <v>유제품</v>
      </c>
      <c r="C3527" t="s">
        <v>123</v>
      </c>
      <c r="D3527" t="str">
        <f>VLOOKUP(C3527, '[2]VLOOKUP 함수용 카테고리'!$A$1:$B$59, 2, 0)</f>
        <v>DAIRY</v>
      </c>
      <c r="E3527" t="s">
        <v>239</v>
      </c>
      <c r="F3527" t="s">
        <v>377</v>
      </c>
    </row>
    <row r="3528" spans="1:6" x14ac:dyDescent="0.3">
      <c r="A3528" t="s">
        <v>5724</v>
      </c>
      <c r="B3528" t="str" cm="1">
        <f t="array" ref="B3528">_xlfn.XLOOKUP(C3528, INDEX([2]!카테고리매핑,,2), INDEX([2]!카테고리매핑,,1), "미등록 카테고리")</f>
        <v>간편식</v>
      </c>
      <c r="C3528" t="s">
        <v>158</v>
      </c>
      <c r="D3528" t="str">
        <f>VLOOKUP(C3528, '[2]VLOOKUP 함수용 카테고리'!$A$1:$B$59, 2, 0)</f>
        <v>INSTANT</v>
      </c>
      <c r="E3528" t="s">
        <v>4498</v>
      </c>
      <c r="F3528" t="s">
        <v>154</v>
      </c>
    </row>
    <row r="3529" spans="1:6" x14ac:dyDescent="0.3">
      <c r="A3529" t="s">
        <v>5725</v>
      </c>
      <c r="B3529" t="str" cm="1">
        <f t="array" ref="B3529">_xlfn.XLOOKUP(C3529, INDEX([2]!카테고리매핑,,2), INDEX([2]!카테고리매핑,,1), "미등록 카테고리")</f>
        <v>육류/계란</v>
      </c>
      <c r="C3529" t="s">
        <v>149</v>
      </c>
      <c r="D3529" t="str">
        <f>VLOOKUP(C3529, '[2]VLOOKUP 함수용 카테고리'!$A$1:$B$59, 2, 0)</f>
        <v>RAW_MEAT</v>
      </c>
      <c r="E3529" t="s">
        <v>1448</v>
      </c>
      <c r="F3529" t="s">
        <v>1510</v>
      </c>
    </row>
    <row r="3530" spans="1:6" x14ac:dyDescent="0.3">
      <c r="A3530" t="s">
        <v>5726</v>
      </c>
      <c r="B3530" t="str" cm="1">
        <f t="array" ref="B3530">_xlfn.XLOOKUP(C3530, INDEX([2]!카테고리매핑,,2), INDEX([2]!카테고리매핑,,1), "미등록 카테고리")</f>
        <v>유제품</v>
      </c>
      <c r="C3530" t="s">
        <v>432</v>
      </c>
      <c r="D3530" t="str">
        <f>VLOOKUP(C3530, '[2]VLOOKUP 함수용 카테고리'!$A$1:$B$59, 2, 0)</f>
        <v>DAIRY</v>
      </c>
      <c r="E3530" t="s">
        <v>5727</v>
      </c>
      <c r="F3530" t="s">
        <v>5728</v>
      </c>
    </row>
    <row r="3531" spans="1:6" x14ac:dyDescent="0.3">
      <c r="A3531" t="s">
        <v>5729</v>
      </c>
      <c r="B3531" t="str" cm="1">
        <f t="array" ref="B3531">_xlfn.XLOOKUP(C3531, INDEX([2]!카테고리매핑,,2), INDEX([2]!카테고리매핑,,1), "미등록 카테고리")</f>
        <v>상온식품</v>
      </c>
      <c r="C3531" t="s">
        <v>769</v>
      </c>
      <c r="D3531" t="str">
        <f>VLOOKUP(C3531, '[2]VLOOKUP 함수용 카테고리'!$A$1:$B$59, 2, 0)</f>
        <v>GRAIN</v>
      </c>
      <c r="E3531" t="s">
        <v>770</v>
      </c>
      <c r="F3531" t="s">
        <v>2224</v>
      </c>
    </row>
    <row r="3532" spans="1:6" x14ac:dyDescent="0.3">
      <c r="A3532" t="s">
        <v>5730</v>
      </c>
      <c r="B3532" t="str" cm="1">
        <f t="array" ref="B3532">_xlfn.XLOOKUP(C3532, INDEX([2]!카테고리매핑,,2), INDEX([2]!카테고리매핑,,1), "미등록 카테고리")</f>
        <v>육류/계란</v>
      </c>
      <c r="C3532" t="s">
        <v>298</v>
      </c>
      <c r="D3532" t="str">
        <f>VLOOKUP(C3532, '[2]VLOOKUP 함수용 카테고리'!$A$1:$B$59, 2, 0)</f>
        <v>RAW_MEAT</v>
      </c>
      <c r="E3532" t="s">
        <v>298</v>
      </c>
      <c r="F3532" t="s">
        <v>72</v>
      </c>
    </row>
    <row r="3533" spans="1:6" x14ac:dyDescent="0.3">
      <c r="A3533" t="s">
        <v>5731</v>
      </c>
      <c r="B3533" t="str" cm="1">
        <f t="array" ref="B3533">_xlfn.XLOOKUP(C3533, INDEX([2]!카테고리매핑,,2), INDEX([2]!카테고리매핑,,1), "미등록 카테고리")</f>
        <v>음료</v>
      </c>
      <c r="C3533" t="s">
        <v>23</v>
      </c>
      <c r="D3533" t="str">
        <f>VLOOKUP(C3533, '[2]VLOOKUP 함수용 카테고리'!$A$1:$B$59, 2, 0)</f>
        <v>BEVERAGE</v>
      </c>
      <c r="E3533" t="s">
        <v>5732</v>
      </c>
      <c r="F3533" t="s">
        <v>5013</v>
      </c>
    </row>
    <row r="3534" spans="1:6" x14ac:dyDescent="0.3">
      <c r="A3534" t="s">
        <v>5733</v>
      </c>
      <c r="B3534" t="str" cm="1">
        <f t="array" ref="B3534">_xlfn.XLOOKUP(C3534, INDEX([2]!카테고리매핑,,2), INDEX([2]!카테고리매핑,,1), "미등록 카테고리")</f>
        <v>미등록 카테고리</v>
      </c>
      <c r="C3534" t="s">
        <v>334</v>
      </c>
      <c r="D3534" t="str">
        <f>VLOOKUP(C3534, '[2]VLOOKUP 함수용 카테고리'!$A$1:$B$59, 2, 0)</f>
        <v>UNKNOWN</v>
      </c>
      <c r="E3534" t="s">
        <v>334</v>
      </c>
      <c r="F3534" t="s">
        <v>2823</v>
      </c>
    </row>
    <row r="3535" spans="1:6" x14ac:dyDescent="0.3">
      <c r="A3535" t="s">
        <v>5734</v>
      </c>
      <c r="B3535" t="str" cm="1">
        <f t="array" ref="B3535">_xlfn.XLOOKUP(C3535, INDEX([2]!카테고리매핑,,2), INDEX([2]!카테고리매핑,,1), "미등록 카테고리")</f>
        <v>간식류</v>
      </c>
      <c r="C3535" t="s">
        <v>63</v>
      </c>
      <c r="D3535" t="str">
        <f>VLOOKUP(C3535, '[2]VLOOKUP 함수용 카테고리'!$A$1:$B$59, 2, 0)</f>
        <v>BAKERY</v>
      </c>
      <c r="E3535" t="s">
        <v>2522</v>
      </c>
      <c r="F3535" t="s">
        <v>2087</v>
      </c>
    </row>
    <row r="3536" spans="1:6" x14ac:dyDescent="0.3">
      <c r="A3536" t="s">
        <v>5735</v>
      </c>
      <c r="B3536" t="str" cm="1">
        <f t="array" ref="B3536">_xlfn.XLOOKUP(C3536, INDEX([2]!카테고리매핑,,2), INDEX([2]!카테고리매핑,,1), "미등록 카테고리")</f>
        <v>간편식</v>
      </c>
      <c r="C3536" t="s">
        <v>167</v>
      </c>
      <c r="D3536" t="str">
        <f>VLOOKUP(C3536, '[2]VLOOKUP 함수용 카테고리'!$A$1:$B$59, 2, 0)</f>
        <v>INSTANT</v>
      </c>
      <c r="E3536" t="s">
        <v>5736</v>
      </c>
    </row>
    <row r="3537" spans="1:6" x14ac:dyDescent="0.3">
      <c r="A3537" t="s">
        <v>5737</v>
      </c>
      <c r="B3537" t="str" cm="1">
        <f t="array" ref="B3537">_xlfn.XLOOKUP(C3537, INDEX([2]!카테고리매핑,,2), INDEX([2]!카테고리매핑,,1), "미등록 카테고리")</f>
        <v>간편식</v>
      </c>
      <c r="C3537" t="s">
        <v>131</v>
      </c>
      <c r="D3537" t="str">
        <f>VLOOKUP(C3537, '[2]VLOOKUP 함수용 카테고리'!$A$1:$B$59, 2, 0)</f>
        <v>SIMPLE_PROCESSED</v>
      </c>
      <c r="E3537" t="s">
        <v>5738</v>
      </c>
      <c r="F3537" t="s">
        <v>5739</v>
      </c>
    </row>
    <row r="3538" spans="1:6" x14ac:dyDescent="0.3">
      <c r="A3538" t="s">
        <v>5740</v>
      </c>
      <c r="B3538" t="str" cm="1">
        <f t="array" ref="B3538">_xlfn.XLOOKUP(C3538, INDEX([2]!카테고리매핑,,2), INDEX([2]!카테고리매핑,,1), "미등록 카테고리")</f>
        <v>육류/계란</v>
      </c>
      <c r="C3538" t="s">
        <v>428</v>
      </c>
      <c r="D3538" t="str">
        <f>VLOOKUP(C3538, '[2]VLOOKUP 함수용 카테고리'!$A$1:$B$59, 2, 0)</f>
        <v>PROCESSED_MEAT</v>
      </c>
      <c r="E3538" t="s">
        <v>943</v>
      </c>
      <c r="F3538" t="s">
        <v>1141</v>
      </c>
    </row>
    <row r="3539" spans="1:6" x14ac:dyDescent="0.3">
      <c r="A3539" t="s">
        <v>5741</v>
      </c>
      <c r="B3539" t="str" cm="1">
        <f t="array" ref="B3539">_xlfn.XLOOKUP(C3539, INDEX([2]!카테고리매핑,,2), INDEX([2]!카테고리매핑,,1), "미등록 카테고리")</f>
        <v>간편식</v>
      </c>
      <c r="C3539" t="s">
        <v>131</v>
      </c>
      <c r="D3539" t="str">
        <f>VLOOKUP(C3539, '[2]VLOOKUP 함수용 카테고리'!$A$1:$B$59, 2, 0)</f>
        <v>SIMPLE_PROCESSED</v>
      </c>
      <c r="E3539" t="s">
        <v>2226</v>
      </c>
      <c r="F3539" t="s">
        <v>419</v>
      </c>
    </row>
    <row r="3540" spans="1:6" x14ac:dyDescent="0.3">
      <c r="A3540" t="s">
        <v>5742</v>
      </c>
      <c r="B3540" t="str" cm="1">
        <f t="array" ref="B3540">_xlfn.XLOOKUP(C3540, INDEX([2]!카테고리매핑,,2), INDEX([2]!카테고리매핑,,1), "미등록 카테고리")</f>
        <v>채소/곡물류</v>
      </c>
      <c r="C3540" t="s">
        <v>207</v>
      </c>
      <c r="D3540" t="str">
        <f>VLOOKUP(C3540, '[2]VLOOKUP 함수용 카테고리'!$A$1:$B$59, 2, 0)</f>
        <v>GRAIN</v>
      </c>
      <c r="E3540" t="s">
        <v>2588</v>
      </c>
      <c r="F3540" t="s">
        <v>381</v>
      </c>
    </row>
    <row r="3541" spans="1:6" x14ac:dyDescent="0.3">
      <c r="A3541" t="s">
        <v>5743</v>
      </c>
      <c r="B3541" t="str" cm="1">
        <f t="array" ref="B3541">_xlfn.XLOOKUP(C3541, INDEX([2]!카테고리매핑,,2), INDEX([2]!카테고리매핑,,1), "미등록 카테고리")</f>
        <v>수산물</v>
      </c>
      <c r="C3541" t="s">
        <v>229</v>
      </c>
      <c r="D3541" t="str">
        <f>VLOOKUP(C3541, '[2]VLOOKUP 함수용 카테고리'!$A$1:$B$59, 2, 0)</f>
        <v>RAW_SEAFOOD</v>
      </c>
      <c r="E3541" t="s">
        <v>5744</v>
      </c>
      <c r="F3541" t="s">
        <v>151</v>
      </c>
    </row>
    <row r="3542" spans="1:6" x14ac:dyDescent="0.3">
      <c r="A3542" t="s">
        <v>5745</v>
      </c>
      <c r="B3542" t="str" cm="1">
        <f t="array" ref="B3542">_xlfn.XLOOKUP(C3542, INDEX([2]!카테고리매핑,,2), INDEX([2]!카테고리매핑,,1), "미등록 카테고리")</f>
        <v>간편식</v>
      </c>
      <c r="C3542" t="s">
        <v>131</v>
      </c>
      <c r="D3542" t="str">
        <f>VLOOKUP(C3542, '[2]VLOOKUP 함수용 카테고리'!$A$1:$B$59, 2, 0)</f>
        <v>SIMPLE_PROCESSED</v>
      </c>
      <c r="E3542" t="s">
        <v>1817</v>
      </c>
      <c r="F3542" t="s">
        <v>191</v>
      </c>
    </row>
    <row r="3543" spans="1:6" x14ac:dyDescent="0.3">
      <c r="A3543" t="s">
        <v>5746</v>
      </c>
      <c r="B3543" t="str" cm="1">
        <f t="array" ref="B3543">_xlfn.XLOOKUP(C3543, INDEX([2]!카테고리매핑,,2), INDEX([2]!카테고리매핑,,1), "미등록 카테고리")</f>
        <v>채소/곡물류</v>
      </c>
      <c r="C3543" t="s">
        <v>301</v>
      </c>
      <c r="D3543" t="str">
        <f>VLOOKUP(C3543, '[2]VLOOKUP 함수용 카테고리'!$A$1:$B$59, 2, 0)</f>
        <v>GRAIN</v>
      </c>
      <c r="E3543" t="s">
        <v>611</v>
      </c>
      <c r="F3543" t="s">
        <v>598</v>
      </c>
    </row>
    <row r="3544" spans="1:6" x14ac:dyDescent="0.3">
      <c r="A3544" t="s">
        <v>5747</v>
      </c>
      <c r="B3544" t="str" cm="1">
        <f t="array" ref="B3544">_xlfn.XLOOKUP(C3544, INDEX([2]!카테고리매핑,,2), INDEX([2]!카테고리매핑,,1), "미등록 카테고리")</f>
        <v>음료</v>
      </c>
      <c r="C3544" t="s">
        <v>23</v>
      </c>
      <c r="D3544" t="str">
        <f>VLOOKUP(C3544, '[2]VLOOKUP 함수용 카테고리'!$A$1:$B$59, 2, 0)</f>
        <v>BEVERAGE</v>
      </c>
      <c r="E3544" t="s">
        <v>1156</v>
      </c>
      <c r="F3544" t="s">
        <v>4036</v>
      </c>
    </row>
    <row r="3545" spans="1:6" x14ac:dyDescent="0.3">
      <c r="A3545" t="s">
        <v>5748</v>
      </c>
      <c r="B3545" t="str" cm="1">
        <f t="array" ref="B3545">_xlfn.XLOOKUP(C3545, INDEX([2]!카테고리매핑,,2), INDEX([2]!카테고리매핑,,1), "미등록 카테고리")</f>
        <v>간편식</v>
      </c>
      <c r="C3545" t="s">
        <v>19</v>
      </c>
      <c r="D3545" t="str">
        <f>VLOOKUP(C3545, '[2]VLOOKUP 함수용 카테고리'!$A$1:$B$59, 2, 0)</f>
        <v>FROZEN_MEAL</v>
      </c>
      <c r="E3545" t="s">
        <v>3318</v>
      </c>
      <c r="F3545" t="s">
        <v>760</v>
      </c>
    </row>
    <row r="3546" spans="1:6" x14ac:dyDescent="0.3">
      <c r="A3546" t="s">
        <v>5749</v>
      </c>
      <c r="B3546" t="str" cm="1">
        <f t="array" ref="B3546">_xlfn.XLOOKUP(C3546, INDEX([2]!카테고리매핑,,2), INDEX([2]!카테고리매핑,,1), "미등록 카테고리")</f>
        <v>채소/곡물류</v>
      </c>
      <c r="C3546" t="s">
        <v>301</v>
      </c>
      <c r="D3546" t="str">
        <f>VLOOKUP(C3546, '[2]VLOOKUP 함수용 카테고리'!$A$1:$B$59, 2, 0)</f>
        <v>GRAIN</v>
      </c>
      <c r="E3546" t="s">
        <v>611</v>
      </c>
      <c r="F3546" t="s">
        <v>7856</v>
      </c>
    </row>
    <row r="3547" spans="1:6" x14ac:dyDescent="0.3">
      <c r="A3547" t="s">
        <v>5750</v>
      </c>
      <c r="B3547" t="str" cm="1">
        <f t="array" ref="B3547">_xlfn.XLOOKUP(C3547, INDEX([2]!카테고리매핑,,2), INDEX([2]!카테고리매핑,,1), "미등록 카테고리")</f>
        <v>음료</v>
      </c>
      <c r="C3547" t="s">
        <v>23</v>
      </c>
      <c r="D3547" t="str">
        <f>VLOOKUP(C3547, '[2]VLOOKUP 함수용 카테고리'!$A$1:$B$59, 2, 0)</f>
        <v>BEVERAGE</v>
      </c>
      <c r="E3547" t="s">
        <v>74</v>
      </c>
      <c r="F3547" t="s">
        <v>65</v>
      </c>
    </row>
    <row r="3548" spans="1:6" x14ac:dyDescent="0.3">
      <c r="A3548" t="s">
        <v>5751</v>
      </c>
      <c r="B3548" t="str" cm="1">
        <f t="array" ref="B3548">_xlfn.XLOOKUP(C3548, INDEX([2]!카테고리매핑,,2), INDEX([2]!카테고리매핑,,1), "미등록 카테고리")</f>
        <v>조미료</v>
      </c>
      <c r="C3548" t="s">
        <v>83</v>
      </c>
      <c r="D3548" t="str">
        <f>VLOOKUP(C3548, '[2]VLOOKUP 함수용 카테고리'!$A$1:$B$59, 2, 0)</f>
        <v>SAUCE_SEASONING</v>
      </c>
      <c r="E3548" t="s">
        <v>658</v>
      </c>
      <c r="F3548" t="s">
        <v>1580</v>
      </c>
    </row>
    <row r="3549" spans="1:6" x14ac:dyDescent="0.3">
      <c r="A3549" t="s">
        <v>5752</v>
      </c>
      <c r="B3549" t="str" cm="1">
        <f t="array" ref="B3549">_xlfn.XLOOKUP(C3549, INDEX([2]!카테고리매핑,,2), INDEX([2]!카테고리매핑,,1), "미등록 카테고리")</f>
        <v>간식류</v>
      </c>
      <c r="C3549" t="s">
        <v>11</v>
      </c>
      <c r="D3549" t="str">
        <f>VLOOKUP(C3549, '[2]VLOOKUP 함수용 카테고리'!$A$1:$B$59, 2, 0)</f>
        <v>SNACK</v>
      </c>
      <c r="E3549" t="s">
        <v>153</v>
      </c>
      <c r="F3549" t="s">
        <v>5753</v>
      </c>
    </row>
    <row r="3550" spans="1:6" x14ac:dyDescent="0.3">
      <c r="A3550" t="s">
        <v>5754</v>
      </c>
      <c r="B3550" t="str" cm="1">
        <f t="array" ref="B3550">_xlfn.XLOOKUP(C3550, INDEX([2]!카테고리매핑,,2), INDEX([2]!카테고리매핑,,1), "미등록 카테고리")</f>
        <v>유제품</v>
      </c>
      <c r="C3550" t="s">
        <v>211</v>
      </c>
      <c r="D3550" t="str">
        <f>VLOOKUP(C3550, '[2]VLOOKUP 함수용 카테고리'!$A$1:$B$59, 2, 0)</f>
        <v>DAIRY</v>
      </c>
      <c r="E3550" t="s">
        <v>211</v>
      </c>
      <c r="F3550" t="s">
        <v>191</v>
      </c>
    </row>
    <row r="3551" spans="1:6" x14ac:dyDescent="0.3">
      <c r="A3551" t="s">
        <v>5755</v>
      </c>
      <c r="B3551" t="str" cm="1">
        <f t="array" ref="B3551">_xlfn.XLOOKUP(C3551, INDEX([2]!카테고리매핑,,2), INDEX([2]!카테고리매핑,,1), "미등록 카테고리")</f>
        <v>조미료</v>
      </c>
      <c r="C3551" t="s">
        <v>558</v>
      </c>
      <c r="D3551" t="str">
        <f>VLOOKUP(C3551, '[2]VLOOKUP 함수용 카테고리'!$A$1:$B$59, 2, 0)</f>
        <v>SAUCE_SEASONING</v>
      </c>
      <c r="E3551" t="s">
        <v>559</v>
      </c>
      <c r="F3551" t="s">
        <v>5756</v>
      </c>
    </row>
    <row r="3552" spans="1:6" x14ac:dyDescent="0.3">
      <c r="A3552" t="s">
        <v>5757</v>
      </c>
      <c r="B3552" t="str" cm="1">
        <f t="array" ref="B3552">_xlfn.XLOOKUP(C3552, INDEX([2]!카테고리매핑,,2), INDEX([2]!카테고리매핑,,1), "미등록 카테고리")</f>
        <v>채소/곡물류</v>
      </c>
      <c r="C3552" t="s">
        <v>7</v>
      </c>
      <c r="D3552" t="str">
        <f>VLOOKUP(C3552, '[2]VLOOKUP 함수용 카테고리'!$A$1:$B$59, 2, 0)</f>
        <v>RAW_PRODUCE</v>
      </c>
      <c r="E3552" t="s">
        <v>716</v>
      </c>
    </row>
    <row r="3553" spans="1:6" x14ac:dyDescent="0.3">
      <c r="A3553" t="s">
        <v>5758</v>
      </c>
      <c r="B3553" t="str" cm="1">
        <f t="array" ref="B3553">_xlfn.XLOOKUP(C3553, INDEX([2]!카테고리매핑,,2), INDEX([2]!카테고리매핑,,1), "미등록 카테고리")</f>
        <v>채소/곡물류</v>
      </c>
      <c r="C3553" t="s">
        <v>301</v>
      </c>
      <c r="D3553" t="str">
        <f>VLOOKUP(C3553, '[2]VLOOKUP 함수용 카테고리'!$A$1:$B$59, 2, 0)</f>
        <v>GRAIN</v>
      </c>
      <c r="E3553" t="s">
        <v>611</v>
      </c>
      <c r="F3553" t="s">
        <v>303</v>
      </c>
    </row>
    <row r="3554" spans="1:6" x14ac:dyDescent="0.3">
      <c r="A3554" t="s">
        <v>5759</v>
      </c>
      <c r="B3554" t="str" cm="1">
        <f t="array" ref="B3554">_xlfn.XLOOKUP(C3554, INDEX([2]!카테고리매핑,,2), INDEX([2]!카테고리매핑,,1), "미등록 카테고리")</f>
        <v>간식류</v>
      </c>
      <c r="C3554" t="s">
        <v>15</v>
      </c>
      <c r="D3554" t="str">
        <f>VLOOKUP(C3554, '[2]VLOOKUP 함수용 카테고리'!$A$1:$B$59, 2, 0)</f>
        <v>BAKERY</v>
      </c>
      <c r="E3554" t="s">
        <v>200</v>
      </c>
      <c r="F3554" t="s">
        <v>1311</v>
      </c>
    </row>
    <row r="3555" spans="1:6" x14ac:dyDescent="0.3">
      <c r="A3555" t="s">
        <v>5760</v>
      </c>
      <c r="B3555" t="str" cm="1">
        <f t="array" ref="B3555">_xlfn.XLOOKUP(C3555, INDEX([2]!카테고리매핑,,2), INDEX([2]!카테고리매핑,,1), "미등록 카테고리")</f>
        <v>상온식품</v>
      </c>
      <c r="C3555" t="s">
        <v>835</v>
      </c>
      <c r="D3555" t="str">
        <f>VLOOKUP(C3555, '[2]VLOOKUP 함수용 카테고리'!$A$1:$B$59, 2, 0)</f>
        <v>SAUCE_SEASONING</v>
      </c>
      <c r="E3555" t="s">
        <v>2157</v>
      </c>
      <c r="F3555" t="s">
        <v>2158</v>
      </c>
    </row>
    <row r="3556" spans="1:6" x14ac:dyDescent="0.3">
      <c r="A3556" t="s">
        <v>5761</v>
      </c>
      <c r="B3556" t="str" cm="1">
        <f t="array" ref="B3556">_xlfn.XLOOKUP(C3556, INDEX([2]!카테고리매핑,,2), INDEX([2]!카테고리매핑,,1), "미등록 카테고리")</f>
        <v>상온식품</v>
      </c>
      <c r="C3556" t="s">
        <v>276</v>
      </c>
      <c r="D3556" t="str">
        <f>VLOOKUP(C3556, '[2]VLOOKUP 함수용 카테고리'!$A$1:$B$59, 2, 0)</f>
        <v>DRIED_SEAFOOD</v>
      </c>
      <c r="E3556" t="s">
        <v>277</v>
      </c>
      <c r="F3556" t="s">
        <v>5762</v>
      </c>
    </row>
    <row r="3557" spans="1:6" x14ac:dyDescent="0.3">
      <c r="A3557" t="s">
        <v>5763</v>
      </c>
      <c r="B3557" t="str" cm="1">
        <f t="array" ref="B3557">_xlfn.XLOOKUP(C3557, INDEX([2]!카테고리매핑,,2), INDEX([2]!카테고리매핑,,1), "미등록 카테고리")</f>
        <v>채소/곡물류</v>
      </c>
      <c r="C3557" t="s">
        <v>7</v>
      </c>
      <c r="D3557" t="str">
        <f>VLOOKUP(C3557, '[2]VLOOKUP 함수용 카테고리'!$A$1:$B$59, 2, 0)</f>
        <v>RAW_PRODUCE</v>
      </c>
      <c r="E3557" t="s">
        <v>2884</v>
      </c>
      <c r="F3557" t="s">
        <v>2174</v>
      </c>
    </row>
    <row r="3558" spans="1:6" x14ac:dyDescent="0.3">
      <c r="A3558" t="s">
        <v>5764</v>
      </c>
      <c r="B3558" t="str" cm="1">
        <f t="array" ref="B3558">_xlfn.XLOOKUP(C3558, INDEX([2]!카테고리매핑,,2), INDEX([2]!카테고리매핑,,1), "미등록 카테고리")</f>
        <v>음료</v>
      </c>
      <c r="C3558" t="s">
        <v>23</v>
      </c>
      <c r="D3558" t="str">
        <f>VLOOKUP(C3558, '[2]VLOOKUP 함수용 카테고리'!$A$1:$B$59, 2, 0)</f>
        <v>BEVERAGE</v>
      </c>
      <c r="E3558" t="s">
        <v>2051</v>
      </c>
      <c r="F3558" t="s">
        <v>5765</v>
      </c>
    </row>
    <row r="3559" spans="1:6" x14ac:dyDescent="0.3">
      <c r="A3559" t="s">
        <v>5766</v>
      </c>
      <c r="B3559" t="str" cm="1">
        <f t="array" ref="B3559">_xlfn.XLOOKUP(C3559, INDEX([2]!카테고리매핑,,2), INDEX([2]!카테고리매핑,,1), "미등록 카테고리")</f>
        <v>조미료</v>
      </c>
      <c r="C3559" t="s">
        <v>117</v>
      </c>
      <c r="D3559" t="str">
        <f>VLOOKUP(C3559, '[2]VLOOKUP 함수용 카테고리'!$A$1:$B$59, 2, 0)</f>
        <v>SAUCE_SEASONING</v>
      </c>
      <c r="E3559" t="s">
        <v>1493</v>
      </c>
      <c r="F3559" t="s">
        <v>2372</v>
      </c>
    </row>
    <row r="3560" spans="1:6" x14ac:dyDescent="0.3">
      <c r="A3560" t="s">
        <v>5767</v>
      </c>
      <c r="B3560" t="str" cm="1">
        <f t="array" ref="B3560">_xlfn.XLOOKUP(C3560, INDEX([2]!카테고리매핑,,2), INDEX([2]!카테고리매핑,,1), "미등록 카테고리")</f>
        <v>간편식</v>
      </c>
      <c r="C3560" t="s">
        <v>158</v>
      </c>
      <c r="D3560" t="str">
        <f>VLOOKUP(C3560, '[2]VLOOKUP 함수용 카테고리'!$A$1:$B$59, 2, 0)</f>
        <v>INSTANT</v>
      </c>
      <c r="E3560" t="s">
        <v>5768</v>
      </c>
      <c r="F3560" t="s">
        <v>129</v>
      </c>
    </row>
    <row r="3561" spans="1:6" x14ac:dyDescent="0.3">
      <c r="A3561" t="s">
        <v>5769</v>
      </c>
      <c r="B3561" t="str" cm="1">
        <f t="array" ref="B3561">_xlfn.XLOOKUP(C3561, INDEX([2]!카테고리매핑,,2), INDEX([2]!카테고리매핑,,1), "미등록 카테고리")</f>
        <v>조미료</v>
      </c>
      <c r="C3561" t="s">
        <v>83</v>
      </c>
      <c r="D3561" t="str">
        <f>VLOOKUP(C3561, '[2]VLOOKUP 함수용 카테고리'!$A$1:$B$59, 2, 0)</f>
        <v>SAUCE_SEASONING</v>
      </c>
      <c r="E3561" t="s">
        <v>658</v>
      </c>
      <c r="F3561" t="s">
        <v>1580</v>
      </c>
    </row>
    <row r="3562" spans="1:6" x14ac:dyDescent="0.3">
      <c r="A3562" t="s">
        <v>5770</v>
      </c>
      <c r="B3562" t="str" cm="1">
        <f t="array" ref="B3562">_xlfn.XLOOKUP(C3562, INDEX([2]!카테고리매핑,,2), INDEX([2]!카테고리매핑,,1), "미등록 카테고리")</f>
        <v>채소/곡물류</v>
      </c>
      <c r="C3562" t="s">
        <v>27</v>
      </c>
      <c r="D3562" t="str">
        <f>VLOOKUP(C3562, '[2]VLOOKUP 함수용 카테고리'!$A$1:$B$59, 2, 0)</f>
        <v>SIMPLE_PROCESSED</v>
      </c>
      <c r="E3562" t="s">
        <v>28</v>
      </c>
      <c r="F3562" t="s">
        <v>72</v>
      </c>
    </row>
    <row r="3563" spans="1:6" x14ac:dyDescent="0.3">
      <c r="A3563" t="s">
        <v>5771</v>
      </c>
      <c r="B3563" t="str" cm="1">
        <f t="array" ref="B3563">_xlfn.XLOOKUP(C3563, INDEX([2]!카테고리매핑,,2), INDEX([2]!카테고리매핑,,1), "미등록 카테고리")</f>
        <v>간편식</v>
      </c>
      <c r="C3563" t="s">
        <v>158</v>
      </c>
      <c r="D3563" t="str">
        <f>VLOOKUP(C3563, '[2]VLOOKUP 함수용 카테고리'!$A$1:$B$59, 2, 0)</f>
        <v>INSTANT</v>
      </c>
      <c r="E3563" t="s">
        <v>7654</v>
      </c>
      <c r="F3563" t="s">
        <v>7853</v>
      </c>
    </row>
    <row r="3564" spans="1:6" x14ac:dyDescent="0.3">
      <c r="A3564" t="s">
        <v>5773</v>
      </c>
      <c r="B3564" t="str" cm="1">
        <f t="array" ref="B3564">_xlfn.XLOOKUP(C3564, INDEX([2]!카테고리매핑,,2), INDEX([2]!카테고리매핑,,1), "미등록 카테고리")</f>
        <v>조미료</v>
      </c>
      <c r="C3564" t="s">
        <v>127</v>
      </c>
      <c r="D3564" t="str">
        <f>VLOOKUP(C3564, '[2]VLOOKUP 함수용 카테고리'!$A$1:$B$59, 2, 0)</f>
        <v>SAUCE_SEASONING</v>
      </c>
      <c r="E3564" t="s">
        <v>5774</v>
      </c>
      <c r="F3564" t="s">
        <v>182</v>
      </c>
    </row>
    <row r="3565" spans="1:6" x14ac:dyDescent="0.3">
      <c r="A3565" t="s">
        <v>5775</v>
      </c>
      <c r="B3565" t="str" cm="1">
        <f t="array" ref="B3565">_xlfn.XLOOKUP(C3565, INDEX([2]!카테고리매핑,,2), INDEX([2]!카테고리매핑,,1), "미등록 카테고리")</f>
        <v>간식류</v>
      </c>
      <c r="C3565" t="s">
        <v>38</v>
      </c>
      <c r="D3565" t="str">
        <f>VLOOKUP(C3565, '[2]VLOOKUP 함수용 카테고리'!$A$1:$B$59, 2, 0)</f>
        <v>SNACK</v>
      </c>
      <c r="E3565" t="s">
        <v>179</v>
      </c>
      <c r="F3565" t="s">
        <v>5776</v>
      </c>
    </row>
    <row r="3566" spans="1:6" x14ac:dyDescent="0.3">
      <c r="A3566" t="s">
        <v>5777</v>
      </c>
      <c r="B3566" t="str" cm="1">
        <f t="array" ref="B3566">_xlfn.XLOOKUP(C3566, INDEX([2]!카테고리매핑,,2), INDEX([2]!카테고리매핑,,1), "미등록 카테고리")</f>
        <v>상온식품</v>
      </c>
      <c r="C3566" t="s">
        <v>835</v>
      </c>
      <c r="D3566" t="str">
        <f>VLOOKUP(C3566, '[2]VLOOKUP 함수용 카테고리'!$A$1:$B$59, 2, 0)</f>
        <v>SAUCE_SEASONING</v>
      </c>
      <c r="E3566" t="s">
        <v>2157</v>
      </c>
      <c r="F3566" t="s">
        <v>1659</v>
      </c>
    </row>
    <row r="3567" spans="1:6" x14ac:dyDescent="0.3">
      <c r="A3567" t="s">
        <v>5778</v>
      </c>
      <c r="B3567" t="str" cm="1">
        <f t="array" ref="B3567">_xlfn.XLOOKUP(C3567, INDEX([2]!카테고리매핑,,2), INDEX([2]!카테고리매핑,,1), "미등록 카테고리")</f>
        <v>음료</v>
      </c>
      <c r="C3567" t="s">
        <v>23</v>
      </c>
      <c r="D3567" t="str">
        <f>VLOOKUP(C3567, '[2]VLOOKUP 함수용 카테고리'!$A$1:$B$59, 2, 0)</f>
        <v>BEVERAGE</v>
      </c>
      <c r="E3567" t="s">
        <v>4260</v>
      </c>
      <c r="F3567" t="s">
        <v>4261</v>
      </c>
    </row>
    <row r="3568" spans="1:6" x14ac:dyDescent="0.3">
      <c r="A3568" t="s">
        <v>5779</v>
      </c>
      <c r="B3568" t="str" cm="1">
        <f t="array" ref="B3568">_xlfn.XLOOKUP(C3568, INDEX([2]!카테고리매핑,,2), INDEX([2]!카테고리매핑,,1), "미등록 카테고리")</f>
        <v>채소/곡물류</v>
      </c>
      <c r="C3568" t="s">
        <v>7</v>
      </c>
      <c r="D3568" t="str">
        <f>VLOOKUP(C3568, '[2]VLOOKUP 함수용 카테고리'!$A$1:$B$59, 2, 0)</f>
        <v>RAW_PRODUCE</v>
      </c>
      <c r="E3568" t="s">
        <v>1177</v>
      </c>
      <c r="F3568" t="s">
        <v>2174</v>
      </c>
    </row>
    <row r="3569" spans="1:6" x14ac:dyDescent="0.3">
      <c r="A3569" t="s">
        <v>5780</v>
      </c>
      <c r="B3569" t="str" cm="1">
        <f t="array" ref="B3569">_xlfn.XLOOKUP(C3569, INDEX([2]!카테고리매핑,,2), INDEX([2]!카테고리매핑,,1), "미등록 카테고리")</f>
        <v>간편식</v>
      </c>
      <c r="C3569" t="s">
        <v>131</v>
      </c>
      <c r="D3569" t="str">
        <f>VLOOKUP(C3569, '[2]VLOOKUP 함수용 카테고리'!$A$1:$B$59, 2, 0)</f>
        <v>SIMPLE_PROCESSED</v>
      </c>
      <c r="E3569" t="s">
        <v>415</v>
      </c>
      <c r="F3569" t="s">
        <v>237</v>
      </c>
    </row>
    <row r="3570" spans="1:6" x14ac:dyDescent="0.3">
      <c r="A3570" t="s">
        <v>5781</v>
      </c>
      <c r="B3570" t="str" cm="1">
        <f t="array" ref="B3570">_xlfn.XLOOKUP(C3570, INDEX([2]!카테고리매핑,,2), INDEX([2]!카테고리매핑,,1), "미등록 카테고리")</f>
        <v>간편식</v>
      </c>
      <c r="C3570" t="s">
        <v>46</v>
      </c>
      <c r="D3570" t="str">
        <f>VLOOKUP(C3570, '[2]VLOOKUP 함수용 카테고리'!$A$1:$B$59, 2, 0)</f>
        <v>RTC_MEAL</v>
      </c>
      <c r="E3570" t="s">
        <v>46</v>
      </c>
      <c r="F3570" t="s">
        <v>5452</v>
      </c>
    </row>
    <row r="3571" spans="1:6" x14ac:dyDescent="0.3">
      <c r="A3571" t="s">
        <v>5782</v>
      </c>
      <c r="B3571" t="str" cm="1">
        <f t="array" ref="B3571">_xlfn.XLOOKUP(C3571, INDEX([2]!카테고리매핑,,2), INDEX([2]!카테고리매핑,,1), "미등록 카테고리")</f>
        <v>간편식</v>
      </c>
      <c r="C3571" t="s">
        <v>256</v>
      </c>
      <c r="D3571" t="str">
        <f>VLOOKUP(C3571, '[2]VLOOKUP 함수용 카테고리'!$A$1:$B$59, 2, 0)</f>
        <v>RTC_MEAL</v>
      </c>
      <c r="E3571" t="s">
        <v>256</v>
      </c>
      <c r="F3571" t="s">
        <v>246</v>
      </c>
    </row>
    <row r="3572" spans="1:6" x14ac:dyDescent="0.3">
      <c r="A3572" t="s">
        <v>5783</v>
      </c>
      <c r="B3572" t="str" cm="1">
        <f t="array" ref="B3572">_xlfn.XLOOKUP(C3572, INDEX([2]!카테고리매핑,,2), INDEX([2]!카테고리매핑,,1), "미등록 카테고리")</f>
        <v>채소/곡물류</v>
      </c>
      <c r="C3572" t="s">
        <v>7</v>
      </c>
      <c r="D3572" t="str">
        <f>VLOOKUP(C3572, '[2]VLOOKUP 함수용 카테고리'!$A$1:$B$59, 2, 0)</f>
        <v>RAW_PRODUCE</v>
      </c>
      <c r="E3572" t="s">
        <v>331</v>
      </c>
    </row>
    <row r="3573" spans="1:6" x14ac:dyDescent="0.3">
      <c r="A3573" t="s">
        <v>5784</v>
      </c>
      <c r="B3573" t="str" cm="1">
        <f t="array" ref="B3573">_xlfn.XLOOKUP(C3573, INDEX([2]!카테고리매핑,,2), INDEX([2]!카테고리매핑,,1), "미등록 카테고리")</f>
        <v>간식류</v>
      </c>
      <c r="C3573" t="s">
        <v>11</v>
      </c>
      <c r="D3573" t="str">
        <f>VLOOKUP(C3573, '[2]VLOOKUP 함수용 카테고리'!$A$1:$B$59, 2, 0)</f>
        <v>SNACK</v>
      </c>
      <c r="E3573" t="s">
        <v>371</v>
      </c>
      <c r="F3573" t="s">
        <v>5785</v>
      </c>
    </row>
    <row r="3574" spans="1:6" x14ac:dyDescent="0.3">
      <c r="A3574" t="s">
        <v>5786</v>
      </c>
      <c r="B3574" t="str" cm="1">
        <f t="array" ref="B3574">_xlfn.XLOOKUP(C3574, INDEX([2]!카테고리매핑,,2), INDEX([2]!카테고리매핑,,1), "미등록 카테고리")</f>
        <v>육류/계란</v>
      </c>
      <c r="C3574" t="s">
        <v>298</v>
      </c>
      <c r="D3574" t="str">
        <f>VLOOKUP(C3574, '[2]VLOOKUP 함수용 카테고리'!$A$1:$B$59, 2, 0)</f>
        <v>RAW_MEAT</v>
      </c>
      <c r="E3574" t="s">
        <v>298</v>
      </c>
      <c r="F3574" t="s">
        <v>151</v>
      </c>
    </row>
    <row r="3575" spans="1:6" x14ac:dyDescent="0.3">
      <c r="A3575" t="s">
        <v>5787</v>
      </c>
      <c r="B3575" t="str" cm="1">
        <f t="array" ref="B3575">_xlfn.XLOOKUP(C3575, INDEX([2]!카테고리매핑,,2), INDEX([2]!카테고리매핑,,1), "미등록 카테고리")</f>
        <v>음료</v>
      </c>
      <c r="C3575" t="s">
        <v>23</v>
      </c>
      <c r="D3575" t="str">
        <f>VLOOKUP(C3575, '[2]VLOOKUP 함수용 카테고리'!$A$1:$B$59, 2, 0)</f>
        <v>BEVERAGE</v>
      </c>
      <c r="E3575" t="s">
        <v>1156</v>
      </c>
      <c r="F3575" t="s">
        <v>306</v>
      </c>
    </row>
    <row r="3576" spans="1:6" x14ac:dyDescent="0.3">
      <c r="A3576" t="s">
        <v>5788</v>
      </c>
      <c r="B3576" t="str" cm="1">
        <f t="array" ref="B3576">_xlfn.XLOOKUP(C3576, INDEX([2]!카테고리매핑,,2), INDEX([2]!카테고리매핑,,1), "미등록 카테고리")</f>
        <v>간식류</v>
      </c>
      <c r="C3576" t="s">
        <v>63</v>
      </c>
      <c r="D3576" t="str">
        <f>VLOOKUP(C3576, '[2]VLOOKUP 함수용 카테고리'!$A$1:$B$59, 2, 0)</f>
        <v>BAKERY</v>
      </c>
      <c r="E3576" t="s">
        <v>64</v>
      </c>
      <c r="F3576" t="s">
        <v>1428</v>
      </c>
    </row>
    <row r="3577" spans="1:6" x14ac:dyDescent="0.3">
      <c r="A3577" t="s">
        <v>5789</v>
      </c>
      <c r="B3577" t="str" cm="1">
        <f t="array" ref="B3577">_xlfn.XLOOKUP(C3577, INDEX([2]!카테고리매핑,,2), INDEX([2]!카테고리매핑,,1), "미등록 카테고리")</f>
        <v>간식류</v>
      </c>
      <c r="C3577" t="s">
        <v>15</v>
      </c>
      <c r="D3577" t="str">
        <f>VLOOKUP(C3577, '[2]VLOOKUP 함수용 카테고리'!$A$1:$B$59, 2, 0)</f>
        <v>BAKERY</v>
      </c>
      <c r="E3577" t="s">
        <v>5790</v>
      </c>
      <c r="F3577" t="s">
        <v>1019</v>
      </c>
    </row>
    <row r="3578" spans="1:6" x14ac:dyDescent="0.3">
      <c r="A3578" t="s">
        <v>5791</v>
      </c>
      <c r="B3578" t="str" cm="1">
        <f t="array" ref="B3578">_xlfn.XLOOKUP(C3578, INDEX([2]!카테고리매핑,,2), INDEX([2]!카테고리매핑,,1), "미등록 카테고리")</f>
        <v>간식류</v>
      </c>
      <c r="C3578" t="s">
        <v>63</v>
      </c>
      <c r="D3578" t="str">
        <f>VLOOKUP(C3578, '[2]VLOOKUP 함수용 카테고리'!$A$1:$B$59, 2, 0)</f>
        <v>BAKERY</v>
      </c>
      <c r="E3578" t="s">
        <v>2040</v>
      </c>
      <c r="F3578" t="s">
        <v>5792</v>
      </c>
    </row>
    <row r="3579" spans="1:6" x14ac:dyDescent="0.3">
      <c r="A3579" t="s">
        <v>5793</v>
      </c>
      <c r="B3579" t="str" cm="1">
        <f t="array" ref="B3579">_xlfn.XLOOKUP(C3579, INDEX([2]!카테고리매핑,,2), INDEX([2]!카테고리매핑,,1), "미등록 카테고리")</f>
        <v>음료</v>
      </c>
      <c r="C3579" t="s">
        <v>584</v>
      </c>
      <c r="D3579" t="str">
        <f>VLOOKUP(C3579, '[2]VLOOKUP 함수용 카테고리'!$A$1:$B$59, 2, 0)</f>
        <v>BEVERAGE</v>
      </c>
      <c r="E3579" t="s">
        <v>1257</v>
      </c>
      <c r="F3579" t="s">
        <v>5794</v>
      </c>
    </row>
    <row r="3580" spans="1:6" x14ac:dyDescent="0.3">
      <c r="A3580" t="s">
        <v>5795</v>
      </c>
      <c r="B3580" t="str" cm="1">
        <f t="array" ref="B3580">_xlfn.XLOOKUP(C3580, INDEX([2]!카테고리매핑,,2), INDEX([2]!카테고리매핑,,1), "미등록 카테고리")</f>
        <v>유제품</v>
      </c>
      <c r="C3580" t="s">
        <v>123</v>
      </c>
      <c r="D3580" t="str">
        <f>VLOOKUP(C3580, '[2]VLOOKUP 함수용 카테고리'!$A$1:$B$59, 2, 0)</f>
        <v>DAIRY</v>
      </c>
      <c r="E3580" t="s">
        <v>367</v>
      </c>
      <c r="F3580" t="s">
        <v>193</v>
      </c>
    </row>
    <row r="3581" spans="1:6" x14ac:dyDescent="0.3">
      <c r="A3581" t="s">
        <v>5796</v>
      </c>
      <c r="B3581" t="str" cm="1">
        <f t="array" ref="B3581">_xlfn.XLOOKUP(C3581, INDEX([2]!카테고리매핑,,2), INDEX([2]!카테고리매핑,,1), "미등록 카테고리")</f>
        <v>조미료</v>
      </c>
      <c r="C3581" t="s">
        <v>127</v>
      </c>
      <c r="D3581" t="str">
        <f>VLOOKUP(C3581, '[2]VLOOKUP 함수용 카테고리'!$A$1:$B$59, 2, 0)</f>
        <v>SAUCE_SEASONING</v>
      </c>
      <c r="E3581" t="s">
        <v>171</v>
      </c>
      <c r="F3581" t="s">
        <v>129</v>
      </c>
    </row>
    <row r="3582" spans="1:6" x14ac:dyDescent="0.3">
      <c r="A3582" t="s">
        <v>5797</v>
      </c>
      <c r="B3582" t="str" cm="1">
        <f t="array" ref="B3582">_xlfn.XLOOKUP(C3582, INDEX([2]!카테고리매핑,,2), INDEX([2]!카테고리매핑,,1), "미등록 카테고리")</f>
        <v>간식류</v>
      </c>
      <c r="C3582" t="s">
        <v>63</v>
      </c>
      <c r="D3582" t="str">
        <f>VLOOKUP(C3582, '[2]VLOOKUP 함수용 카테고리'!$A$1:$B$59, 2, 0)</f>
        <v>BAKERY</v>
      </c>
      <c r="E3582" t="s">
        <v>5798</v>
      </c>
      <c r="F3582" t="s">
        <v>17</v>
      </c>
    </row>
    <row r="3583" spans="1:6" x14ac:dyDescent="0.3">
      <c r="A3583" t="s">
        <v>5799</v>
      </c>
      <c r="B3583" t="str" cm="1">
        <f t="array" ref="B3583">_xlfn.XLOOKUP(C3583, INDEX([2]!카테고리매핑,,2), INDEX([2]!카테고리매핑,,1), "미등록 카테고리")</f>
        <v>조미료</v>
      </c>
      <c r="C3583" t="s">
        <v>117</v>
      </c>
      <c r="D3583" t="str">
        <f>VLOOKUP(C3583, '[2]VLOOKUP 함수용 카테고리'!$A$1:$B$59, 2, 0)</f>
        <v>SAUCE_SEASONING</v>
      </c>
      <c r="E3583" t="s">
        <v>2481</v>
      </c>
      <c r="F3583" t="s">
        <v>129</v>
      </c>
    </row>
    <row r="3584" spans="1:6" x14ac:dyDescent="0.3">
      <c r="A3584" t="s">
        <v>5800</v>
      </c>
      <c r="B3584" t="str" cm="1">
        <f t="array" ref="B3584">_xlfn.XLOOKUP(C3584, INDEX([2]!카테고리매핑,,2), INDEX([2]!카테고리매핑,,1), "미등록 카테고리")</f>
        <v>육류/계란</v>
      </c>
      <c r="C3584" t="s">
        <v>34</v>
      </c>
      <c r="D3584" t="str">
        <f>VLOOKUP(C3584, '[2]VLOOKUP 함수용 카테고리'!$A$1:$B$59, 2, 0)</f>
        <v>RAW_MEAT</v>
      </c>
      <c r="E3584" t="s">
        <v>2839</v>
      </c>
      <c r="F3584" t="s">
        <v>3203</v>
      </c>
    </row>
    <row r="3585" spans="1:6" x14ac:dyDescent="0.3">
      <c r="A3585" t="s">
        <v>5801</v>
      </c>
      <c r="B3585" t="str" cm="1">
        <f t="array" ref="B3585">_xlfn.XLOOKUP(C3585, INDEX([2]!카테고리매핑,,2), INDEX([2]!카테고리매핑,,1), "미등록 카테고리")</f>
        <v>채소/곡물류</v>
      </c>
      <c r="C3585" t="s">
        <v>7</v>
      </c>
      <c r="D3585" t="str">
        <f>VLOOKUP(C3585, '[2]VLOOKUP 함수용 카테고리'!$A$1:$B$59, 2, 0)</f>
        <v>RAW_PRODUCE</v>
      </c>
      <c r="E3585" t="s">
        <v>331</v>
      </c>
      <c r="F3585" t="s">
        <v>151</v>
      </c>
    </row>
    <row r="3586" spans="1:6" x14ac:dyDescent="0.3">
      <c r="A3586" t="s">
        <v>5802</v>
      </c>
      <c r="B3586" t="str" cm="1">
        <f t="array" ref="B3586">_xlfn.XLOOKUP(C3586, INDEX([2]!카테고리매핑,,2), INDEX([2]!카테고리매핑,,1), "미등록 카테고리")</f>
        <v>술</v>
      </c>
      <c r="C3586" t="s">
        <v>56</v>
      </c>
      <c r="D3586" t="str">
        <f>VLOOKUP(C3586, '[2]VLOOKUP 함수용 카테고리'!$A$1:$B$59, 2, 0)</f>
        <v>ALCOHOL</v>
      </c>
      <c r="E3586" t="s">
        <v>505</v>
      </c>
      <c r="F3586" t="s">
        <v>7857</v>
      </c>
    </row>
    <row r="3587" spans="1:6" x14ac:dyDescent="0.3">
      <c r="A3587" t="s">
        <v>5803</v>
      </c>
      <c r="B3587" t="str" cm="1">
        <f t="array" ref="B3587">_xlfn.XLOOKUP(C3587, INDEX([2]!카테고리매핑,,2), INDEX([2]!카테고리매핑,,1), "미등록 카테고리")</f>
        <v>간편식</v>
      </c>
      <c r="C3587" t="s">
        <v>19</v>
      </c>
      <c r="D3587" t="str">
        <f>VLOOKUP(C3587, '[2]VLOOKUP 함수용 카테고리'!$A$1:$B$59, 2, 0)</f>
        <v>FROZEN_MEAL</v>
      </c>
      <c r="E3587" t="s">
        <v>5481</v>
      </c>
      <c r="F3587" t="s">
        <v>5482</v>
      </c>
    </row>
    <row r="3588" spans="1:6" x14ac:dyDescent="0.3">
      <c r="A3588" t="s">
        <v>5804</v>
      </c>
      <c r="B3588" t="str" cm="1">
        <f t="array" ref="B3588">_xlfn.XLOOKUP(C3588, INDEX([2]!카테고리매핑,,2), INDEX([2]!카테고리매핑,,1), "미등록 카테고리")</f>
        <v>조미료</v>
      </c>
      <c r="C3588" t="s">
        <v>127</v>
      </c>
      <c r="D3588" t="str">
        <f>VLOOKUP(C3588, '[2]VLOOKUP 함수용 카테고리'!$A$1:$B$59, 2, 0)</f>
        <v>SAUCE_SEASONING</v>
      </c>
      <c r="E3588" t="s">
        <v>1263</v>
      </c>
      <c r="F3588" t="s">
        <v>615</v>
      </c>
    </row>
    <row r="3589" spans="1:6" x14ac:dyDescent="0.3">
      <c r="A3589" t="s">
        <v>5805</v>
      </c>
      <c r="B3589" t="str" cm="1">
        <f t="array" ref="B3589">_xlfn.XLOOKUP(C3589, INDEX([2]!카테고리매핑,,2), INDEX([2]!카테고리매핑,,1), "미등록 카테고리")</f>
        <v>유제품</v>
      </c>
      <c r="C3589" t="s">
        <v>123</v>
      </c>
      <c r="D3589" t="str">
        <f>VLOOKUP(C3589, '[2]VLOOKUP 함수용 카테고리'!$A$1:$B$59, 2, 0)</f>
        <v>DAIRY</v>
      </c>
      <c r="E3589" t="s">
        <v>190</v>
      </c>
      <c r="F3589" t="s">
        <v>623</v>
      </c>
    </row>
    <row r="3590" spans="1:6" x14ac:dyDescent="0.3">
      <c r="A3590" t="s">
        <v>5806</v>
      </c>
      <c r="B3590" t="str" cm="1">
        <f t="array" ref="B3590">_xlfn.XLOOKUP(C3590, INDEX([2]!카테고리매핑,,2), INDEX([2]!카테고리매핑,,1), "미등록 카테고리")</f>
        <v>채소/곡물류</v>
      </c>
      <c r="C3590" t="s">
        <v>7</v>
      </c>
      <c r="D3590" t="str">
        <f>VLOOKUP(C3590, '[2]VLOOKUP 함수용 카테고리'!$A$1:$B$59, 2, 0)</f>
        <v>RAW_PRODUCE</v>
      </c>
      <c r="E3590" t="s">
        <v>331</v>
      </c>
    </row>
    <row r="3591" spans="1:6" x14ac:dyDescent="0.3">
      <c r="A3591" t="s">
        <v>5807</v>
      </c>
      <c r="B3591" t="str" cm="1">
        <f t="array" ref="B3591">_xlfn.XLOOKUP(C3591, INDEX([2]!카테고리매핑,,2), INDEX([2]!카테고리매핑,,1), "미등록 카테고리")</f>
        <v>간식류</v>
      </c>
      <c r="C3591" t="s">
        <v>15</v>
      </c>
      <c r="D3591" t="str">
        <f>VLOOKUP(C3591, '[2]VLOOKUP 함수용 카테고리'!$A$1:$B$59, 2, 0)</f>
        <v>BAKERY</v>
      </c>
      <c r="E3591" t="s">
        <v>2600</v>
      </c>
    </row>
    <row r="3592" spans="1:6" x14ac:dyDescent="0.3">
      <c r="A3592" t="s">
        <v>5808</v>
      </c>
      <c r="B3592" t="str" cm="1">
        <f t="array" ref="B3592">_xlfn.XLOOKUP(C3592, INDEX([2]!카테고리매핑,,2), INDEX([2]!카테고리매핑,,1), "미등록 카테고리")</f>
        <v>조미료</v>
      </c>
      <c r="C3592" t="s">
        <v>83</v>
      </c>
      <c r="D3592" t="str">
        <f>VLOOKUP(C3592, '[2]VLOOKUP 함수용 카테고리'!$A$1:$B$59, 2, 0)</f>
        <v>SAUCE_SEASONING</v>
      </c>
      <c r="E3592" t="s">
        <v>1036</v>
      </c>
      <c r="F3592" t="s">
        <v>5296</v>
      </c>
    </row>
    <row r="3593" spans="1:6" x14ac:dyDescent="0.3">
      <c r="A3593" t="s">
        <v>5809</v>
      </c>
      <c r="B3593" t="str" cm="1">
        <f t="array" ref="B3593">_xlfn.XLOOKUP(C3593, INDEX([2]!카테고리매핑,,2), INDEX([2]!카테고리매핑,,1), "미등록 카테고리")</f>
        <v>미등록 카테고리</v>
      </c>
      <c r="C3593" t="s">
        <v>334</v>
      </c>
      <c r="D3593" t="str">
        <f>VLOOKUP(C3593, '[2]VLOOKUP 함수용 카테고리'!$A$1:$B$59, 2, 0)</f>
        <v>UNKNOWN</v>
      </c>
      <c r="E3593" t="s">
        <v>334</v>
      </c>
      <c r="F3593" t="s">
        <v>3390</v>
      </c>
    </row>
    <row r="3594" spans="1:6" x14ac:dyDescent="0.3">
      <c r="A3594" t="s">
        <v>5810</v>
      </c>
      <c r="B3594" t="str" cm="1">
        <f t="array" ref="B3594">_xlfn.XLOOKUP(C3594, INDEX([2]!카테고리매핑,,2), INDEX([2]!카테고리매핑,,1), "미등록 카테고리")</f>
        <v>간편식</v>
      </c>
      <c r="C3594" t="s">
        <v>19</v>
      </c>
      <c r="D3594" t="str">
        <f>VLOOKUP(C3594, '[2]VLOOKUP 함수용 카테고리'!$A$1:$B$59, 2, 0)</f>
        <v>FROZEN_MEAL</v>
      </c>
      <c r="E3594" t="s">
        <v>5811</v>
      </c>
      <c r="F3594" t="s">
        <v>889</v>
      </c>
    </row>
    <row r="3595" spans="1:6" x14ac:dyDescent="0.3">
      <c r="A3595" t="s">
        <v>5812</v>
      </c>
      <c r="B3595" t="str" cm="1">
        <f t="array" ref="B3595">_xlfn.XLOOKUP(C3595, INDEX([2]!카테고리매핑,,2), INDEX([2]!카테고리매핑,,1), "미등록 카테고리")</f>
        <v>과일/견과류</v>
      </c>
      <c r="C3595" t="s">
        <v>654</v>
      </c>
      <c r="D3595" t="str">
        <f>VLOOKUP(C3595, '[2]VLOOKUP 함수용 카테고리'!$A$1:$B$59, 2, 0)</f>
        <v>RAW_FRUIT</v>
      </c>
      <c r="E3595" t="s">
        <v>1008</v>
      </c>
      <c r="F3595" t="s">
        <v>5813</v>
      </c>
    </row>
    <row r="3596" spans="1:6" x14ac:dyDescent="0.3">
      <c r="A3596" t="s">
        <v>5814</v>
      </c>
      <c r="B3596" t="str" cm="1">
        <f t="array" ref="B3596">_xlfn.XLOOKUP(C3596, INDEX([2]!카테고리매핑,,2), INDEX([2]!카테고리매핑,,1), "미등록 카테고리")</f>
        <v>조미료</v>
      </c>
      <c r="C3596" t="s">
        <v>558</v>
      </c>
      <c r="D3596" t="str">
        <f>VLOOKUP(C3596, '[2]VLOOKUP 함수용 카테고리'!$A$1:$B$59, 2, 0)</f>
        <v>SAUCE_SEASONING</v>
      </c>
      <c r="E3596" t="s">
        <v>559</v>
      </c>
      <c r="F3596" t="s">
        <v>4841</v>
      </c>
    </row>
    <row r="3597" spans="1:6" x14ac:dyDescent="0.3">
      <c r="A3597" t="s">
        <v>5815</v>
      </c>
      <c r="B3597" t="str" cm="1">
        <f t="array" ref="B3597">_xlfn.XLOOKUP(C3597, INDEX([2]!카테고리매핑,,2), INDEX([2]!카테고리매핑,,1), "미등록 카테고리")</f>
        <v>미등록 카테고리</v>
      </c>
      <c r="C3597" t="s">
        <v>334</v>
      </c>
      <c r="D3597" t="str">
        <f>VLOOKUP(C3597, '[2]VLOOKUP 함수용 카테고리'!$A$1:$B$59, 2, 0)</f>
        <v>UNKNOWN</v>
      </c>
      <c r="E3597" t="s">
        <v>334</v>
      </c>
      <c r="F3597" t="s">
        <v>1125</v>
      </c>
    </row>
    <row r="3598" spans="1:6" x14ac:dyDescent="0.3">
      <c r="A3598" t="s">
        <v>5816</v>
      </c>
      <c r="B3598" t="str" cm="1">
        <f t="array" ref="B3598">_xlfn.XLOOKUP(C3598, INDEX([2]!카테고리매핑,,2), INDEX([2]!카테고리매핑,,1), "미등록 카테고리")</f>
        <v>과일/견과류</v>
      </c>
      <c r="C3598" t="s">
        <v>654</v>
      </c>
      <c r="D3598" t="str">
        <f>VLOOKUP(C3598, '[2]VLOOKUP 함수용 카테고리'!$A$1:$B$59, 2, 0)</f>
        <v>RAW_FRUIT</v>
      </c>
      <c r="E3598" t="s">
        <v>1008</v>
      </c>
      <c r="F3598" t="s">
        <v>5813</v>
      </c>
    </row>
    <row r="3599" spans="1:6" x14ac:dyDescent="0.3">
      <c r="A3599" t="s">
        <v>5817</v>
      </c>
      <c r="B3599" t="str" cm="1">
        <f t="array" ref="B3599">_xlfn.XLOOKUP(C3599, INDEX([2]!카테고리매핑,,2), INDEX([2]!카테고리매핑,,1), "미등록 카테고리")</f>
        <v>채소/곡물류</v>
      </c>
      <c r="C3599" t="s">
        <v>7</v>
      </c>
      <c r="D3599" t="str">
        <f>VLOOKUP(C3599, '[2]VLOOKUP 함수용 카테고리'!$A$1:$B$59, 2, 0)</f>
        <v>RAW_PRODUCE</v>
      </c>
      <c r="E3599" t="s">
        <v>743</v>
      </c>
      <c r="F3599" t="s">
        <v>406</v>
      </c>
    </row>
    <row r="3600" spans="1:6" x14ac:dyDescent="0.3">
      <c r="A3600" t="s">
        <v>5818</v>
      </c>
      <c r="B3600" t="str" cm="1">
        <f t="array" ref="B3600">_xlfn.XLOOKUP(C3600, INDEX([2]!카테고리매핑,,2), INDEX([2]!카테고리매핑,,1), "미등록 카테고리")</f>
        <v>간식류</v>
      </c>
      <c r="C3600" t="s">
        <v>38</v>
      </c>
      <c r="D3600" t="str">
        <f>VLOOKUP(C3600, '[2]VLOOKUP 함수용 카테고리'!$A$1:$B$59, 2, 0)</f>
        <v>SNACK</v>
      </c>
      <c r="E3600" t="s">
        <v>5819</v>
      </c>
      <c r="F3600" t="s">
        <v>1188</v>
      </c>
    </row>
    <row r="3601" spans="1:6" x14ac:dyDescent="0.3">
      <c r="A3601" t="s">
        <v>5820</v>
      </c>
      <c r="B3601" t="str" cm="1">
        <f t="array" ref="B3601">_xlfn.XLOOKUP(C3601, INDEX([2]!카테고리매핑,,2), INDEX([2]!카테고리매핑,,1), "미등록 카테고리")</f>
        <v>유제품</v>
      </c>
      <c r="C3601" t="s">
        <v>123</v>
      </c>
      <c r="D3601" t="str">
        <f>VLOOKUP(C3601, '[2]VLOOKUP 함수용 카테고리'!$A$1:$B$59, 2, 0)</f>
        <v>DAIRY</v>
      </c>
      <c r="E3601" t="s">
        <v>239</v>
      </c>
      <c r="F3601" t="s">
        <v>240</v>
      </c>
    </row>
    <row r="3602" spans="1:6" x14ac:dyDescent="0.3">
      <c r="A3602" t="s">
        <v>5821</v>
      </c>
      <c r="B3602" t="str" cm="1">
        <f t="array" ref="B3602">_xlfn.XLOOKUP(C3602, INDEX([2]!카테고리매핑,,2), INDEX([2]!카테고리매핑,,1), "미등록 카테고리")</f>
        <v>간편식</v>
      </c>
      <c r="C3602" t="s">
        <v>256</v>
      </c>
      <c r="D3602" t="str">
        <f>VLOOKUP(C3602, '[2]VLOOKUP 함수용 카테고리'!$A$1:$B$59, 2, 0)</f>
        <v>RTC_MEAL</v>
      </c>
      <c r="E3602" t="s">
        <v>256</v>
      </c>
      <c r="F3602" t="s">
        <v>5822</v>
      </c>
    </row>
    <row r="3603" spans="1:6" x14ac:dyDescent="0.3">
      <c r="A3603" t="s">
        <v>5823</v>
      </c>
      <c r="B3603" t="str" cm="1">
        <f t="array" ref="B3603">_xlfn.XLOOKUP(C3603, INDEX([2]!카테고리매핑,,2), INDEX([2]!카테고리매핑,,1), "미등록 카테고리")</f>
        <v>술</v>
      </c>
      <c r="C3603" t="s">
        <v>974</v>
      </c>
      <c r="D3603" t="str">
        <f>VLOOKUP(C3603, '[2]VLOOKUP 함수용 카테고리'!$A$1:$B$59, 2, 0)</f>
        <v>ALCOHOL</v>
      </c>
      <c r="E3603" t="s">
        <v>974</v>
      </c>
      <c r="F3603" t="s">
        <v>5824</v>
      </c>
    </row>
    <row r="3604" spans="1:6" x14ac:dyDescent="0.3">
      <c r="A3604" t="s">
        <v>5825</v>
      </c>
      <c r="B3604" t="str" cm="1">
        <f t="array" ref="B3604">_xlfn.XLOOKUP(C3604, INDEX([2]!카테고리매핑,,2), INDEX([2]!카테고리매핑,,1), "미등록 카테고리")</f>
        <v>간편식</v>
      </c>
      <c r="C3604" t="s">
        <v>19</v>
      </c>
      <c r="D3604" t="str">
        <f>VLOOKUP(C3604, '[2]VLOOKUP 함수용 카테고리'!$A$1:$B$59, 2, 0)</f>
        <v>FROZEN_MEAL</v>
      </c>
      <c r="E3604" t="s">
        <v>1115</v>
      </c>
      <c r="F3604" t="s">
        <v>1515</v>
      </c>
    </row>
    <row r="3605" spans="1:6" x14ac:dyDescent="0.3">
      <c r="A3605" t="s">
        <v>5826</v>
      </c>
      <c r="B3605" t="str" cm="1">
        <f t="array" ref="B3605">_xlfn.XLOOKUP(C3605, INDEX([2]!카테고리매핑,,2), INDEX([2]!카테고리매핑,,1), "미등록 카테고리")</f>
        <v>육류/계란</v>
      </c>
      <c r="C3605" t="s">
        <v>298</v>
      </c>
      <c r="D3605" t="str">
        <f>VLOOKUP(C3605, '[2]VLOOKUP 함수용 카테고리'!$A$1:$B$59, 2, 0)</f>
        <v>RAW_MEAT</v>
      </c>
      <c r="E3605" t="s">
        <v>298</v>
      </c>
      <c r="F3605" t="s">
        <v>156</v>
      </c>
    </row>
    <row r="3606" spans="1:6" x14ac:dyDescent="0.3">
      <c r="A3606" t="s">
        <v>5827</v>
      </c>
      <c r="B3606" t="str" cm="1">
        <f t="array" ref="B3606">_xlfn.XLOOKUP(C3606, INDEX([2]!카테고리매핑,,2), INDEX([2]!카테고리매핑,,1), "미등록 카테고리")</f>
        <v>과일/견과류</v>
      </c>
      <c r="C3606" t="s">
        <v>1179</v>
      </c>
      <c r="D3606" t="str">
        <f>VLOOKUP(C3606, '[2]VLOOKUP 함수용 카테고리'!$A$1:$B$59, 2, 0)</f>
        <v>RAW_FRUIT</v>
      </c>
      <c r="E3606" t="s">
        <v>1179</v>
      </c>
      <c r="F3606" t="s">
        <v>5828</v>
      </c>
    </row>
    <row r="3607" spans="1:6" x14ac:dyDescent="0.3">
      <c r="A3607" t="s">
        <v>5829</v>
      </c>
      <c r="B3607" t="str" cm="1">
        <f t="array" ref="B3607">_xlfn.XLOOKUP(C3607, INDEX([2]!카테고리매핑,,2), INDEX([2]!카테고리매핑,,1), "미등록 카테고리")</f>
        <v>간편식</v>
      </c>
      <c r="C3607" t="s">
        <v>131</v>
      </c>
      <c r="D3607" t="str">
        <f>VLOOKUP(C3607, '[2]VLOOKUP 함수용 카테고리'!$A$1:$B$59, 2, 0)</f>
        <v>SIMPLE_PROCESSED</v>
      </c>
      <c r="E3607" t="s">
        <v>2143</v>
      </c>
      <c r="F3607" t="s">
        <v>133</v>
      </c>
    </row>
    <row r="3608" spans="1:6" x14ac:dyDescent="0.3">
      <c r="A3608" t="s">
        <v>5830</v>
      </c>
      <c r="B3608" t="str" cm="1">
        <f t="array" ref="B3608">_xlfn.XLOOKUP(C3608, INDEX([2]!카테고리매핑,,2), INDEX([2]!카테고리매핑,,1), "미등록 카테고리")</f>
        <v>간편식</v>
      </c>
      <c r="C3608" t="s">
        <v>19</v>
      </c>
      <c r="D3608" t="str">
        <f>VLOOKUP(C3608, '[2]VLOOKUP 함수용 카테고리'!$A$1:$B$59, 2, 0)</f>
        <v>FROZEN_MEAL</v>
      </c>
      <c r="E3608" t="s">
        <v>245</v>
      </c>
      <c r="F3608" t="s">
        <v>1888</v>
      </c>
    </row>
    <row r="3609" spans="1:6" x14ac:dyDescent="0.3">
      <c r="A3609" t="s">
        <v>5831</v>
      </c>
      <c r="B3609" t="str" cm="1">
        <f t="array" ref="B3609">_xlfn.XLOOKUP(C3609, INDEX([2]!카테고리매핑,,2), INDEX([2]!카테고리매핑,,1), "미등록 카테고리")</f>
        <v>술</v>
      </c>
      <c r="C3609" t="s">
        <v>42</v>
      </c>
      <c r="D3609" t="str">
        <f>VLOOKUP(C3609, '[2]VLOOKUP 함수용 카테고리'!$A$1:$B$59, 2, 0)</f>
        <v>ALCOHOL</v>
      </c>
      <c r="E3609" t="s">
        <v>4674</v>
      </c>
      <c r="F3609" t="s">
        <v>5097</v>
      </c>
    </row>
    <row r="3610" spans="1:6" x14ac:dyDescent="0.3">
      <c r="A3610" t="s">
        <v>5832</v>
      </c>
      <c r="B3610" t="str" cm="1">
        <f t="array" ref="B3610">_xlfn.XLOOKUP(C3610, INDEX([2]!카테고리매핑,,2), INDEX([2]!카테고리매핑,,1), "미등록 카테고리")</f>
        <v>조미료</v>
      </c>
      <c r="C3610" t="s">
        <v>127</v>
      </c>
      <c r="D3610" t="str">
        <f>VLOOKUP(C3610, '[2]VLOOKUP 함수용 카테고리'!$A$1:$B$59, 2, 0)</f>
        <v>SAUCE_SEASONING</v>
      </c>
      <c r="E3610" t="s">
        <v>5833</v>
      </c>
      <c r="F3610" t="s">
        <v>5834</v>
      </c>
    </row>
    <row r="3611" spans="1:6" x14ac:dyDescent="0.3">
      <c r="A3611" t="s">
        <v>5835</v>
      </c>
      <c r="B3611" t="str" cm="1">
        <f t="array" ref="B3611">_xlfn.XLOOKUP(C3611, INDEX([2]!카테고리매핑,,2), INDEX([2]!카테고리매핑,,1), "미등록 카테고리")</f>
        <v>간식류</v>
      </c>
      <c r="C3611" t="s">
        <v>11</v>
      </c>
      <c r="D3611" t="str">
        <f>VLOOKUP(C3611, '[2]VLOOKUP 함수용 카테고리'!$A$1:$B$59, 2, 0)</f>
        <v>SNACK</v>
      </c>
      <c r="E3611" t="s">
        <v>5836</v>
      </c>
      <c r="F3611" t="s">
        <v>7858</v>
      </c>
    </row>
    <row r="3612" spans="1:6" x14ac:dyDescent="0.3">
      <c r="A3612" t="s">
        <v>5837</v>
      </c>
      <c r="B3612" t="str" cm="1">
        <f t="array" ref="B3612">_xlfn.XLOOKUP(C3612, INDEX([2]!카테고리매핑,,2), INDEX([2]!카테고리매핑,,1), "미등록 카테고리")</f>
        <v>간식류</v>
      </c>
      <c r="C3612" t="s">
        <v>15</v>
      </c>
      <c r="D3612" t="str">
        <f>VLOOKUP(C3612, '[2]VLOOKUP 함수용 카테고리'!$A$1:$B$59, 2, 0)</f>
        <v>BAKERY</v>
      </c>
      <c r="E3612" t="s">
        <v>5838</v>
      </c>
      <c r="F3612" t="s">
        <v>5839</v>
      </c>
    </row>
    <row r="3613" spans="1:6" x14ac:dyDescent="0.3">
      <c r="A3613" t="s">
        <v>5840</v>
      </c>
      <c r="B3613" t="str" cm="1">
        <f t="array" ref="B3613">_xlfn.XLOOKUP(C3613, INDEX([2]!카테고리매핑,,2), INDEX([2]!카테고리매핑,,1), "미등록 카테고리")</f>
        <v>간편식</v>
      </c>
      <c r="C3613" t="s">
        <v>131</v>
      </c>
      <c r="D3613" t="str">
        <f>VLOOKUP(C3613, '[2]VLOOKUP 함수용 카테고리'!$A$1:$B$59, 2, 0)</f>
        <v>SIMPLE_PROCESSED</v>
      </c>
      <c r="E3613" t="s">
        <v>5841</v>
      </c>
      <c r="F3613" t="s">
        <v>237</v>
      </c>
    </row>
    <row r="3614" spans="1:6" x14ac:dyDescent="0.3">
      <c r="A3614" t="s">
        <v>5842</v>
      </c>
      <c r="B3614" t="str" cm="1">
        <f t="array" ref="B3614">_xlfn.XLOOKUP(C3614, INDEX([2]!카테고리매핑,,2), INDEX([2]!카테고리매핑,,1), "미등록 카테고리")</f>
        <v>조미료</v>
      </c>
      <c r="C3614" t="s">
        <v>117</v>
      </c>
      <c r="D3614" t="str">
        <f>VLOOKUP(C3614, '[2]VLOOKUP 함수용 카테고리'!$A$1:$B$59, 2, 0)</f>
        <v>SAUCE_SEASONING</v>
      </c>
      <c r="E3614" t="s">
        <v>118</v>
      </c>
      <c r="F3614" t="s">
        <v>119</v>
      </c>
    </row>
    <row r="3615" spans="1:6" x14ac:dyDescent="0.3">
      <c r="A3615" t="s">
        <v>5843</v>
      </c>
      <c r="B3615" t="str" cm="1">
        <f t="array" ref="B3615">_xlfn.XLOOKUP(C3615, INDEX([2]!카테고리매핑,,2), INDEX([2]!카테고리매핑,,1), "미등록 카테고리")</f>
        <v>간식류</v>
      </c>
      <c r="C3615" t="s">
        <v>38</v>
      </c>
      <c r="D3615" t="str">
        <f>VLOOKUP(C3615, '[2]VLOOKUP 함수용 카테고리'!$A$1:$B$59, 2, 0)</f>
        <v>SNACK</v>
      </c>
      <c r="E3615" t="s">
        <v>179</v>
      </c>
      <c r="F3615" t="s">
        <v>4454</v>
      </c>
    </row>
    <row r="3616" spans="1:6" x14ac:dyDescent="0.3">
      <c r="A3616" t="s">
        <v>5844</v>
      </c>
      <c r="B3616" t="str" cm="1">
        <f t="array" ref="B3616">_xlfn.XLOOKUP(C3616, INDEX([2]!카테고리매핑,,2), INDEX([2]!카테고리매핑,,1), "미등록 카테고리")</f>
        <v>미등록 카테고리</v>
      </c>
      <c r="C3616" t="s">
        <v>334</v>
      </c>
      <c r="D3616" t="str">
        <f>VLOOKUP(C3616, '[2]VLOOKUP 함수용 카테고리'!$A$1:$B$59, 2, 0)</f>
        <v>UNKNOWN</v>
      </c>
      <c r="E3616" t="s">
        <v>334</v>
      </c>
      <c r="F3616" t="s">
        <v>7859</v>
      </c>
    </row>
    <row r="3617" spans="1:6" x14ac:dyDescent="0.3">
      <c r="A3617" t="s">
        <v>5845</v>
      </c>
      <c r="B3617" t="str" cm="1">
        <f t="array" ref="B3617">_xlfn.XLOOKUP(C3617, INDEX([2]!카테고리매핑,,2), INDEX([2]!카테고리매핑,,1), "미등록 카테고리")</f>
        <v>간편식</v>
      </c>
      <c r="C3617" t="s">
        <v>131</v>
      </c>
      <c r="D3617" t="str">
        <f>VLOOKUP(C3617, '[2]VLOOKUP 함수용 카테고리'!$A$1:$B$59, 2, 0)</f>
        <v>SIMPLE_PROCESSED</v>
      </c>
      <c r="E3617" t="s">
        <v>5841</v>
      </c>
      <c r="F3617" t="s">
        <v>237</v>
      </c>
    </row>
    <row r="3618" spans="1:6" x14ac:dyDescent="0.3">
      <c r="A3618" t="s">
        <v>5846</v>
      </c>
      <c r="B3618" t="str" cm="1">
        <f t="array" ref="B3618">_xlfn.XLOOKUP(C3618, INDEX([2]!카테고리매핑,,2), INDEX([2]!카테고리매핑,,1), "미등록 카테고리")</f>
        <v>채소/곡물류</v>
      </c>
      <c r="C3618" t="s">
        <v>301</v>
      </c>
      <c r="D3618" t="str">
        <f>VLOOKUP(C3618, '[2]VLOOKUP 함수용 카테고리'!$A$1:$B$59, 2, 0)</f>
        <v>GRAIN</v>
      </c>
      <c r="E3618" t="s">
        <v>2023</v>
      </c>
      <c r="F3618" t="s">
        <v>1000</v>
      </c>
    </row>
    <row r="3619" spans="1:6" x14ac:dyDescent="0.3">
      <c r="A3619" t="s">
        <v>5847</v>
      </c>
      <c r="B3619" t="str" cm="1">
        <f t="array" ref="B3619">_xlfn.XLOOKUP(C3619, INDEX([2]!카테고리매핑,,2), INDEX([2]!카테고리매핑,,1), "미등록 카테고리")</f>
        <v>간식류</v>
      </c>
      <c r="C3619" t="s">
        <v>63</v>
      </c>
      <c r="D3619" t="str">
        <f>VLOOKUP(C3619, '[2]VLOOKUP 함수용 카테고리'!$A$1:$B$59, 2, 0)</f>
        <v>BAKERY</v>
      </c>
      <c r="E3619" t="s">
        <v>3232</v>
      </c>
      <c r="F3619" t="s">
        <v>4888</v>
      </c>
    </row>
    <row r="3620" spans="1:6" x14ac:dyDescent="0.3">
      <c r="A3620" t="s">
        <v>5848</v>
      </c>
      <c r="B3620" t="str" cm="1">
        <f t="array" ref="B3620">_xlfn.XLOOKUP(C3620, INDEX([2]!카테고리매핑,,2), INDEX([2]!카테고리매핑,,1), "미등록 카테고리")</f>
        <v>간편식</v>
      </c>
      <c r="C3620" t="s">
        <v>131</v>
      </c>
      <c r="D3620" t="str">
        <f>VLOOKUP(C3620, '[2]VLOOKUP 함수용 카테고리'!$A$1:$B$59, 2, 0)</f>
        <v>SIMPLE_PROCESSED</v>
      </c>
      <c r="E3620" t="s">
        <v>5849</v>
      </c>
      <c r="F3620" t="s">
        <v>237</v>
      </c>
    </row>
    <row r="3621" spans="1:6" x14ac:dyDescent="0.3">
      <c r="A3621" t="s">
        <v>5850</v>
      </c>
      <c r="B3621" t="str" cm="1">
        <f t="array" ref="B3621">_xlfn.XLOOKUP(C3621, INDEX([2]!카테고리매핑,,2), INDEX([2]!카테고리매핑,,1), "미등록 카테고리")</f>
        <v>조미료</v>
      </c>
      <c r="C3621" t="s">
        <v>127</v>
      </c>
      <c r="D3621" t="str">
        <f>VLOOKUP(C3621, '[2]VLOOKUP 함수용 카테고리'!$A$1:$B$59, 2, 0)</f>
        <v>SAUCE_SEASONING</v>
      </c>
      <c r="E3621" t="s">
        <v>781</v>
      </c>
      <c r="F3621" t="s">
        <v>129</v>
      </c>
    </row>
    <row r="3622" spans="1:6" x14ac:dyDescent="0.3">
      <c r="A3622" t="s">
        <v>5851</v>
      </c>
      <c r="B3622" t="str" cm="1">
        <f t="array" ref="B3622">_xlfn.XLOOKUP(C3622, INDEX([2]!카테고리매핑,,2), INDEX([2]!카테고리매핑,,1), "미등록 카테고리")</f>
        <v>음료</v>
      </c>
      <c r="C3622" t="s">
        <v>708</v>
      </c>
      <c r="D3622" t="str">
        <f>VLOOKUP(C3622, '[2]VLOOKUP 함수용 카테고리'!$A$1:$B$59, 2, 0)</f>
        <v>BEVERAGE</v>
      </c>
      <c r="E3622" t="s">
        <v>708</v>
      </c>
      <c r="F3622" t="s">
        <v>5852</v>
      </c>
    </row>
    <row r="3623" spans="1:6" x14ac:dyDescent="0.3">
      <c r="A3623" t="s">
        <v>5853</v>
      </c>
      <c r="B3623" t="str" cm="1">
        <f t="array" ref="B3623">_xlfn.XLOOKUP(C3623, INDEX([2]!카테고리매핑,,2), INDEX([2]!카테고리매핑,,1), "미등록 카테고리")</f>
        <v>유제품</v>
      </c>
      <c r="C3623" t="s">
        <v>432</v>
      </c>
      <c r="D3623" t="str">
        <f>VLOOKUP(C3623, '[2]VLOOKUP 함수용 카테고리'!$A$1:$B$59, 2, 0)</f>
        <v>DAIRY</v>
      </c>
      <c r="E3623" t="s">
        <v>549</v>
      </c>
      <c r="F3623" t="s">
        <v>5854</v>
      </c>
    </row>
    <row r="3624" spans="1:6" x14ac:dyDescent="0.3">
      <c r="A3624" t="s">
        <v>5855</v>
      </c>
      <c r="B3624" t="str" cm="1">
        <f t="array" ref="B3624">_xlfn.XLOOKUP(C3624, INDEX([2]!카테고리매핑,,2), INDEX([2]!카테고리매핑,,1), "미등록 카테고리")</f>
        <v>유제품</v>
      </c>
      <c r="C3624" t="s">
        <v>123</v>
      </c>
      <c r="D3624" t="str">
        <f>VLOOKUP(C3624, '[2]VLOOKUP 함수용 카테고리'!$A$1:$B$59, 2, 0)</f>
        <v>DAIRY</v>
      </c>
      <c r="E3624" t="s">
        <v>190</v>
      </c>
      <c r="F3624" t="s">
        <v>623</v>
      </c>
    </row>
    <row r="3625" spans="1:6" x14ac:dyDescent="0.3">
      <c r="A3625" t="s">
        <v>5856</v>
      </c>
      <c r="B3625" t="str" cm="1">
        <f t="array" ref="B3625">_xlfn.XLOOKUP(C3625, INDEX([2]!카테고리매핑,,2), INDEX([2]!카테고리매핑,,1), "미등록 카테고리")</f>
        <v>간편식</v>
      </c>
      <c r="C3625" t="s">
        <v>256</v>
      </c>
      <c r="D3625" t="str">
        <f>VLOOKUP(C3625, '[2]VLOOKUP 함수용 카테고리'!$A$1:$B$59, 2, 0)</f>
        <v>RTC_MEAL</v>
      </c>
      <c r="E3625" t="s">
        <v>256</v>
      </c>
      <c r="F3625" t="s">
        <v>994</v>
      </c>
    </row>
    <row r="3626" spans="1:6" x14ac:dyDescent="0.3">
      <c r="A3626" t="s">
        <v>5857</v>
      </c>
      <c r="B3626" t="str" cm="1">
        <f t="array" ref="B3626">_xlfn.XLOOKUP(C3626, INDEX([2]!카테고리매핑,,2), INDEX([2]!카테고리매핑,,1), "미등록 카테고리")</f>
        <v>채소/곡물류</v>
      </c>
      <c r="C3626" t="s">
        <v>7</v>
      </c>
      <c r="D3626" t="str">
        <f>VLOOKUP(C3626, '[2]VLOOKUP 함수용 카테고리'!$A$1:$B$59, 2, 0)</f>
        <v>RAW_PRODUCE</v>
      </c>
      <c r="E3626" t="s">
        <v>723</v>
      </c>
      <c r="F3626" t="s">
        <v>5858</v>
      </c>
    </row>
    <row r="3627" spans="1:6" x14ac:dyDescent="0.3">
      <c r="A3627" t="s">
        <v>5859</v>
      </c>
      <c r="B3627" t="str" cm="1">
        <f t="array" ref="B3627">_xlfn.XLOOKUP(C3627, INDEX([2]!카테고리매핑,,2), INDEX([2]!카테고리매핑,,1), "미등록 카테고리")</f>
        <v>간편식</v>
      </c>
      <c r="C3627" t="s">
        <v>131</v>
      </c>
      <c r="D3627" t="str">
        <f>VLOOKUP(C3627, '[2]VLOOKUP 함수용 카테고리'!$A$1:$B$59, 2, 0)</f>
        <v>SIMPLE_PROCESSED</v>
      </c>
      <c r="E3627" t="s">
        <v>2143</v>
      </c>
      <c r="F3627" t="s">
        <v>419</v>
      </c>
    </row>
    <row r="3628" spans="1:6" x14ac:dyDescent="0.3">
      <c r="A3628" t="s">
        <v>5860</v>
      </c>
      <c r="B3628" t="str" cm="1">
        <f t="array" ref="B3628">_xlfn.XLOOKUP(C3628, INDEX([2]!카테고리매핑,,2), INDEX([2]!카테고리매핑,,1), "미등록 카테고리")</f>
        <v>조미료</v>
      </c>
      <c r="C3628" t="s">
        <v>127</v>
      </c>
      <c r="D3628" t="str">
        <f>VLOOKUP(C3628, '[2]VLOOKUP 함수용 카테고리'!$A$1:$B$59, 2, 0)</f>
        <v>SAUCE_SEASONING</v>
      </c>
      <c r="E3628" t="s">
        <v>5861</v>
      </c>
      <c r="F3628" t="s">
        <v>461</v>
      </c>
    </row>
    <row r="3629" spans="1:6" x14ac:dyDescent="0.3">
      <c r="A3629" t="s">
        <v>5862</v>
      </c>
      <c r="B3629" t="str" cm="1">
        <f t="array" ref="B3629">_xlfn.XLOOKUP(C3629, INDEX([2]!카테고리매핑,,2), INDEX([2]!카테고리매핑,,1), "미등록 카테고리")</f>
        <v>유제품</v>
      </c>
      <c r="C3629" t="s">
        <v>98</v>
      </c>
      <c r="D3629" t="str">
        <f>VLOOKUP(C3629, '[2]VLOOKUP 함수용 카테고리'!$A$1:$B$59, 2, 0)</f>
        <v>DAIRY</v>
      </c>
      <c r="E3629" t="s">
        <v>98</v>
      </c>
      <c r="F3629" t="s">
        <v>2950</v>
      </c>
    </row>
    <row r="3630" spans="1:6" x14ac:dyDescent="0.3">
      <c r="A3630" t="s">
        <v>5863</v>
      </c>
      <c r="B3630" t="str" cm="1">
        <f t="array" ref="B3630">_xlfn.XLOOKUP(C3630, INDEX([2]!카테고리매핑,,2), INDEX([2]!카테고리매핑,,1), "미등록 카테고리")</f>
        <v>유제품</v>
      </c>
      <c r="C3630" t="s">
        <v>123</v>
      </c>
      <c r="D3630" t="str">
        <f>VLOOKUP(C3630, '[2]VLOOKUP 함수용 카테고리'!$A$1:$B$59, 2, 0)</f>
        <v>DAIRY</v>
      </c>
      <c r="E3630" t="s">
        <v>190</v>
      </c>
      <c r="F3630" t="s">
        <v>543</v>
      </c>
    </row>
    <row r="3631" spans="1:6" x14ac:dyDescent="0.3">
      <c r="A3631" t="s">
        <v>5864</v>
      </c>
      <c r="B3631" t="str" cm="1">
        <f t="array" ref="B3631">_xlfn.XLOOKUP(C3631, INDEX([2]!카테고리매핑,,2), INDEX([2]!카테고리매핑,,1), "미등록 카테고리")</f>
        <v>간편식</v>
      </c>
      <c r="C3631" t="s">
        <v>131</v>
      </c>
      <c r="D3631" t="str">
        <f>VLOOKUP(C3631, '[2]VLOOKUP 함수용 카테고리'!$A$1:$B$59, 2, 0)</f>
        <v>SIMPLE_PROCESSED</v>
      </c>
      <c r="E3631" t="s">
        <v>5865</v>
      </c>
      <c r="F3631" t="s">
        <v>5866</v>
      </c>
    </row>
    <row r="3632" spans="1:6" x14ac:dyDescent="0.3">
      <c r="A3632" t="s">
        <v>5867</v>
      </c>
      <c r="B3632" t="str" cm="1">
        <f t="array" ref="B3632">_xlfn.XLOOKUP(C3632, INDEX([2]!카테고리매핑,,2), INDEX([2]!카테고리매핑,,1), "미등록 카테고리")</f>
        <v>간편식</v>
      </c>
      <c r="C3632" t="s">
        <v>131</v>
      </c>
      <c r="D3632" t="str">
        <f>VLOOKUP(C3632, '[2]VLOOKUP 함수용 카테고리'!$A$1:$B$59, 2, 0)</f>
        <v>SIMPLE_PROCESSED</v>
      </c>
      <c r="E3632" t="s">
        <v>418</v>
      </c>
      <c r="F3632" t="s">
        <v>5868</v>
      </c>
    </row>
    <row r="3633" spans="1:6" x14ac:dyDescent="0.3">
      <c r="A3633" t="s">
        <v>5869</v>
      </c>
      <c r="B3633" t="str" cm="1">
        <f t="array" ref="B3633">_xlfn.XLOOKUP(C3633, INDEX([2]!카테고리매핑,,2), INDEX([2]!카테고리매핑,,1), "미등록 카테고리")</f>
        <v>간편식</v>
      </c>
      <c r="C3633" t="s">
        <v>131</v>
      </c>
      <c r="D3633" t="str">
        <f>VLOOKUP(C3633, '[2]VLOOKUP 함수용 카테고리'!$A$1:$B$59, 2, 0)</f>
        <v>SIMPLE_PROCESSED</v>
      </c>
      <c r="E3633" t="s">
        <v>4980</v>
      </c>
      <c r="F3633" t="s">
        <v>5870</v>
      </c>
    </row>
    <row r="3634" spans="1:6" x14ac:dyDescent="0.3">
      <c r="A3634" t="s">
        <v>5871</v>
      </c>
      <c r="B3634" t="str" cm="1">
        <f t="array" ref="B3634">_xlfn.XLOOKUP(C3634, INDEX([2]!카테고리매핑,,2), INDEX([2]!카테고리매핑,,1), "미등록 카테고리")</f>
        <v>간식류</v>
      </c>
      <c r="C3634" t="s">
        <v>15</v>
      </c>
      <c r="D3634" t="str">
        <f>VLOOKUP(C3634, '[2]VLOOKUP 함수용 카테고리'!$A$1:$B$59, 2, 0)</f>
        <v>BAKERY</v>
      </c>
      <c r="E3634" t="s">
        <v>5872</v>
      </c>
      <c r="F3634" t="s">
        <v>5873</v>
      </c>
    </row>
    <row r="3635" spans="1:6" x14ac:dyDescent="0.3">
      <c r="A3635" t="s">
        <v>5874</v>
      </c>
      <c r="B3635" t="str" cm="1">
        <f t="array" ref="B3635">_xlfn.XLOOKUP(C3635, INDEX([2]!카테고리매핑,,2), INDEX([2]!카테고리매핑,,1), "미등록 카테고리")</f>
        <v>유제품</v>
      </c>
      <c r="C3635" t="s">
        <v>123</v>
      </c>
      <c r="D3635" t="str">
        <f>VLOOKUP(C3635, '[2]VLOOKUP 함수용 카테고리'!$A$1:$B$59, 2, 0)</f>
        <v>DAIRY</v>
      </c>
      <c r="E3635" t="s">
        <v>190</v>
      </c>
      <c r="F3635" t="s">
        <v>3467</v>
      </c>
    </row>
    <row r="3636" spans="1:6" x14ac:dyDescent="0.3">
      <c r="A3636" t="s">
        <v>5875</v>
      </c>
      <c r="B3636" t="str" cm="1">
        <f t="array" ref="B3636">_xlfn.XLOOKUP(C3636, INDEX([2]!카테고리매핑,,2), INDEX([2]!카테고리매핑,,1), "미등록 카테고리")</f>
        <v>수산물</v>
      </c>
      <c r="C3636" t="s">
        <v>263</v>
      </c>
      <c r="D3636" t="str">
        <f>VLOOKUP(C3636, '[2]VLOOKUP 함수용 카테고리'!$A$1:$B$59, 2, 0)</f>
        <v>RAW_SEAFOOD</v>
      </c>
      <c r="E3636" t="s">
        <v>264</v>
      </c>
      <c r="F3636" t="s">
        <v>151</v>
      </c>
    </row>
    <row r="3637" spans="1:6" x14ac:dyDescent="0.3">
      <c r="A3637" t="s">
        <v>5876</v>
      </c>
      <c r="B3637" t="str" cm="1">
        <f t="array" ref="B3637">_xlfn.XLOOKUP(C3637, INDEX([2]!카테고리매핑,,2), INDEX([2]!카테고리매핑,,1), "미등록 카테고리")</f>
        <v>유제품</v>
      </c>
      <c r="C3637" t="s">
        <v>123</v>
      </c>
      <c r="D3637" t="str">
        <f>VLOOKUP(C3637, '[2]VLOOKUP 함수용 카테고리'!$A$1:$B$59, 2, 0)</f>
        <v>DAIRY</v>
      </c>
      <c r="E3637" t="s">
        <v>190</v>
      </c>
      <c r="F3637" t="s">
        <v>350</v>
      </c>
    </row>
    <row r="3638" spans="1:6" x14ac:dyDescent="0.3">
      <c r="A3638" t="s">
        <v>5877</v>
      </c>
      <c r="B3638" t="str" cm="1">
        <f t="array" ref="B3638">_xlfn.XLOOKUP(C3638, INDEX([2]!카테고리매핑,,2), INDEX([2]!카테고리매핑,,1), "미등록 카테고리")</f>
        <v>유제품</v>
      </c>
      <c r="C3638" t="s">
        <v>98</v>
      </c>
      <c r="D3638" t="str">
        <f>VLOOKUP(C3638, '[2]VLOOKUP 함수용 카테고리'!$A$1:$B$59, 2, 0)</f>
        <v>DAIRY</v>
      </c>
      <c r="E3638" t="s">
        <v>1358</v>
      </c>
      <c r="F3638" t="s">
        <v>494</v>
      </c>
    </row>
    <row r="3639" spans="1:6" x14ac:dyDescent="0.3">
      <c r="A3639" t="s">
        <v>5878</v>
      </c>
      <c r="B3639" t="str" cm="1">
        <f t="array" ref="B3639">_xlfn.XLOOKUP(C3639, INDEX([2]!카테고리매핑,,2), INDEX([2]!카테고리매핑,,1), "미등록 카테고리")</f>
        <v>유제품</v>
      </c>
      <c r="C3639" t="s">
        <v>211</v>
      </c>
      <c r="D3639" t="str">
        <f>VLOOKUP(C3639, '[2]VLOOKUP 함수용 카테고리'!$A$1:$B$59, 2, 0)</f>
        <v>DAIRY</v>
      </c>
      <c r="E3639" t="s">
        <v>2223</v>
      </c>
      <c r="F3639" t="s">
        <v>2224</v>
      </c>
    </row>
    <row r="3640" spans="1:6" x14ac:dyDescent="0.3">
      <c r="A3640" t="s">
        <v>5879</v>
      </c>
      <c r="B3640" t="str" cm="1">
        <f t="array" ref="B3640">_xlfn.XLOOKUP(C3640, INDEX([2]!카테고리매핑,,2), INDEX([2]!카테고리매핑,,1), "미등록 카테고리")</f>
        <v>상온식품</v>
      </c>
      <c r="C3640" t="s">
        <v>276</v>
      </c>
      <c r="D3640" t="str">
        <f>VLOOKUP(C3640, '[2]VLOOKUP 함수용 카테고리'!$A$1:$B$59, 2, 0)</f>
        <v>DRIED_SEAFOOD</v>
      </c>
      <c r="E3640" t="s">
        <v>277</v>
      </c>
      <c r="F3640" t="s">
        <v>7860</v>
      </c>
    </row>
    <row r="3641" spans="1:6" x14ac:dyDescent="0.3">
      <c r="A3641" t="s">
        <v>5880</v>
      </c>
      <c r="B3641" t="str" cm="1">
        <f t="array" ref="B3641">_xlfn.XLOOKUP(C3641, INDEX([2]!카테고리매핑,,2), INDEX([2]!카테고리매핑,,1), "미등록 카테고리")</f>
        <v>간편식</v>
      </c>
      <c r="C3641" t="s">
        <v>161</v>
      </c>
      <c r="D3641" t="str">
        <f>VLOOKUP(C3641, '[2]VLOOKUP 함수용 카테고리'!$A$1:$B$59, 2, 0)</f>
        <v>RTC_MEAL</v>
      </c>
      <c r="E3641" t="s">
        <v>162</v>
      </c>
      <c r="F3641" t="s">
        <v>7727</v>
      </c>
    </row>
    <row r="3642" spans="1:6" x14ac:dyDescent="0.3">
      <c r="A3642" t="s">
        <v>5881</v>
      </c>
      <c r="B3642" t="str" cm="1">
        <f t="array" ref="B3642">_xlfn.XLOOKUP(C3642, INDEX([2]!카테고리매핑,,2), INDEX([2]!카테고리매핑,,1), "미등록 카테고리")</f>
        <v>간식류</v>
      </c>
      <c r="C3642" t="s">
        <v>109</v>
      </c>
      <c r="D3642" t="str">
        <f>VLOOKUP(C3642, '[2]VLOOKUP 함수용 카테고리'!$A$1:$B$59, 2, 0)</f>
        <v>SNACK</v>
      </c>
      <c r="E3642" t="s">
        <v>5882</v>
      </c>
      <c r="F3642" t="s">
        <v>1730</v>
      </c>
    </row>
    <row r="3643" spans="1:6" x14ac:dyDescent="0.3">
      <c r="A3643" t="s">
        <v>5883</v>
      </c>
      <c r="B3643" t="str" cm="1">
        <f t="array" ref="B3643">_xlfn.XLOOKUP(C3643, INDEX([2]!카테고리매핑,,2), INDEX([2]!카테고리매핑,,1), "미등록 카테고리")</f>
        <v>과일/견과류</v>
      </c>
      <c r="C3643" t="s">
        <v>654</v>
      </c>
      <c r="D3643" t="str">
        <f>VLOOKUP(C3643, '[2]VLOOKUP 함수용 카테고리'!$A$1:$B$59, 2, 0)</f>
        <v>RAW_FRUIT</v>
      </c>
      <c r="E3643" t="s">
        <v>2177</v>
      </c>
      <c r="F3643" t="s">
        <v>731</v>
      </c>
    </row>
    <row r="3644" spans="1:6" x14ac:dyDescent="0.3">
      <c r="A3644" t="s">
        <v>5884</v>
      </c>
      <c r="B3644" t="str" cm="1">
        <f t="array" ref="B3644">_xlfn.XLOOKUP(C3644, INDEX([2]!카테고리매핑,,2), INDEX([2]!카테고리매핑,,1), "미등록 카테고리")</f>
        <v>미등록 카테고리</v>
      </c>
      <c r="C3644" t="s">
        <v>334</v>
      </c>
      <c r="D3644" t="str">
        <f>VLOOKUP(C3644, '[2]VLOOKUP 함수용 카테고리'!$A$1:$B$59, 2, 0)</f>
        <v>UNKNOWN</v>
      </c>
      <c r="E3644" t="s">
        <v>334</v>
      </c>
      <c r="F3644" t="s">
        <v>731</v>
      </c>
    </row>
    <row r="3645" spans="1:6" x14ac:dyDescent="0.3">
      <c r="A3645" t="s">
        <v>5885</v>
      </c>
      <c r="B3645" t="str" cm="1">
        <f t="array" ref="B3645">_xlfn.XLOOKUP(C3645, INDEX([2]!카테고리매핑,,2), INDEX([2]!카테고리매핑,,1), "미등록 카테고리")</f>
        <v>육류/계란</v>
      </c>
      <c r="C3645" t="s">
        <v>149</v>
      </c>
      <c r="D3645" t="str">
        <f>VLOOKUP(C3645, '[2]VLOOKUP 함수용 카테고리'!$A$1:$B$59, 2, 0)</f>
        <v>RAW_MEAT</v>
      </c>
      <c r="E3645" t="s">
        <v>573</v>
      </c>
      <c r="F3645" t="s">
        <v>3716</v>
      </c>
    </row>
    <row r="3646" spans="1:6" x14ac:dyDescent="0.3">
      <c r="A3646" t="s">
        <v>5886</v>
      </c>
      <c r="B3646" t="str" cm="1">
        <f t="array" ref="B3646">_xlfn.XLOOKUP(C3646, INDEX([2]!카테고리매핑,,2), INDEX([2]!카테고리매핑,,1), "미등록 카테고리")</f>
        <v>수산물</v>
      </c>
      <c r="C3646" t="s">
        <v>140</v>
      </c>
      <c r="D3646" t="str">
        <f>VLOOKUP(C3646, '[2]VLOOKUP 함수용 카테고리'!$A$1:$B$59, 2, 0)</f>
        <v>SIMPLE_PROCESSED</v>
      </c>
      <c r="E3646" t="s">
        <v>141</v>
      </c>
      <c r="F3646" t="s">
        <v>556</v>
      </c>
    </row>
    <row r="3647" spans="1:6" x14ac:dyDescent="0.3">
      <c r="A3647" t="s">
        <v>5887</v>
      </c>
      <c r="B3647" t="str" cm="1">
        <f t="array" ref="B3647">_xlfn.XLOOKUP(C3647, INDEX([2]!카테고리매핑,,2), INDEX([2]!카테고리매핑,,1), "미등록 카테고리")</f>
        <v>간편식</v>
      </c>
      <c r="C3647" t="s">
        <v>167</v>
      </c>
      <c r="D3647" t="str">
        <f>VLOOKUP(C3647, '[2]VLOOKUP 함수용 카테고리'!$A$1:$B$59, 2, 0)</f>
        <v>INSTANT</v>
      </c>
      <c r="E3647" t="s">
        <v>874</v>
      </c>
      <c r="F3647" t="s">
        <v>169</v>
      </c>
    </row>
    <row r="3648" spans="1:6" x14ac:dyDescent="0.3">
      <c r="A3648" t="s">
        <v>5888</v>
      </c>
      <c r="B3648" t="str" cm="1">
        <f t="array" ref="B3648">_xlfn.XLOOKUP(C3648, INDEX([2]!카테고리매핑,,2), INDEX([2]!카테고리매핑,,1), "미등록 카테고리")</f>
        <v>채소/곡물류</v>
      </c>
      <c r="C3648" t="s">
        <v>164</v>
      </c>
      <c r="D3648" t="str">
        <f>VLOOKUP(C3648, '[2]VLOOKUP 함수용 카테고리'!$A$1:$B$59, 2, 0)</f>
        <v>RAW_PRODUCE</v>
      </c>
      <c r="E3648" t="s">
        <v>1412</v>
      </c>
    </row>
    <row r="3649" spans="1:6" x14ac:dyDescent="0.3">
      <c r="A3649" t="s">
        <v>5889</v>
      </c>
      <c r="B3649" t="str" cm="1">
        <f t="array" ref="B3649">_xlfn.XLOOKUP(C3649, INDEX([2]!카테고리매핑,,2), INDEX([2]!카테고리매핑,,1), "미등록 카테고리")</f>
        <v>채소/곡물류</v>
      </c>
      <c r="C3649" t="s">
        <v>7</v>
      </c>
      <c r="D3649" t="str">
        <f>VLOOKUP(C3649, '[2]VLOOKUP 함수용 카테고리'!$A$1:$B$59, 2, 0)</f>
        <v>RAW_PRODUCE</v>
      </c>
      <c r="E3649" t="s">
        <v>2068</v>
      </c>
    </row>
    <row r="3650" spans="1:6" x14ac:dyDescent="0.3">
      <c r="A3650" t="s">
        <v>5890</v>
      </c>
      <c r="B3650" t="str" cm="1">
        <f t="array" ref="B3650">_xlfn.XLOOKUP(C3650, INDEX([2]!카테고리매핑,,2), INDEX([2]!카테고리매핑,,1), "미등록 카테고리")</f>
        <v>간식류</v>
      </c>
      <c r="C3650" t="s">
        <v>63</v>
      </c>
      <c r="D3650" t="str">
        <f>VLOOKUP(C3650, '[2]VLOOKUP 함수용 카테고리'!$A$1:$B$59, 2, 0)</f>
        <v>BAKERY</v>
      </c>
      <c r="E3650" t="s">
        <v>4332</v>
      </c>
      <c r="F3650" t="s">
        <v>892</v>
      </c>
    </row>
    <row r="3651" spans="1:6" x14ac:dyDescent="0.3">
      <c r="A3651" t="s">
        <v>5891</v>
      </c>
      <c r="B3651" t="str" cm="1">
        <f t="array" ref="B3651">_xlfn.XLOOKUP(C3651, INDEX([2]!카테고리매핑,,2), INDEX([2]!카테고리매핑,,1), "미등록 카테고리")</f>
        <v>수산물</v>
      </c>
      <c r="C3651" t="s">
        <v>229</v>
      </c>
      <c r="D3651" t="str">
        <f>VLOOKUP(C3651, '[2]VLOOKUP 함수용 카테고리'!$A$1:$B$59, 2, 0)</f>
        <v>RAW_SEAFOOD</v>
      </c>
      <c r="E3651" t="s">
        <v>230</v>
      </c>
      <c r="F3651" t="s">
        <v>856</v>
      </c>
    </row>
    <row r="3652" spans="1:6" x14ac:dyDescent="0.3">
      <c r="A3652" t="s">
        <v>5892</v>
      </c>
      <c r="B3652" t="str" cm="1">
        <f t="array" ref="B3652">_xlfn.XLOOKUP(C3652, INDEX([2]!카테고리매핑,,2), INDEX([2]!카테고리매핑,,1), "미등록 카테고리")</f>
        <v>간편식</v>
      </c>
      <c r="C3652" t="s">
        <v>131</v>
      </c>
      <c r="D3652" t="str">
        <f>VLOOKUP(C3652, '[2]VLOOKUP 함수용 카테고리'!$A$1:$B$59, 2, 0)</f>
        <v>SIMPLE_PROCESSED</v>
      </c>
      <c r="E3652" t="s">
        <v>2993</v>
      </c>
      <c r="F3652" t="s">
        <v>2057</v>
      </c>
    </row>
    <row r="3653" spans="1:6" x14ac:dyDescent="0.3">
      <c r="A3653" t="s">
        <v>5893</v>
      </c>
      <c r="B3653" t="str" cm="1">
        <f t="array" ref="B3653">_xlfn.XLOOKUP(C3653, INDEX([2]!카테고리매핑,,2), INDEX([2]!카테고리매핑,,1), "미등록 카테고리")</f>
        <v>음료</v>
      </c>
      <c r="C3653" t="s">
        <v>23</v>
      </c>
      <c r="D3653" t="str">
        <f>VLOOKUP(C3653, '[2]VLOOKUP 함수용 카테고리'!$A$1:$B$59, 2, 0)</f>
        <v>BEVERAGE</v>
      </c>
      <c r="E3653" t="s">
        <v>355</v>
      </c>
      <c r="F3653" t="s">
        <v>5894</v>
      </c>
    </row>
    <row r="3654" spans="1:6" x14ac:dyDescent="0.3">
      <c r="A3654" t="s">
        <v>5895</v>
      </c>
      <c r="B3654" t="str" cm="1">
        <f t="array" ref="B3654">_xlfn.XLOOKUP(C3654, INDEX([2]!카테고리매핑,,2), INDEX([2]!카테고리매핑,,1), "미등록 카테고리")</f>
        <v>조미료</v>
      </c>
      <c r="C3654" t="s">
        <v>117</v>
      </c>
      <c r="D3654" t="str">
        <f>VLOOKUP(C3654, '[2]VLOOKUP 함수용 카테고리'!$A$1:$B$59, 2, 0)</f>
        <v>SAUCE_SEASONING</v>
      </c>
      <c r="E3654" t="s">
        <v>118</v>
      </c>
      <c r="F3654" t="s">
        <v>119</v>
      </c>
    </row>
    <row r="3655" spans="1:6" x14ac:dyDescent="0.3">
      <c r="A3655" t="s">
        <v>5896</v>
      </c>
      <c r="B3655" t="str" cm="1">
        <f t="array" ref="B3655">_xlfn.XLOOKUP(C3655, INDEX([2]!카테고리매핑,,2), INDEX([2]!카테고리매핑,,1), "미등록 카테고리")</f>
        <v>유제품</v>
      </c>
      <c r="C3655" t="s">
        <v>98</v>
      </c>
      <c r="D3655" t="str">
        <f>VLOOKUP(C3655, '[2]VLOOKUP 함수용 카테고리'!$A$1:$B$59, 2, 0)</f>
        <v>DAIRY</v>
      </c>
      <c r="E3655" t="s">
        <v>1358</v>
      </c>
      <c r="F3655" t="s">
        <v>5897</v>
      </c>
    </row>
    <row r="3656" spans="1:6" x14ac:dyDescent="0.3">
      <c r="A3656" t="s">
        <v>5898</v>
      </c>
      <c r="B3656" t="str" cm="1">
        <f t="array" ref="B3656">_xlfn.XLOOKUP(C3656, INDEX([2]!카테고리매핑,,2), INDEX([2]!카테고리매핑,,1), "미등록 카테고리")</f>
        <v>육류/계란</v>
      </c>
      <c r="C3656" t="s">
        <v>428</v>
      </c>
      <c r="D3656" t="str">
        <f>VLOOKUP(C3656, '[2]VLOOKUP 함수용 카테고리'!$A$1:$B$59, 2, 0)</f>
        <v>PROCESSED_MEAT</v>
      </c>
      <c r="E3656" t="s">
        <v>790</v>
      </c>
      <c r="F3656" t="s">
        <v>182</v>
      </c>
    </row>
    <row r="3657" spans="1:6" x14ac:dyDescent="0.3">
      <c r="A3657" t="s">
        <v>5899</v>
      </c>
      <c r="B3657" t="str" cm="1">
        <f t="array" ref="B3657">_xlfn.XLOOKUP(C3657, INDEX([2]!카테고리매핑,,2), INDEX([2]!카테고리매핑,,1), "미등록 카테고리")</f>
        <v>육류/계란</v>
      </c>
      <c r="C3657" t="s">
        <v>34</v>
      </c>
      <c r="D3657" t="str">
        <f>VLOOKUP(C3657, '[2]VLOOKUP 함수용 카테고리'!$A$1:$B$59, 2, 0)</f>
        <v>RAW_MEAT</v>
      </c>
      <c r="E3657" t="s">
        <v>35</v>
      </c>
      <c r="F3657" t="s">
        <v>1003</v>
      </c>
    </row>
    <row r="3658" spans="1:6" x14ac:dyDescent="0.3">
      <c r="A3658" t="s">
        <v>5900</v>
      </c>
      <c r="B3658" t="str" cm="1">
        <f t="array" ref="B3658">_xlfn.XLOOKUP(C3658, INDEX([2]!카테고리매핑,,2), INDEX([2]!카테고리매핑,,1), "미등록 카테고리")</f>
        <v>조미료</v>
      </c>
      <c r="C3658" t="s">
        <v>127</v>
      </c>
      <c r="D3658" t="str">
        <f>VLOOKUP(C3658, '[2]VLOOKUP 함수용 카테고리'!$A$1:$B$59, 2, 0)</f>
        <v>SAUCE_SEASONING</v>
      </c>
      <c r="E3658" t="s">
        <v>128</v>
      </c>
      <c r="F3658" t="s">
        <v>129</v>
      </c>
    </row>
    <row r="3659" spans="1:6" x14ac:dyDescent="0.3">
      <c r="A3659" t="s">
        <v>5901</v>
      </c>
      <c r="B3659" t="str" cm="1">
        <f t="array" ref="B3659">_xlfn.XLOOKUP(C3659, INDEX([2]!카테고리매핑,,2), INDEX([2]!카테고리매핑,,1), "미등록 카테고리")</f>
        <v>간식류</v>
      </c>
      <c r="C3659" t="s">
        <v>11</v>
      </c>
      <c r="D3659" t="str">
        <f>VLOOKUP(C3659, '[2]VLOOKUP 함수용 카테고리'!$A$1:$B$59, 2, 0)</f>
        <v>SNACK</v>
      </c>
      <c r="E3659" t="s">
        <v>5902</v>
      </c>
      <c r="F3659" t="s">
        <v>5324</v>
      </c>
    </row>
    <row r="3660" spans="1:6" x14ac:dyDescent="0.3">
      <c r="A3660" t="s">
        <v>5903</v>
      </c>
      <c r="B3660" t="str" cm="1">
        <f t="array" ref="B3660">_xlfn.XLOOKUP(C3660, INDEX([2]!카테고리매핑,,2), INDEX([2]!카테고리매핑,,1), "미등록 카테고리")</f>
        <v>술</v>
      </c>
      <c r="C3660" t="s">
        <v>42</v>
      </c>
      <c r="D3660" t="str">
        <f>VLOOKUP(C3660, '[2]VLOOKUP 함수용 카테고리'!$A$1:$B$59, 2, 0)</f>
        <v>ALCOHOL</v>
      </c>
      <c r="E3660" t="s">
        <v>1074</v>
      </c>
      <c r="F3660" t="s">
        <v>5904</v>
      </c>
    </row>
    <row r="3661" spans="1:6" x14ac:dyDescent="0.3">
      <c r="A3661" t="s">
        <v>5905</v>
      </c>
      <c r="B3661" t="str" cm="1">
        <f t="array" ref="B3661">_xlfn.XLOOKUP(C3661, INDEX([2]!카테고리매핑,,2), INDEX([2]!카테고리매핑,,1), "미등록 카테고리")</f>
        <v>채소/곡물류</v>
      </c>
      <c r="C3661" t="s">
        <v>301</v>
      </c>
      <c r="D3661" t="str">
        <f>VLOOKUP(C3661, '[2]VLOOKUP 함수용 카테고리'!$A$1:$B$59, 2, 0)</f>
        <v>GRAIN</v>
      </c>
      <c r="E3661" t="s">
        <v>611</v>
      </c>
      <c r="F3661" t="s">
        <v>7688</v>
      </c>
    </row>
    <row r="3662" spans="1:6" x14ac:dyDescent="0.3">
      <c r="A3662" t="s">
        <v>5906</v>
      </c>
      <c r="B3662" t="str" cm="1">
        <f t="array" ref="B3662">_xlfn.XLOOKUP(C3662, INDEX([2]!카테고리매핑,,2), INDEX([2]!카테고리매핑,,1), "미등록 카테고리")</f>
        <v>육류/계란</v>
      </c>
      <c r="C3662" t="s">
        <v>34</v>
      </c>
      <c r="D3662" t="str">
        <f>VLOOKUP(C3662, '[2]VLOOKUP 함수용 카테고리'!$A$1:$B$59, 2, 0)</f>
        <v>RAW_MEAT</v>
      </c>
      <c r="E3662" t="s">
        <v>35</v>
      </c>
      <c r="F3662" t="s">
        <v>5095</v>
      </c>
    </row>
    <row r="3663" spans="1:6" x14ac:dyDescent="0.3">
      <c r="A3663" t="s">
        <v>5907</v>
      </c>
      <c r="B3663" t="str" cm="1">
        <f t="array" ref="B3663">_xlfn.XLOOKUP(C3663, INDEX([2]!카테고리매핑,,2), INDEX([2]!카테고리매핑,,1), "미등록 카테고리")</f>
        <v>간편식</v>
      </c>
      <c r="C3663" t="s">
        <v>131</v>
      </c>
      <c r="D3663" t="str">
        <f>VLOOKUP(C3663, '[2]VLOOKUP 함수용 카테고리'!$A$1:$B$59, 2, 0)</f>
        <v>SIMPLE_PROCESSED</v>
      </c>
      <c r="E3663" t="s">
        <v>2993</v>
      </c>
      <c r="F3663" t="s">
        <v>2057</v>
      </c>
    </row>
    <row r="3664" spans="1:6" x14ac:dyDescent="0.3">
      <c r="A3664" t="s">
        <v>5908</v>
      </c>
      <c r="B3664" t="str" cm="1">
        <f t="array" ref="B3664">_xlfn.XLOOKUP(C3664, INDEX([2]!카테고리매핑,,2), INDEX([2]!카테고리매핑,,1), "미등록 카테고리")</f>
        <v>술</v>
      </c>
      <c r="C3664" t="s">
        <v>42</v>
      </c>
      <c r="D3664" t="str">
        <f>VLOOKUP(C3664, '[2]VLOOKUP 함수용 카테고리'!$A$1:$B$59, 2, 0)</f>
        <v>ALCOHOL</v>
      </c>
      <c r="E3664" t="s">
        <v>43</v>
      </c>
      <c r="F3664" t="s">
        <v>5909</v>
      </c>
    </row>
    <row r="3665" spans="1:6" x14ac:dyDescent="0.3">
      <c r="A3665" t="s">
        <v>5910</v>
      </c>
      <c r="B3665" t="str" cm="1">
        <f t="array" ref="B3665">_xlfn.XLOOKUP(C3665, INDEX([2]!카테고리매핑,,2), INDEX([2]!카테고리매핑,,1), "미등록 카테고리")</f>
        <v>음료</v>
      </c>
      <c r="C3665" t="s">
        <v>23</v>
      </c>
      <c r="D3665" t="str">
        <f>VLOOKUP(C3665, '[2]VLOOKUP 함수용 카테고리'!$A$1:$B$59, 2, 0)</f>
        <v>BEVERAGE</v>
      </c>
      <c r="E3665" t="s">
        <v>323</v>
      </c>
      <c r="F3665" t="s">
        <v>753</v>
      </c>
    </row>
    <row r="3666" spans="1:6" x14ac:dyDescent="0.3">
      <c r="A3666" t="s">
        <v>5911</v>
      </c>
      <c r="B3666" t="str" cm="1">
        <f t="array" ref="B3666">_xlfn.XLOOKUP(C3666, INDEX([2]!카테고리매핑,,2), INDEX([2]!카테고리매핑,,1), "미등록 카테고리")</f>
        <v>유제품</v>
      </c>
      <c r="C3666" t="s">
        <v>123</v>
      </c>
      <c r="D3666" t="str">
        <f>VLOOKUP(C3666, '[2]VLOOKUP 함수용 카테고리'!$A$1:$B$59, 2, 0)</f>
        <v>DAIRY</v>
      </c>
      <c r="E3666" t="s">
        <v>190</v>
      </c>
      <c r="F3666" t="s">
        <v>623</v>
      </c>
    </row>
    <row r="3667" spans="1:6" x14ac:dyDescent="0.3">
      <c r="A3667" t="s">
        <v>5912</v>
      </c>
      <c r="B3667" t="str" cm="1">
        <f t="array" ref="B3667">_xlfn.XLOOKUP(C3667, INDEX([2]!카테고리매핑,,2), INDEX([2]!카테고리매핑,,1), "미등록 카테고리")</f>
        <v>조미료</v>
      </c>
      <c r="C3667" t="s">
        <v>117</v>
      </c>
      <c r="D3667" t="str">
        <f>VLOOKUP(C3667, '[2]VLOOKUP 함수용 카테고리'!$A$1:$B$59, 2, 0)</f>
        <v>SAUCE_SEASONING</v>
      </c>
      <c r="E3667" t="s">
        <v>645</v>
      </c>
      <c r="F3667" t="s">
        <v>1452</v>
      </c>
    </row>
    <row r="3668" spans="1:6" x14ac:dyDescent="0.3">
      <c r="A3668" t="s">
        <v>5913</v>
      </c>
      <c r="B3668" t="str" cm="1">
        <f t="array" ref="B3668">_xlfn.XLOOKUP(C3668, INDEX([2]!카테고리매핑,,2), INDEX([2]!카테고리매핑,,1), "미등록 카테고리")</f>
        <v>간편식</v>
      </c>
      <c r="C3668" t="s">
        <v>19</v>
      </c>
      <c r="D3668" t="str">
        <f>VLOOKUP(C3668, '[2]VLOOKUP 함수용 카테고리'!$A$1:$B$59, 2, 0)</f>
        <v>FROZEN_MEAL</v>
      </c>
      <c r="E3668" t="s">
        <v>245</v>
      </c>
      <c r="F3668" t="s">
        <v>541</v>
      </c>
    </row>
    <row r="3669" spans="1:6" x14ac:dyDescent="0.3">
      <c r="A3669" t="s">
        <v>5914</v>
      </c>
      <c r="B3669" t="str" cm="1">
        <f t="array" ref="B3669">_xlfn.XLOOKUP(C3669, INDEX([2]!카테고리매핑,,2), INDEX([2]!카테고리매핑,,1), "미등록 카테고리")</f>
        <v>간편식</v>
      </c>
      <c r="C3669" t="s">
        <v>161</v>
      </c>
      <c r="D3669" t="str">
        <f>VLOOKUP(C3669, '[2]VLOOKUP 함수용 카테고리'!$A$1:$B$59, 2, 0)</f>
        <v>RTC_MEAL</v>
      </c>
      <c r="E3669" t="s">
        <v>162</v>
      </c>
      <c r="F3669" t="s">
        <v>1625</v>
      </c>
    </row>
    <row r="3670" spans="1:6" x14ac:dyDescent="0.3">
      <c r="A3670" t="s">
        <v>5915</v>
      </c>
      <c r="B3670" t="str" cm="1">
        <f t="array" ref="B3670">_xlfn.XLOOKUP(C3670, INDEX([2]!카테고리매핑,,2), INDEX([2]!카테고리매핑,,1), "미등록 카테고리")</f>
        <v>간편식</v>
      </c>
      <c r="C3670" t="s">
        <v>46</v>
      </c>
      <c r="D3670" t="str">
        <f>VLOOKUP(C3670, '[2]VLOOKUP 함수용 카테고리'!$A$1:$B$59, 2, 0)</f>
        <v>RTC_MEAL</v>
      </c>
      <c r="E3670" t="s">
        <v>46</v>
      </c>
      <c r="F3670" t="s">
        <v>461</v>
      </c>
    </row>
    <row r="3671" spans="1:6" x14ac:dyDescent="0.3">
      <c r="A3671" t="s">
        <v>5916</v>
      </c>
      <c r="B3671" t="str" cm="1">
        <f t="array" ref="B3671">_xlfn.XLOOKUP(C3671, INDEX([2]!카테고리매핑,,2), INDEX([2]!카테고리매핑,,1), "미등록 카테고리")</f>
        <v>간편식</v>
      </c>
      <c r="C3671" t="s">
        <v>46</v>
      </c>
      <c r="D3671" t="str">
        <f>VLOOKUP(C3671, '[2]VLOOKUP 함수용 카테고리'!$A$1:$B$59, 2, 0)</f>
        <v>RTC_MEAL</v>
      </c>
      <c r="E3671" t="s">
        <v>46</v>
      </c>
      <c r="F3671" t="s">
        <v>568</v>
      </c>
    </row>
    <row r="3672" spans="1:6" x14ac:dyDescent="0.3">
      <c r="A3672" t="s">
        <v>5917</v>
      </c>
      <c r="B3672" t="str" cm="1">
        <f t="array" ref="B3672">_xlfn.XLOOKUP(C3672, INDEX([2]!카테고리매핑,,2), INDEX([2]!카테고리매핑,,1), "미등록 카테고리")</f>
        <v>간편식</v>
      </c>
      <c r="C3672" t="s">
        <v>46</v>
      </c>
      <c r="D3672" t="str">
        <f>VLOOKUP(C3672, '[2]VLOOKUP 함수용 카테고리'!$A$1:$B$59, 2, 0)</f>
        <v>RTC_MEAL</v>
      </c>
      <c r="E3672" t="s">
        <v>46</v>
      </c>
      <c r="F3672" t="s">
        <v>3205</v>
      </c>
    </row>
    <row r="3673" spans="1:6" x14ac:dyDescent="0.3">
      <c r="A3673" t="s">
        <v>5918</v>
      </c>
      <c r="B3673" t="str" cm="1">
        <f t="array" ref="B3673">_xlfn.XLOOKUP(C3673, INDEX([2]!카테고리매핑,,2), INDEX([2]!카테고리매핑,,1), "미등록 카테고리")</f>
        <v>간편식</v>
      </c>
      <c r="C3673" t="s">
        <v>131</v>
      </c>
      <c r="D3673" t="str">
        <f>VLOOKUP(C3673, '[2]VLOOKUP 함수용 카테고리'!$A$1:$B$59, 2, 0)</f>
        <v>SIMPLE_PROCESSED</v>
      </c>
      <c r="E3673" t="s">
        <v>5919</v>
      </c>
      <c r="F3673" t="s">
        <v>5920</v>
      </c>
    </row>
    <row r="3674" spans="1:6" x14ac:dyDescent="0.3">
      <c r="A3674" t="s">
        <v>5921</v>
      </c>
      <c r="B3674" t="str" cm="1">
        <f t="array" ref="B3674">_xlfn.XLOOKUP(C3674, INDEX([2]!카테고리매핑,,2), INDEX([2]!카테고리매핑,,1), "미등록 카테고리")</f>
        <v>간식류</v>
      </c>
      <c r="C3674" t="s">
        <v>15</v>
      </c>
      <c r="D3674" t="str">
        <f>VLOOKUP(C3674, '[2]VLOOKUP 함수용 카테고리'!$A$1:$B$59, 2, 0)</f>
        <v>BAKERY</v>
      </c>
      <c r="E3674" t="s">
        <v>2600</v>
      </c>
    </row>
    <row r="3675" spans="1:6" x14ac:dyDescent="0.3">
      <c r="A3675" t="s">
        <v>5922</v>
      </c>
      <c r="B3675" t="str" cm="1">
        <f t="array" ref="B3675">_xlfn.XLOOKUP(C3675, INDEX([2]!카테고리매핑,,2), INDEX([2]!카테고리매핑,,1), "미등록 카테고리")</f>
        <v>간식류</v>
      </c>
      <c r="C3675" t="s">
        <v>11</v>
      </c>
      <c r="D3675" t="str">
        <f>VLOOKUP(C3675, '[2]VLOOKUP 함수용 카테고리'!$A$1:$B$59, 2, 0)</f>
        <v>SNACK</v>
      </c>
      <c r="E3675" t="s">
        <v>5244</v>
      </c>
      <c r="F3675" t="s">
        <v>937</v>
      </c>
    </row>
    <row r="3676" spans="1:6" x14ac:dyDescent="0.3">
      <c r="A3676" t="s">
        <v>5923</v>
      </c>
      <c r="B3676" t="str" cm="1">
        <f t="array" ref="B3676">_xlfn.XLOOKUP(C3676, INDEX([2]!카테고리매핑,,2), INDEX([2]!카테고리매핑,,1), "미등록 카테고리")</f>
        <v>간편식</v>
      </c>
      <c r="C3676" t="s">
        <v>158</v>
      </c>
      <c r="D3676" t="str">
        <f>VLOOKUP(C3676, '[2]VLOOKUP 함수용 카테고리'!$A$1:$B$59, 2, 0)</f>
        <v>INSTANT</v>
      </c>
      <c r="E3676" t="s">
        <v>963</v>
      </c>
      <c r="F3676" t="s">
        <v>154</v>
      </c>
    </row>
    <row r="3677" spans="1:6" x14ac:dyDescent="0.3">
      <c r="A3677" t="s">
        <v>5924</v>
      </c>
      <c r="B3677" t="str" cm="1">
        <f t="array" ref="B3677">_xlfn.XLOOKUP(C3677, INDEX([2]!카테고리매핑,,2), INDEX([2]!카테고리매핑,,1), "미등록 카테고리")</f>
        <v>수산물</v>
      </c>
      <c r="C3677" t="s">
        <v>183</v>
      </c>
      <c r="D3677" t="str">
        <f>VLOOKUP(C3677, '[2]VLOOKUP 함수용 카테고리'!$A$1:$B$59, 2, 0)</f>
        <v>DRIED_SEAFOOD</v>
      </c>
      <c r="E3677" t="s">
        <v>466</v>
      </c>
      <c r="F3677" t="s">
        <v>1960</v>
      </c>
    </row>
    <row r="3678" spans="1:6" x14ac:dyDescent="0.3">
      <c r="A3678" t="s">
        <v>5253</v>
      </c>
      <c r="B3678" t="str" cm="1">
        <f t="array" ref="B3678">_xlfn.XLOOKUP(C3678, INDEX([2]!카테고리매핑,,2), INDEX([2]!카테고리매핑,,1), "미등록 카테고리")</f>
        <v>간식류</v>
      </c>
      <c r="C3678" t="s">
        <v>11</v>
      </c>
      <c r="D3678" t="str">
        <f>VLOOKUP(C3678, '[2]VLOOKUP 함수용 카테고리'!$A$1:$B$59, 2, 0)</f>
        <v>SNACK</v>
      </c>
      <c r="E3678" t="s">
        <v>5254</v>
      </c>
      <c r="F3678" t="s">
        <v>5239</v>
      </c>
    </row>
    <row r="3679" spans="1:6" x14ac:dyDescent="0.3">
      <c r="A3679" t="s">
        <v>5925</v>
      </c>
      <c r="B3679" t="str" cm="1">
        <f t="array" ref="B3679">_xlfn.XLOOKUP(C3679, INDEX([2]!카테고리매핑,,2), INDEX([2]!카테고리매핑,,1), "미등록 카테고리")</f>
        <v>조미료</v>
      </c>
      <c r="C3679" t="s">
        <v>117</v>
      </c>
      <c r="D3679" t="str">
        <f>VLOOKUP(C3679, '[2]VLOOKUP 함수용 카테고리'!$A$1:$B$59, 2, 0)</f>
        <v>SAUCE_SEASONING</v>
      </c>
      <c r="E3679" t="s">
        <v>2135</v>
      </c>
      <c r="F3679" t="s">
        <v>5926</v>
      </c>
    </row>
    <row r="3680" spans="1:6" x14ac:dyDescent="0.3">
      <c r="A3680" t="s">
        <v>1846</v>
      </c>
      <c r="B3680" t="str" cm="1">
        <f t="array" ref="B3680">_xlfn.XLOOKUP(C3680, INDEX([2]!카테고리매핑,,2), INDEX([2]!카테고리매핑,,1), "미등록 카테고리")</f>
        <v>미등록 카테고리</v>
      </c>
      <c r="C3680" t="s">
        <v>334</v>
      </c>
      <c r="D3680" t="str">
        <f>VLOOKUP(C3680, '[2]VLOOKUP 함수용 카테고리'!$A$1:$B$59, 2, 0)</f>
        <v>UNKNOWN</v>
      </c>
      <c r="E3680" t="s">
        <v>334</v>
      </c>
      <c r="F3680" t="s">
        <v>1847</v>
      </c>
    </row>
    <row r="3681" spans="1:6" x14ac:dyDescent="0.3">
      <c r="A3681" t="s">
        <v>5927</v>
      </c>
      <c r="B3681" t="str" cm="1">
        <f t="array" ref="B3681">_xlfn.XLOOKUP(C3681, INDEX([2]!카테고리매핑,,2), INDEX([2]!카테고리매핑,,1), "미등록 카테고리")</f>
        <v>간식류</v>
      </c>
      <c r="C3681" t="s">
        <v>11</v>
      </c>
      <c r="D3681" t="str">
        <f>VLOOKUP(C3681, '[2]VLOOKUP 함수용 카테고리'!$A$1:$B$59, 2, 0)</f>
        <v>SNACK</v>
      </c>
      <c r="E3681" t="s">
        <v>81</v>
      </c>
      <c r="F3681" t="s">
        <v>5928</v>
      </c>
    </row>
    <row r="3682" spans="1:6" x14ac:dyDescent="0.3">
      <c r="A3682" t="s">
        <v>5929</v>
      </c>
      <c r="B3682" t="str" cm="1">
        <f t="array" ref="B3682">_xlfn.XLOOKUP(C3682, INDEX([2]!카테고리매핑,,2), INDEX([2]!카테고리매핑,,1), "미등록 카테고리")</f>
        <v>채소/곡물류</v>
      </c>
      <c r="C3682" t="s">
        <v>7</v>
      </c>
      <c r="D3682" t="str">
        <f>VLOOKUP(C3682, '[2]VLOOKUP 함수용 카테고리'!$A$1:$B$59, 2, 0)</f>
        <v>RAW_PRODUCE</v>
      </c>
      <c r="E3682" t="s">
        <v>566</v>
      </c>
    </row>
    <row r="3683" spans="1:6" x14ac:dyDescent="0.3">
      <c r="A3683" t="s">
        <v>5930</v>
      </c>
      <c r="B3683" t="str" cm="1">
        <f t="array" ref="B3683">_xlfn.XLOOKUP(C3683, INDEX([2]!카테고리매핑,,2), INDEX([2]!카테고리매핑,,1), "미등록 카테고리")</f>
        <v>간식류</v>
      </c>
      <c r="C3683" t="s">
        <v>63</v>
      </c>
      <c r="D3683" t="str">
        <f>VLOOKUP(C3683, '[2]VLOOKUP 함수용 카테고리'!$A$1:$B$59, 2, 0)</f>
        <v>BAKERY</v>
      </c>
      <c r="E3683" t="s">
        <v>496</v>
      </c>
      <c r="F3683" t="s">
        <v>1765</v>
      </c>
    </row>
    <row r="3684" spans="1:6" x14ac:dyDescent="0.3">
      <c r="A3684" t="s">
        <v>5931</v>
      </c>
      <c r="B3684" t="str" cm="1">
        <f t="array" ref="B3684">_xlfn.XLOOKUP(C3684, INDEX([2]!카테고리매핑,,2), INDEX([2]!카테고리매핑,,1), "미등록 카테고리")</f>
        <v>간편식</v>
      </c>
      <c r="C3684" t="s">
        <v>256</v>
      </c>
      <c r="D3684" t="str">
        <f>VLOOKUP(C3684, '[2]VLOOKUP 함수용 카테고리'!$A$1:$B$59, 2, 0)</f>
        <v>RTC_MEAL</v>
      </c>
      <c r="E3684" t="s">
        <v>256</v>
      </c>
      <c r="F3684" t="s">
        <v>541</v>
      </c>
    </row>
    <row r="3685" spans="1:6" x14ac:dyDescent="0.3">
      <c r="A3685" t="s">
        <v>5932</v>
      </c>
      <c r="B3685" t="str" cm="1">
        <f t="array" ref="B3685">_xlfn.XLOOKUP(C3685, INDEX([2]!카테고리매핑,,2), INDEX([2]!카테고리매핑,,1), "미등록 카테고리")</f>
        <v>간편식</v>
      </c>
      <c r="C3685" t="s">
        <v>46</v>
      </c>
      <c r="D3685" t="str">
        <f>VLOOKUP(C3685, '[2]VLOOKUP 함수용 카테고리'!$A$1:$B$59, 2, 0)</f>
        <v>RTC_MEAL</v>
      </c>
      <c r="E3685" t="s">
        <v>46</v>
      </c>
      <c r="F3685" t="s">
        <v>156</v>
      </c>
    </row>
    <row r="3686" spans="1:6" x14ac:dyDescent="0.3">
      <c r="A3686" t="s">
        <v>5933</v>
      </c>
      <c r="B3686" t="str" cm="1">
        <f t="array" ref="B3686">_xlfn.XLOOKUP(C3686, INDEX([2]!카테고리매핑,,2), INDEX([2]!카테고리매핑,,1), "미등록 카테고리")</f>
        <v>간식류</v>
      </c>
      <c r="C3686" t="s">
        <v>11</v>
      </c>
      <c r="D3686" t="str">
        <f>VLOOKUP(C3686, '[2]VLOOKUP 함수용 카테고리'!$A$1:$B$59, 2, 0)</f>
        <v>SNACK</v>
      </c>
      <c r="E3686" t="s">
        <v>2753</v>
      </c>
      <c r="F3686" t="s">
        <v>2754</v>
      </c>
    </row>
    <row r="3687" spans="1:6" x14ac:dyDescent="0.3">
      <c r="A3687" t="s">
        <v>5934</v>
      </c>
      <c r="B3687" t="str" cm="1">
        <f t="array" ref="B3687">_xlfn.XLOOKUP(C3687, INDEX([2]!카테고리매핑,,2), INDEX([2]!카테고리매핑,,1), "미등록 카테고리")</f>
        <v>유제품</v>
      </c>
      <c r="C3687" t="s">
        <v>123</v>
      </c>
      <c r="D3687" t="str">
        <f>VLOOKUP(C3687, '[2]VLOOKUP 함수용 카테고리'!$A$1:$B$59, 2, 0)</f>
        <v>DAIRY</v>
      </c>
      <c r="E3687" t="s">
        <v>190</v>
      </c>
      <c r="F3687" t="s">
        <v>5935</v>
      </c>
    </row>
    <row r="3688" spans="1:6" x14ac:dyDescent="0.3">
      <c r="A3688" t="s">
        <v>5884</v>
      </c>
      <c r="B3688" t="str" cm="1">
        <f t="array" ref="B3688">_xlfn.XLOOKUP(C3688, INDEX([2]!카테고리매핑,,2), INDEX([2]!카테고리매핑,,1), "미등록 카테고리")</f>
        <v>미등록 카테고리</v>
      </c>
      <c r="C3688" t="s">
        <v>334</v>
      </c>
      <c r="D3688" t="str">
        <f>VLOOKUP(C3688, '[2]VLOOKUP 함수용 카테고리'!$A$1:$B$59, 2, 0)</f>
        <v>UNKNOWN</v>
      </c>
      <c r="E3688" t="s">
        <v>334</v>
      </c>
      <c r="F3688" t="s">
        <v>731</v>
      </c>
    </row>
    <row r="3689" spans="1:6" x14ac:dyDescent="0.3">
      <c r="A3689" t="s">
        <v>5936</v>
      </c>
      <c r="B3689" t="str" cm="1">
        <f t="array" ref="B3689">_xlfn.XLOOKUP(C3689, INDEX([2]!카테고리매핑,,2), INDEX([2]!카테고리매핑,,1), "미등록 카테고리")</f>
        <v>과일/견과류</v>
      </c>
      <c r="C3689" t="s">
        <v>654</v>
      </c>
      <c r="D3689" t="str">
        <f>VLOOKUP(C3689, '[2]VLOOKUP 함수용 카테고리'!$A$1:$B$59, 2, 0)</f>
        <v>RAW_FRUIT</v>
      </c>
      <c r="E3689" t="s">
        <v>2177</v>
      </c>
      <c r="F3689" t="s">
        <v>5937</v>
      </c>
    </row>
    <row r="3690" spans="1:6" x14ac:dyDescent="0.3">
      <c r="A3690" t="s">
        <v>5938</v>
      </c>
      <c r="B3690" t="str" cm="1">
        <f t="array" ref="B3690">_xlfn.XLOOKUP(C3690, INDEX([2]!카테고리매핑,,2), INDEX([2]!카테고리매핑,,1), "미등록 카테고리")</f>
        <v>조미료</v>
      </c>
      <c r="C3690" t="s">
        <v>127</v>
      </c>
      <c r="D3690" t="str">
        <f>VLOOKUP(C3690, '[2]VLOOKUP 함수용 카테고리'!$A$1:$B$59, 2, 0)</f>
        <v>SAUCE_SEASONING</v>
      </c>
      <c r="E3690" t="s">
        <v>436</v>
      </c>
      <c r="F3690" t="s">
        <v>182</v>
      </c>
    </row>
    <row r="3691" spans="1:6" x14ac:dyDescent="0.3">
      <c r="A3691" t="s">
        <v>5939</v>
      </c>
      <c r="B3691" t="str" cm="1">
        <f t="array" ref="B3691">_xlfn.XLOOKUP(C3691, INDEX([2]!카테고리매핑,,2), INDEX([2]!카테고리매핑,,1), "미등록 카테고리")</f>
        <v>음료</v>
      </c>
      <c r="C3691" t="s">
        <v>242</v>
      </c>
      <c r="D3691" t="str">
        <f>VLOOKUP(C3691, '[2]VLOOKUP 함수용 카테고리'!$A$1:$B$59, 2, 0)</f>
        <v>BEVERAGE</v>
      </c>
      <c r="E3691" t="s">
        <v>5940</v>
      </c>
      <c r="F3691" t="s">
        <v>5941</v>
      </c>
    </row>
    <row r="3692" spans="1:6" x14ac:dyDescent="0.3">
      <c r="A3692" t="s">
        <v>5942</v>
      </c>
      <c r="B3692" t="str" cm="1">
        <f t="array" ref="B3692">_xlfn.XLOOKUP(C3692, INDEX([2]!카테고리매핑,,2), INDEX([2]!카테고리매핑,,1), "미등록 카테고리")</f>
        <v>간편식</v>
      </c>
      <c r="C3692" t="s">
        <v>256</v>
      </c>
      <c r="D3692" t="str">
        <f>VLOOKUP(C3692, '[2]VLOOKUP 함수용 카테고리'!$A$1:$B$59, 2, 0)</f>
        <v>RTC_MEAL</v>
      </c>
      <c r="E3692" t="s">
        <v>256</v>
      </c>
      <c r="F3692" t="s">
        <v>5943</v>
      </c>
    </row>
    <row r="3693" spans="1:6" x14ac:dyDescent="0.3">
      <c r="A3693" t="s">
        <v>5944</v>
      </c>
      <c r="B3693" t="str" cm="1">
        <f t="array" ref="B3693">_xlfn.XLOOKUP(C3693, INDEX([2]!카테고리매핑,,2), INDEX([2]!카테고리매핑,,1), "미등록 카테고리")</f>
        <v>조미료</v>
      </c>
      <c r="C3693" t="s">
        <v>558</v>
      </c>
      <c r="D3693" t="str">
        <f>VLOOKUP(C3693, '[2]VLOOKUP 함수용 카테고리'!$A$1:$B$59, 2, 0)</f>
        <v>SAUCE_SEASONING</v>
      </c>
      <c r="E3693" t="s">
        <v>649</v>
      </c>
      <c r="F3693" t="s">
        <v>5945</v>
      </c>
    </row>
    <row r="3694" spans="1:6" x14ac:dyDescent="0.3">
      <c r="A3694" t="s">
        <v>5946</v>
      </c>
      <c r="B3694" t="str" cm="1">
        <f t="array" ref="B3694">_xlfn.XLOOKUP(C3694, INDEX([2]!카테고리매핑,,2), INDEX([2]!카테고리매핑,,1), "미등록 카테고리")</f>
        <v>육류/계란</v>
      </c>
      <c r="C3694" t="s">
        <v>149</v>
      </c>
      <c r="D3694" t="str">
        <f>VLOOKUP(C3694, '[2]VLOOKUP 함수용 카테고리'!$A$1:$B$59, 2, 0)</f>
        <v>RAW_MEAT</v>
      </c>
      <c r="E3694" t="s">
        <v>1630</v>
      </c>
      <c r="F3694" t="s">
        <v>267</v>
      </c>
    </row>
    <row r="3695" spans="1:6" x14ac:dyDescent="0.3">
      <c r="A3695" t="s">
        <v>5947</v>
      </c>
      <c r="B3695" t="str" cm="1">
        <f t="array" ref="B3695">_xlfn.XLOOKUP(C3695, INDEX([2]!카테고리매핑,,2), INDEX([2]!카테고리매핑,,1), "미등록 카테고리")</f>
        <v>간식류</v>
      </c>
      <c r="C3695" t="s">
        <v>63</v>
      </c>
      <c r="D3695" t="str">
        <f>VLOOKUP(C3695, '[2]VLOOKUP 함수용 카테고리'!$A$1:$B$59, 2, 0)</f>
        <v>BAKERY</v>
      </c>
      <c r="E3695" t="s">
        <v>226</v>
      </c>
      <c r="F3695" t="s">
        <v>5440</v>
      </c>
    </row>
    <row r="3696" spans="1:6" x14ac:dyDescent="0.3">
      <c r="A3696" t="s">
        <v>5948</v>
      </c>
      <c r="B3696" t="str" cm="1">
        <f t="array" ref="B3696">_xlfn.XLOOKUP(C3696, INDEX([2]!카테고리매핑,,2), INDEX([2]!카테고리매핑,,1), "미등록 카테고리")</f>
        <v>육류/계란</v>
      </c>
      <c r="C3696" t="s">
        <v>105</v>
      </c>
      <c r="D3696" t="str">
        <f>VLOOKUP(C3696, '[2]VLOOKUP 함수용 카테고리'!$A$1:$B$59, 2, 0)</f>
        <v>RAW_MEAT</v>
      </c>
      <c r="E3696" t="s">
        <v>5949</v>
      </c>
      <c r="F3696" t="s">
        <v>254</v>
      </c>
    </row>
    <row r="3697" spans="1:6" x14ac:dyDescent="0.3">
      <c r="A3697" t="s">
        <v>5950</v>
      </c>
      <c r="B3697" t="str" cm="1">
        <f t="array" ref="B3697">_xlfn.XLOOKUP(C3697, INDEX([2]!카테고리매핑,,2), INDEX([2]!카테고리매핑,,1), "미등록 카테고리")</f>
        <v>음료</v>
      </c>
      <c r="C3697" t="s">
        <v>23</v>
      </c>
      <c r="D3697" t="str">
        <f>VLOOKUP(C3697, '[2]VLOOKUP 함수용 카테고리'!$A$1:$B$59, 2, 0)</f>
        <v>BEVERAGE</v>
      </c>
      <c r="E3697" t="s">
        <v>502</v>
      </c>
      <c r="F3697" t="s">
        <v>503</v>
      </c>
    </row>
    <row r="3698" spans="1:6" x14ac:dyDescent="0.3">
      <c r="A3698" t="s">
        <v>995</v>
      </c>
      <c r="B3698" t="str" cm="1">
        <f t="array" ref="B3698">_xlfn.XLOOKUP(C3698, INDEX([2]!카테고리매핑,,2), INDEX([2]!카테고리매핑,,1), "미등록 카테고리")</f>
        <v>과일/견과류</v>
      </c>
      <c r="C3698" t="s">
        <v>654</v>
      </c>
      <c r="D3698" t="str">
        <f>VLOOKUP(C3698, '[2]VLOOKUP 함수용 카테고리'!$A$1:$B$59, 2, 0)</f>
        <v>RAW_FRUIT</v>
      </c>
      <c r="E3698" t="s">
        <v>728</v>
      </c>
      <c r="F3698" t="s">
        <v>670</v>
      </c>
    </row>
    <row r="3699" spans="1:6" x14ac:dyDescent="0.3">
      <c r="A3699" t="s">
        <v>5951</v>
      </c>
      <c r="B3699" t="str" cm="1">
        <f t="array" ref="B3699">_xlfn.XLOOKUP(C3699, INDEX([2]!카테고리매핑,,2), INDEX([2]!카테고리매핑,,1), "미등록 카테고리")</f>
        <v>육류/계란</v>
      </c>
      <c r="C3699" t="s">
        <v>34</v>
      </c>
      <c r="D3699" t="str">
        <f>VLOOKUP(C3699, '[2]VLOOKUP 함수용 카테고리'!$A$1:$B$59, 2, 0)</f>
        <v>RAW_MEAT</v>
      </c>
      <c r="E3699" t="s">
        <v>35</v>
      </c>
      <c r="F3699" t="s">
        <v>1003</v>
      </c>
    </row>
    <row r="3700" spans="1:6" x14ac:dyDescent="0.3">
      <c r="A3700" t="s">
        <v>5952</v>
      </c>
      <c r="B3700" t="str" cm="1">
        <f t="array" ref="B3700">_xlfn.XLOOKUP(C3700, INDEX([2]!카테고리매핑,,2), INDEX([2]!카테고리매핑,,1), "미등록 카테고리")</f>
        <v>육류/계란</v>
      </c>
      <c r="C3700" t="s">
        <v>34</v>
      </c>
      <c r="D3700" t="str">
        <f>VLOOKUP(C3700, '[2]VLOOKUP 함수용 카테고리'!$A$1:$B$59, 2, 0)</f>
        <v>RAW_MEAT</v>
      </c>
      <c r="E3700" t="s">
        <v>35</v>
      </c>
      <c r="F3700" t="s">
        <v>1915</v>
      </c>
    </row>
    <row r="3701" spans="1:6" x14ac:dyDescent="0.3">
      <c r="A3701" t="s">
        <v>5953</v>
      </c>
      <c r="B3701" t="str" cm="1">
        <f t="array" ref="B3701">_xlfn.XLOOKUP(C3701, INDEX([2]!카테고리매핑,,2), INDEX([2]!카테고리매핑,,1), "미등록 카테고리")</f>
        <v>간편식</v>
      </c>
      <c r="C3701" t="s">
        <v>19</v>
      </c>
      <c r="D3701" t="str">
        <f>VLOOKUP(C3701, '[2]VLOOKUP 함수용 카테고리'!$A$1:$B$59, 2, 0)</f>
        <v>FROZEN_MEAL</v>
      </c>
      <c r="E3701" t="s">
        <v>5954</v>
      </c>
      <c r="F3701" t="s">
        <v>2404</v>
      </c>
    </row>
    <row r="3702" spans="1:6" x14ac:dyDescent="0.3">
      <c r="A3702" t="s">
        <v>5955</v>
      </c>
      <c r="B3702" t="str" cm="1">
        <f t="array" ref="B3702">_xlfn.XLOOKUP(C3702, INDEX([2]!카테고리매핑,,2), INDEX([2]!카테고리매핑,,1), "미등록 카테고리")</f>
        <v>채소/곡물류</v>
      </c>
      <c r="C3702" t="s">
        <v>301</v>
      </c>
      <c r="D3702" t="str">
        <f>VLOOKUP(C3702, '[2]VLOOKUP 함수용 카테고리'!$A$1:$B$59, 2, 0)</f>
        <v>GRAIN</v>
      </c>
      <c r="E3702" t="s">
        <v>2023</v>
      </c>
      <c r="F3702" t="s">
        <v>5956</v>
      </c>
    </row>
    <row r="3703" spans="1:6" x14ac:dyDescent="0.3">
      <c r="A3703" t="s">
        <v>5957</v>
      </c>
      <c r="B3703" t="str" cm="1">
        <f t="array" ref="B3703">_xlfn.XLOOKUP(C3703, INDEX([2]!카테고리매핑,,2), INDEX([2]!카테고리매핑,,1), "미등록 카테고리")</f>
        <v>과일/견과류</v>
      </c>
      <c r="C3703" t="s">
        <v>1179</v>
      </c>
      <c r="D3703" t="str">
        <f>VLOOKUP(C3703, '[2]VLOOKUP 함수용 카테고리'!$A$1:$B$59, 2, 0)</f>
        <v>RAW_FRUIT</v>
      </c>
      <c r="E3703" t="s">
        <v>5473</v>
      </c>
      <c r="F3703" t="s">
        <v>5958</v>
      </c>
    </row>
    <row r="3704" spans="1:6" x14ac:dyDescent="0.3">
      <c r="A3704" t="s">
        <v>5959</v>
      </c>
      <c r="B3704" t="str" cm="1">
        <f t="array" ref="B3704">_xlfn.XLOOKUP(C3704, INDEX([2]!카테고리매핑,,2), INDEX([2]!카테고리매핑,,1), "미등록 카테고리")</f>
        <v>조미료</v>
      </c>
      <c r="C3704" t="s">
        <v>117</v>
      </c>
      <c r="D3704" t="str">
        <f>VLOOKUP(C3704, '[2]VLOOKUP 함수용 카테고리'!$A$1:$B$59, 2, 0)</f>
        <v>SAUCE_SEASONING</v>
      </c>
      <c r="E3704" t="s">
        <v>118</v>
      </c>
      <c r="F3704" t="s">
        <v>350</v>
      </c>
    </row>
    <row r="3705" spans="1:6" x14ac:dyDescent="0.3">
      <c r="A3705" t="s">
        <v>5960</v>
      </c>
      <c r="B3705" t="str" cm="1">
        <f t="array" ref="B3705">_xlfn.XLOOKUP(C3705, INDEX([2]!카테고리매핑,,2), INDEX([2]!카테고리매핑,,1), "미등록 카테고리")</f>
        <v>간식류</v>
      </c>
      <c r="C3705" t="s">
        <v>11</v>
      </c>
      <c r="D3705" t="str">
        <f>VLOOKUP(C3705, '[2]VLOOKUP 함수용 카테고리'!$A$1:$B$59, 2, 0)</f>
        <v>SNACK</v>
      </c>
      <c r="E3705" t="s">
        <v>5961</v>
      </c>
      <c r="F3705" t="s">
        <v>5962</v>
      </c>
    </row>
    <row r="3706" spans="1:6" x14ac:dyDescent="0.3">
      <c r="A3706" t="s">
        <v>5963</v>
      </c>
      <c r="B3706" t="str" cm="1">
        <f t="array" ref="B3706">_xlfn.XLOOKUP(C3706, INDEX([2]!카테고리매핑,,2), INDEX([2]!카테고리매핑,,1), "미등록 카테고리")</f>
        <v>간식류</v>
      </c>
      <c r="C3706" t="s">
        <v>11</v>
      </c>
      <c r="D3706" t="str">
        <f>VLOOKUP(C3706, '[2]VLOOKUP 함수용 카테고리'!$A$1:$B$59, 2, 0)</f>
        <v>SNACK</v>
      </c>
      <c r="E3706" t="s">
        <v>5964</v>
      </c>
      <c r="F3706" t="s">
        <v>13</v>
      </c>
    </row>
    <row r="3707" spans="1:6" x14ac:dyDescent="0.3">
      <c r="A3707" t="s">
        <v>5965</v>
      </c>
      <c r="B3707" t="str" cm="1">
        <f t="array" ref="B3707">_xlfn.XLOOKUP(C3707, INDEX([2]!카테고리매핑,,2), INDEX([2]!카테고리매핑,,1), "미등록 카테고리")</f>
        <v>유제품</v>
      </c>
      <c r="C3707" t="s">
        <v>123</v>
      </c>
      <c r="D3707" t="str">
        <f>VLOOKUP(C3707, '[2]VLOOKUP 함수용 카테고리'!$A$1:$B$59, 2, 0)</f>
        <v>DAIRY</v>
      </c>
      <c r="E3707" t="s">
        <v>190</v>
      </c>
      <c r="F3707" t="s">
        <v>191</v>
      </c>
    </row>
    <row r="3708" spans="1:6" x14ac:dyDescent="0.3">
      <c r="A3708" t="s">
        <v>5966</v>
      </c>
      <c r="B3708" t="str" cm="1">
        <f t="array" ref="B3708">_xlfn.XLOOKUP(C3708, INDEX([2]!카테고리매핑,,2), INDEX([2]!카테고리매핑,,1), "미등록 카테고리")</f>
        <v>음료</v>
      </c>
      <c r="C3708" t="s">
        <v>23</v>
      </c>
      <c r="D3708" t="str">
        <f>VLOOKUP(C3708, '[2]VLOOKUP 함수용 카테고리'!$A$1:$B$59, 2, 0)</f>
        <v>BEVERAGE</v>
      </c>
      <c r="E3708" t="s">
        <v>502</v>
      </c>
      <c r="F3708" t="s">
        <v>25</v>
      </c>
    </row>
    <row r="3709" spans="1:6" x14ac:dyDescent="0.3">
      <c r="A3709" t="s">
        <v>5967</v>
      </c>
      <c r="B3709" t="str" cm="1">
        <f t="array" ref="B3709">_xlfn.XLOOKUP(C3709, INDEX([2]!카테고리매핑,,2), INDEX([2]!카테고리매핑,,1), "미등록 카테고리")</f>
        <v>간식류</v>
      </c>
      <c r="C3709" t="s">
        <v>63</v>
      </c>
      <c r="D3709" t="str">
        <f>VLOOKUP(C3709, '[2]VLOOKUP 함수용 카테고리'!$A$1:$B$59, 2, 0)</f>
        <v>BAKERY</v>
      </c>
      <c r="E3709" t="s">
        <v>5968</v>
      </c>
      <c r="F3709" t="s">
        <v>5969</v>
      </c>
    </row>
    <row r="3710" spans="1:6" x14ac:dyDescent="0.3">
      <c r="A3710" t="s">
        <v>5970</v>
      </c>
      <c r="B3710" t="str" cm="1">
        <f t="array" ref="B3710">_xlfn.XLOOKUP(C3710, INDEX([2]!카테고리매핑,,2), INDEX([2]!카테고리매핑,,1), "미등록 카테고리")</f>
        <v>간편식</v>
      </c>
      <c r="C3710" t="s">
        <v>131</v>
      </c>
      <c r="D3710" t="str">
        <f>VLOOKUP(C3710, '[2]VLOOKUP 함수용 카테고리'!$A$1:$B$59, 2, 0)</f>
        <v>SIMPLE_PROCESSED</v>
      </c>
      <c r="E3710" t="s">
        <v>1067</v>
      </c>
      <c r="F3710" t="s">
        <v>541</v>
      </c>
    </row>
    <row r="3711" spans="1:6" x14ac:dyDescent="0.3">
      <c r="A3711" t="s">
        <v>5971</v>
      </c>
      <c r="B3711" t="str" cm="1">
        <f t="array" ref="B3711">_xlfn.XLOOKUP(C3711, INDEX([2]!카테고리매핑,,2), INDEX([2]!카테고리매핑,,1), "미등록 카테고리")</f>
        <v>간편식</v>
      </c>
      <c r="C3711" t="s">
        <v>19</v>
      </c>
      <c r="D3711" t="str">
        <f>VLOOKUP(C3711, '[2]VLOOKUP 함수용 카테고리'!$A$1:$B$59, 2, 0)</f>
        <v>FROZEN_MEAL</v>
      </c>
      <c r="E3711" t="s">
        <v>5972</v>
      </c>
      <c r="F3711" t="s">
        <v>541</v>
      </c>
    </row>
    <row r="3712" spans="1:6" x14ac:dyDescent="0.3">
      <c r="A3712" t="s">
        <v>5973</v>
      </c>
      <c r="B3712" t="str" cm="1">
        <f t="array" ref="B3712">_xlfn.XLOOKUP(C3712, INDEX([2]!카테고리매핑,,2), INDEX([2]!카테고리매핑,,1), "미등록 카테고리")</f>
        <v>수산물</v>
      </c>
      <c r="C3712" t="s">
        <v>1397</v>
      </c>
      <c r="D3712" t="str">
        <f>VLOOKUP(C3712, '[2]VLOOKUP 함수용 카테고리'!$A$1:$B$59, 2, 0)</f>
        <v>RAW_SEAFOOD</v>
      </c>
      <c r="E3712" t="s">
        <v>2607</v>
      </c>
      <c r="F3712" t="s">
        <v>1399</v>
      </c>
    </row>
    <row r="3713" spans="1:6" x14ac:dyDescent="0.3">
      <c r="A3713" t="s">
        <v>5974</v>
      </c>
      <c r="B3713" t="str" cm="1">
        <f t="array" ref="B3713">_xlfn.XLOOKUP(C3713, INDEX([2]!카테고리매핑,,2), INDEX([2]!카테고리매핑,,1), "미등록 카테고리")</f>
        <v>음료</v>
      </c>
      <c r="C3713" t="s">
        <v>23</v>
      </c>
      <c r="D3713" t="str">
        <f>VLOOKUP(C3713, '[2]VLOOKUP 함수용 카테고리'!$A$1:$B$59, 2, 0)</f>
        <v>BEVERAGE</v>
      </c>
      <c r="E3713" t="s">
        <v>355</v>
      </c>
      <c r="F3713" t="s">
        <v>753</v>
      </c>
    </row>
    <row r="3714" spans="1:6" x14ac:dyDescent="0.3">
      <c r="A3714" t="s">
        <v>5975</v>
      </c>
      <c r="B3714" t="str" cm="1">
        <f t="array" ref="B3714">_xlfn.XLOOKUP(C3714, INDEX([2]!카테고리매핑,,2), INDEX([2]!카테고리매핑,,1), "미등록 카테고리")</f>
        <v>수산물</v>
      </c>
      <c r="C3714" t="s">
        <v>140</v>
      </c>
      <c r="D3714" t="str">
        <f>VLOOKUP(C3714, '[2]VLOOKUP 함수용 카테고리'!$A$1:$B$59, 2, 0)</f>
        <v>SIMPLE_PROCESSED</v>
      </c>
      <c r="E3714" t="s">
        <v>141</v>
      </c>
      <c r="F3714" t="s">
        <v>4946</v>
      </c>
    </row>
    <row r="3715" spans="1:6" x14ac:dyDescent="0.3">
      <c r="A3715" t="s">
        <v>5976</v>
      </c>
      <c r="B3715" t="str" cm="1">
        <f t="array" ref="B3715">_xlfn.XLOOKUP(C3715, INDEX([2]!카테고리매핑,,2), INDEX([2]!카테고리매핑,,1), "미등록 카테고리")</f>
        <v>과일/견과류</v>
      </c>
      <c r="C3715" t="s">
        <v>5029</v>
      </c>
      <c r="D3715" t="str">
        <f>VLOOKUP(C3715, '[2]VLOOKUP 함수용 카테고리'!$A$1:$B$59, 2, 0)</f>
        <v>SIMPLE_PROCESSED</v>
      </c>
      <c r="E3715" t="s">
        <v>5977</v>
      </c>
    </row>
    <row r="3716" spans="1:6" x14ac:dyDescent="0.3">
      <c r="A3716" t="s">
        <v>5978</v>
      </c>
      <c r="B3716" t="str" cm="1">
        <f t="array" ref="B3716">_xlfn.XLOOKUP(C3716, INDEX([2]!카테고리매핑,,2), INDEX([2]!카테고리매핑,,1), "미등록 카테고리")</f>
        <v>음료</v>
      </c>
      <c r="C3716" t="s">
        <v>23</v>
      </c>
      <c r="D3716" t="str">
        <f>VLOOKUP(C3716, '[2]VLOOKUP 함수용 카테고리'!$A$1:$B$59, 2, 0)</f>
        <v>BEVERAGE</v>
      </c>
      <c r="E3716" t="s">
        <v>355</v>
      </c>
      <c r="F3716" t="s">
        <v>356</v>
      </c>
    </row>
    <row r="3717" spans="1:6" x14ac:dyDescent="0.3">
      <c r="A3717" t="s">
        <v>5979</v>
      </c>
      <c r="B3717" t="str" cm="1">
        <f t="array" ref="B3717">_xlfn.XLOOKUP(C3717, INDEX([2]!카테고리매핑,,2), INDEX([2]!카테고리매핑,,1), "미등록 카테고리")</f>
        <v>조미료</v>
      </c>
      <c r="C3717" t="s">
        <v>83</v>
      </c>
      <c r="D3717" t="str">
        <f>VLOOKUP(C3717, '[2]VLOOKUP 함수용 카테고리'!$A$1:$B$59, 2, 0)</f>
        <v>SAUCE_SEASONING</v>
      </c>
      <c r="E3717" t="s">
        <v>1918</v>
      </c>
      <c r="F3717" t="s">
        <v>1919</v>
      </c>
    </row>
    <row r="3718" spans="1:6" x14ac:dyDescent="0.3">
      <c r="A3718" t="s">
        <v>5980</v>
      </c>
      <c r="B3718" t="str" cm="1">
        <f t="array" ref="B3718">_xlfn.XLOOKUP(C3718, INDEX([2]!카테고리매핑,,2), INDEX([2]!카테고리매핑,,1), "미등록 카테고리")</f>
        <v>유제품</v>
      </c>
      <c r="C3718" t="s">
        <v>211</v>
      </c>
      <c r="D3718" t="str">
        <f>VLOOKUP(C3718, '[2]VLOOKUP 함수용 카테고리'!$A$1:$B$59, 2, 0)</f>
        <v>DAIRY</v>
      </c>
      <c r="E3718" t="s">
        <v>5981</v>
      </c>
      <c r="F3718" t="s">
        <v>623</v>
      </c>
    </row>
    <row r="3719" spans="1:6" x14ac:dyDescent="0.3">
      <c r="A3719" t="s">
        <v>5982</v>
      </c>
      <c r="B3719" t="str" cm="1">
        <f t="array" ref="B3719">_xlfn.XLOOKUP(C3719, INDEX([2]!카테고리매핑,,2), INDEX([2]!카테고리매핑,,1), "미등록 카테고리")</f>
        <v>간편식</v>
      </c>
      <c r="C3719" t="s">
        <v>19</v>
      </c>
      <c r="D3719" t="str">
        <f>VLOOKUP(C3719, '[2]VLOOKUP 함수용 카테고리'!$A$1:$B$59, 2, 0)</f>
        <v>FROZEN_MEAL</v>
      </c>
      <c r="E3719" t="s">
        <v>1430</v>
      </c>
      <c r="F3719" t="s">
        <v>156</v>
      </c>
    </row>
    <row r="3720" spans="1:6" x14ac:dyDescent="0.3">
      <c r="A3720" t="s">
        <v>5983</v>
      </c>
      <c r="B3720" t="str" cm="1">
        <f t="array" ref="B3720">_xlfn.XLOOKUP(C3720, INDEX([2]!카테고리매핑,,2), INDEX([2]!카테고리매핑,,1), "미등록 카테고리")</f>
        <v>조미료</v>
      </c>
      <c r="C3720" t="s">
        <v>558</v>
      </c>
      <c r="D3720" t="str">
        <f>VLOOKUP(C3720, '[2]VLOOKUP 함수용 카테고리'!$A$1:$B$59, 2, 0)</f>
        <v>SAUCE_SEASONING</v>
      </c>
      <c r="E3720" t="s">
        <v>559</v>
      </c>
      <c r="F3720" t="s">
        <v>7861</v>
      </c>
    </row>
    <row r="3721" spans="1:6" x14ac:dyDescent="0.3">
      <c r="A3721" t="s">
        <v>5984</v>
      </c>
      <c r="B3721" t="str" cm="1">
        <f t="array" ref="B3721">_xlfn.XLOOKUP(C3721, INDEX([2]!카테고리매핑,,2), INDEX([2]!카테고리매핑,,1), "미등록 카테고리")</f>
        <v>미등록 카테고리</v>
      </c>
      <c r="C3721" t="s">
        <v>334</v>
      </c>
      <c r="D3721" t="str">
        <f>VLOOKUP(C3721, '[2]VLOOKUP 함수용 카테고리'!$A$1:$B$59, 2, 0)</f>
        <v>UNKNOWN</v>
      </c>
      <c r="E3721" t="s">
        <v>334</v>
      </c>
      <c r="F3721" t="s">
        <v>5985</v>
      </c>
    </row>
    <row r="3722" spans="1:6" x14ac:dyDescent="0.3">
      <c r="A3722" t="s">
        <v>5986</v>
      </c>
      <c r="B3722" t="str" cm="1">
        <f t="array" ref="B3722">_xlfn.XLOOKUP(C3722, INDEX([2]!카테고리매핑,,2), INDEX([2]!카테고리매핑,,1), "미등록 카테고리")</f>
        <v>유제품</v>
      </c>
      <c r="C3722" t="s">
        <v>123</v>
      </c>
      <c r="D3722" t="str">
        <f>VLOOKUP(C3722, '[2]VLOOKUP 함수용 카테고리'!$A$1:$B$59, 2, 0)</f>
        <v>DAIRY</v>
      </c>
      <c r="E3722" t="s">
        <v>190</v>
      </c>
      <c r="F3722" t="s">
        <v>7693</v>
      </c>
    </row>
    <row r="3723" spans="1:6" x14ac:dyDescent="0.3">
      <c r="A3723" t="s">
        <v>5987</v>
      </c>
      <c r="B3723" t="str" cm="1">
        <f t="array" ref="B3723">_xlfn.XLOOKUP(C3723, INDEX([2]!카테고리매핑,,2), INDEX([2]!카테고리매핑,,1), "미등록 카테고리")</f>
        <v>간편식</v>
      </c>
      <c r="C3723" t="s">
        <v>256</v>
      </c>
      <c r="D3723" t="str">
        <f>VLOOKUP(C3723, '[2]VLOOKUP 함수용 카테고리'!$A$1:$B$59, 2, 0)</f>
        <v>RTC_MEAL</v>
      </c>
      <c r="E3723" t="s">
        <v>256</v>
      </c>
      <c r="F3723" t="s">
        <v>5988</v>
      </c>
    </row>
    <row r="3724" spans="1:6" x14ac:dyDescent="0.3">
      <c r="A3724" t="s">
        <v>5989</v>
      </c>
      <c r="B3724" t="str" cm="1">
        <f t="array" ref="B3724">_xlfn.XLOOKUP(C3724, INDEX([2]!카테고리매핑,,2), INDEX([2]!카테고리매핑,,1), "미등록 카테고리")</f>
        <v>간식류</v>
      </c>
      <c r="C3724" t="s">
        <v>38</v>
      </c>
      <c r="D3724" t="str">
        <f>VLOOKUP(C3724, '[2]VLOOKUP 함수용 카테고리'!$A$1:$B$59, 2, 0)</f>
        <v>SNACK</v>
      </c>
      <c r="E3724" t="s">
        <v>39</v>
      </c>
      <c r="F3724" t="s">
        <v>383</v>
      </c>
    </row>
    <row r="3725" spans="1:6" x14ac:dyDescent="0.3">
      <c r="A3725" t="s">
        <v>5990</v>
      </c>
      <c r="B3725" t="str" cm="1">
        <f t="array" ref="B3725">_xlfn.XLOOKUP(C3725, INDEX([2]!카테고리매핑,,2), INDEX([2]!카테고리매핑,,1), "미등록 카테고리")</f>
        <v>간식류</v>
      </c>
      <c r="C3725" t="s">
        <v>38</v>
      </c>
      <c r="D3725" t="str">
        <f>VLOOKUP(C3725, '[2]VLOOKUP 함수용 카테고리'!$A$1:$B$59, 2, 0)</f>
        <v>SNACK</v>
      </c>
      <c r="E3725" t="s">
        <v>5991</v>
      </c>
      <c r="F3725" t="s">
        <v>13</v>
      </c>
    </row>
    <row r="3726" spans="1:6" x14ac:dyDescent="0.3">
      <c r="A3726" t="s">
        <v>5992</v>
      </c>
      <c r="B3726" t="str" cm="1">
        <f t="array" ref="B3726">_xlfn.XLOOKUP(C3726, INDEX([2]!카테고리매핑,,2), INDEX([2]!카테고리매핑,,1), "미등록 카테고리")</f>
        <v>유제품</v>
      </c>
      <c r="C3726" t="s">
        <v>211</v>
      </c>
      <c r="D3726" t="str">
        <f>VLOOKUP(C3726, '[2]VLOOKUP 함수용 카테고리'!$A$1:$B$59, 2, 0)</f>
        <v>DAIRY</v>
      </c>
      <c r="E3726" t="s">
        <v>212</v>
      </c>
      <c r="F3726" t="s">
        <v>475</v>
      </c>
    </row>
    <row r="3727" spans="1:6" x14ac:dyDescent="0.3">
      <c r="A3727" t="s">
        <v>5993</v>
      </c>
      <c r="B3727" t="str" cm="1">
        <f t="array" ref="B3727">_xlfn.XLOOKUP(C3727, INDEX([2]!카테고리매핑,,2), INDEX([2]!카테고리매핑,,1), "미등록 카테고리")</f>
        <v>음료</v>
      </c>
      <c r="C3727" t="s">
        <v>584</v>
      </c>
      <c r="D3727" t="str">
        <f>VLOOKUP(C3727, '[2]VLOOKUP 함수용 카테고리'!$A$1:$B$59, 2, 0)</f>
        <v>BEVERAGE</v>
      </c>
      <c r="E3727" t="s">
        <v>5994</v>
      </c>
      <c r="F3727" t="s">
        <v>5994</v>
      </c>
    </row>
    <row r="3728" spans="1:6" x14ac:dyDescent="0.3">
      <c r="A3728" t="s">
        <v>5995</v>
      </c>
      <c r="B3728" t="str" cm="1">
        <f t="array" ref="B3728">_xlfn.XLOOKUP(C3728, INDEX([2]!카테고리매핑,,2), INDEX([2]!카테고리매핑,,1), "미등록 카테고리")</f>
        <v>조미료</v>
      </c>
      <c r="C3728" t="s">
        <v>127</v>
      </c>
      <c r="D3728" t="str">
        <f>VLOOKUP(C3728, '[2]VLOOKUP 함수용 카테고리'!$A$1:$B$59, 2, 0)</f>
        <v>SAUCE_SEASONING</v>
      </c>
      <c r="E3728" t="s">
        <v>436</v>
      </c>
      <c r="F3728" t="s">
        <v>7862</v>
      </c>
    </row>
    <row r="3729" spans="1:6" x14ac:dyDescent="0.3">
      <c r="A3729" t="s">
        <v>5996</v>
      </c>
      <c r="B3729" t="str" cm="1">
        <f t="array" ref="B3729">_xlfn.XLOOKUP(C3729, INDEX([2]!카테고리매핑,,2), INDEX([2]!카테고리매핑,,1), "미등록 카테고리")</f>
        <v>채소/곡물류</v>
      </c>
      <c r="C3729" t="s">
        <v>27</v>
      </c>
      <c r="D3729" t="str">
        <f>VLOOKUP(C3729, '[2]VLOOKUP 함수용 카테고리'!$A$1:$B$59, 2, 0)</f>
        <v>SIMPLE_PROCESSED</v>
      </c>
      <c r="E3729" t="s">
        <v>28</v>
      </c>
      <c r="F3729" t="s">
        <v>7863</v>
      </c>
    </row>
    <row r="3730" spans="1:6" x14ac:dyDescent="0.3">
      <c r="A3730" t="s">
        <v>5997</v>
      </c>
      <c r="B3730" t="str" cm="1">
        <f t="array" ref="B3730">_xlfn.XLOOKUP(C3730, INDEX([2]!카테고리매핑,,2), INDEX([2]!카테고리매핑,,1), "미등록 카테고리")</f>
        <v>육류/계란</v>
      </c>
      <c r="C3730" t="s">
        <v>298</v>
      </c>
      <c r="D3730" t="str">
        <f>VLOOKUP(C3730, '[2]VLOOKUP 함수용 카테고리'!$A$1:$B$59, 2, 0)</f>
        <v>RAW_MEAT</v>
      </c>
      <c r="E3730" t="s">
        <v>298</v>
      </c>
      <c r="F3730" t="s">
        <v>151</v>
      </c>
    </row>
    <row r="3731" spans="1:6" x14ac:dyDescent="0.3">
      <c r="A3731" t="s">
        <v>5998</v>
      </c>
      <c r="B3731" t="str" cm="1">
        <f t="array" ref="B3731">_xlfn.XLOOKUP(C3731, INDEX([2]!카테고리매핑,,2), INDEX([2]!카테고리매핑,,1), "미등록 카테고리")</f>
        <v>간편식</v>
      </c>
      <c r="C3731" t="s">
        <v>158</v>
      </c>
      <c r="D3731" t="str">
        <f>VLOOKUP(C3731, '[2]VLOOKUP 함수용 카테고리'!$A$1:$B$59, 2, 0)</f>
        <v>INSTANT</v>
      </c>
      <c r="E3731" t="s">
        <v>5999</v>
      </c>
      <c r="F3731" t="s">
        <v>154</v>
      </c>
    </row>
    <row r="3732" spans="1:6" x14ac:dyDescent="0.3">
      <c r="A3732" t="s">
        <v>6000</v>
      </c>
      <c r="B3732" t="str" cm="1">
        <f t="array" ref="B3732">_xlfn.XLOOKUP(C3732, INDEX([2]!카테고리매핑,,2), INDEX([2]!카테고리매핑,,1), "미등록 카테고리")</f>
        <v>조미료</v>
      </c>
      <c r="C3732" t="s">
        <v>127</v>
      </c>
      <c r="D3732" t="str">
        <f>VLOOKUP(C3732, '[2]VLOOKUP 함수용 카테고리'!$A$1:$B$59, 2, 0)</f>
        <v>SAUCE_SEASONING</v>
      </c>
      <c r="E3732" t="s">
        <v>6001</v>
      </c>
      <c r="F3732" t="s">
        <v>6002</v>
      </c>
    </row>
    <row r="3733" spans="1:6" x14ac:dyDescent="0.3">
      <c r="A3733" t="s">
        <v>6003</v>
      </c>
      <c r="B3733" t="str" cm="1">
        <f t="array" ref="B3733">_xlfn.XLOOKUP(C3733, INDEX([2]!카테고리매핑,,2), INDEX([2]!카테고리매핑,,1), "미등록 카테고리")</f>
        <v>유제품</v>
      </c>
      <c r="C3733" t="s">
        <v>211</v>
      </c>
      <c r="D3733" t="str">
        <f>VLOOKUP(C3733, '[2]VLOOKUP 함수용 카테고리'!$A$1:$B$59, 2, 0)</f>
        <v>DAIRY</v>
      </c>
      <c r="E3733" t="s">
        <v>211</v>
      </c>
      <c r="F3733" t="s">
        <v>191</v>
      </c>
    </row>
    <row r="3734" spans="1:6" x14ac:dyDescent="0.3">
      <c r="A3734" t="s">
        <v>5823</v>
      </c>
      <c r="B3734" t="str" cm="1">
        <f t="array" ref="B3734">_xlfn.XLOOKUP(C3734, INDEX([2]!카테고리매핑,,2), INDEX([2]!카테고리매핑,,1), "미등록 카테고리")</f>
        <v>술</v>
      </c>
      <c r="C3734" t="s">
        <v>974</v>
      </c>
      <c r="D3734" t="str">
        <f>VLOOKUP(C3734, '[2]VLOOKUP 함수용 카테고리'!$A$1:$B$59, 2, 0)</f>
        <v>ALCOHOL</v>
      </c>
      <c r="E3734" t="s">
        <v>974</v>
      </c>
      <c r="F3734" t="s">
        <v>5824</v>
      </c>
    </row>
    <row r="3735" spans="1:6" x14ac:dyDescent="0.3">
      <c r="A3735" t="s">
        <v>6004</v>
      </c>
      <c r="B3735" t="str" cm="1">
        <f t="array" ref="B3735">_xlfn.XLOOKUP(C3735, INDEX([2]!카테고리매핑,,2), INDEX([2]!카테고리매핑,,1), "미등록 카테고리")</f>
        <v>간식류</v>
      </c>
      <c r="C3735" t="s">
        <v>11</v>
      </c>
      <c r="D3735" t="str">
        <f>VLOOKUP(C3735, '[2]VLOOKUP 함수용 카테고리'!$A$1:$B$59, 2, 0)</f>
        <v>SNACK</v>
      </c>
      <c r="E3735" t="s">
        <v>651</v>
      </c>
      <c r="F3735" t="s">
        <v>7853</v>
      </c>
    </row>
    <row r="3736" spans="1:6" x14ac:dyDescent="0.3">
      <c r="A3736" t="s">
        <v>6005</v>
      </c>
      <c r="B3736" t="str" cm="1">
        <f t="array" ref="B3736">_xlfn.XLOOKUP(C3736, INDEX([2]!카테고리매핑,,2), INDEX([2]!카테고리매핑,,1), "미등록 카테고리")</f>
        <v>간식류</v>
      </c>
      <c r="C3736" t="s">
        <v>11</v>
      </c>
      <c r="D3736" t="str">
        <f>VLOOKUP(C3736, '[2]VLOOKUP 함수용 카테고리'!$A$1:$B$59, 2, 0)</f>
        <v>SNACK</v>
      </c>
      <c r="E3736" t="s">
        <v>2199</v>
      </c>
      <c r="F3736" t="s">
        <v>6006</v>
      </c>
    </row>
    <row r="3737" spans="1:6" x14ac:dyDescent="0.3">
      <c r="A3737" t="s">
        <v>6007</v>
      </c>
      <c r="B3737" t="str" cm="1">
        <f t="array" ref="B3737">_xlfn.XLOOKUP(C3737, INDEX([2]!카테고리매핑,,2), INDEX([2]!카테고리매핑,,1), "미등록 카테고리")</f>
        <v>조미료</v>
      </c>
      <c r="C3737" t="s">
        <v>117</v>
      </c>
      <c r="D3737" t="str">
        <f>VLOOKUP(C3737, '[2]VLOOKUP 함수용 카테고리'!$A$1:$B$59, 2, 0)</f>
        <v>SAUCE_SEASONING</v>
      </c>
      <c r="E3737" t="s">
        <v>118</v>
      </c>
      <c r="F3737" t="s">
        <v>65</v>
      </c>
    </row>
    <row r="3738" spans="1:6" x14ac:dyDescent="0.3">
      <c r="A3738" t="s">
        <v>6008</v>
      </c>
      <c r="B3738" t="str" cm="1">
        <f t="array" ref="B3738">_xlfn.XLOOKUP(C3738, INDEX([2]!카테고리매핑,,2), INDEX([2]!카테고리매핑,,1), "미등록 카테고리")</f>
        <v>간편식</v>
      </c>
      <c r="C3738" t="s">
        <v>46</v>
      </c>
      <c r="D3738" t="str">
        <f>VLOOKUP(C3738, '[2]VLOOKUP 함수용 카테고리'!$A$1:$B$59, 2, 0)</f>
        <v>RTC_MEAL</v>
      </c>
      <c r="E3738" t="s">
        <v>46</v>
      </c>
      <c r="F3738" t="s">
        <v>6009</v>
      </c>
    </row>
    <row r="3739" spans="1:6" x14ac:dyDescent="0.3">
      <c r="A3739" t="s">
        <v>6010</v>
      </c>
      <c r="B3739" t="str" cm="1">
        <f t="array" ref="B3739">_xlfn.XLOOKUP(C3739, INDEX([2]!카테고리매핑,,2), INDEX([2]!카테고리매핑,,1), "미등록 카테고리")</f>
        <v>음료</v>
      </c>
      <c r="C3739" t="s">
        <v>23</v>
      </c>
      <c r="D3739" t="str">
        <f>VLOOKUP(C3739, '[2]VLOOKUP 함수용 카테고리'!$A$1:$B$59, 2, 0)</f>
        <v>BEVERAGE</v>
      </c>
      <c r="E3739" t="s">
        <v>74</v>
      </c>
      <c r="F3739" t="s">
        <v>2182</v>
      </c>
    </row>
    <row r="3740" spans="1:6" x14ac:dyDescent="0.3">
      <c r="A3740" t="s">
        <v>6011</v>
      </c>
      <c r="B3740" t="str" cm="1">
        <f t="array" ref="B3740">_xlfn.XLOOKUP(C3740, INDEX([2]!카테고리매핑,,2), INDEX([2]!카테고리매핑,,1), "미등록 카테고리")</f>
        <v>상온식품</v>
      </c>
      <c r="C3740" t="s">
        <v>276</v>
      </c>
      <c r="D3740" t="str">
        <f>VLOOKUP(C3740, '[2]VLOOKUP 함수용 카테고리'!$A$1:$B$59, 2, 0)</f>
        <v>DRIED_SEAFOOD</v>
      </c>
      <c r="E3740" t="s">
        <v>277</v>
      </c>
      <c r="F3740" t="s">
        <v>5149</v>
      </c>
    </row>
    <row r="3741" spans="1:6" x14ac:dyDescent="0.3">
      <c r="A3741" t="s">
        <v>6012</v>
      </c>
      <c r="B3741" t="str" cm="1">
        <f t="array" ref="B3741">_xlfn.XLOOKUP(C3741, INDEX([2]!카테고리매핑,,2), INDEX([2]!카테고리매핑,,1), "미등록 카테고리")</f>
        <v>채소/곡물류</v>
      </c>
      <c r="C3741" t="s">
        <v>7</v>
      </c>
      <c r="D3741" t="str">
        <f>VLOOKUP(C3741, '[2]VLOOKUP 함수용 카테고리'!$A$1:$B$59, 2, 0)</f>
        <v>RAW_PRODUCE</v>
      </c>
      <c r="E3741" t="s">
        <v>331</v>
      </c>
      <c r="F3741" t="s">
        <v>406</v>
      </c>
    </row>
    <row r="3742" spans="1:6" x14ac:dyDescent="0.3">
      <c r="A3742" t="s">
        <v>6013</v>
      </c>
      <c r="B3742" t="str" cm="1">
        <f t="array" ref="B3742">_xlfn.XLOOKUP(C3742, INDEX([2]!카테고리매핑,,2), INDEX([2]!카테고리매핑,,1), "미등록 카테고리")</f>
        <v>간편식</v>
      </c>
      <c r="C3742" t="s">
        <v>19</v>
      </c>
      <c r="D3742" t="str">
        <f>VLOOKUP(C3742, '[2]VLOOKUP 함수용 카테고리'!$A$1:$B$59, 2, 0)</f>
        <v>FROZEN_MEAL</v>
      </c>
      <c r="E3742" t="s">
        <v>6014</v>
      </c>
      <c r="F3742" t="s">
        <v>632</v>
      </c>
    </row>
    <row r="3743" spans="1:6" x14ac:dyDescent="0.3">
      <c r="A3743" t="s">
        <v>6015</v>
      </c>
      <c r="B3743" t="str" cm="1">
        <f t="array" ref="B3743">_xlfn.XLOOKUP(C3743, INDEX([2]!카테고리매핑,,2), INDEX([2]!카테고리매핑,,1), "미등록 카테고리")</f>
        <v>육류/계란</v>
      </c>
      <c r="C3743" t="s">
        <v>298</v>
      </c>
      <c r="D3743" t="str">
        <f>VLOOKUP(C3743, '[2]VLOOKUP 함수용 카테고리'!$A$1:$B$59, 2, 0)</f>
        <v>RAW_MEAT</v>
      </c>
      <c r="E3743" t="s">
        <v>298</v>
      </c>
      <c r="F3743" t="s">
        <v>151</v>
      </c>
    </row>
    <row r="3744" spans="1:6" x14ac:dyDescent="0.3">
      <c r="A3744" t="s">
        <v>6016</v>
      </c>
      <c r="B3744" t="str" cm="1">
        <f t="array" ref="B3744">_xlfn.XLOOKUP(C3744, INDEX([2]!카테고리매핑,,2), INDEX([2]!카테고리매핑,,1), "미등록 카테고리")</f>
        <v>간식류</v>
      </c>
      <c r="C3744" t="s">
        <v>11</v>
      </c>
      <c r="D3744" t="str">
        <f>VLOOKUP(C3744, '[2]VLOOKUP 함수용 카테고리'!$A$1:$B$59, 2, 0)</f>
        <v>SNACK</v>
      </c>
      <c r="E3744" t="s">
        <v>153</v>
      </c>
      <c r="F3744" t="s">
        <v>6017</v>
      </c>
    </row>
    <row r="3745" spans="1:6" x14ac:dyDescent="0.3">
      <c r="A3745" t="s">
        <v>6018</v>
      </c>
      <c r="B3745" t="str" cm="1">
        <f t="array" ref="B3745">_xlfn.XLOOKUP(C3745, INDEX([2]!카테고리매핑,,2), INDEX([2]!카테고리매핑,,1), "미등록 카테고리")</f>
        <v>채소/곡물류</v>
      </c>
      <c r="C3745" t="s">
        <v>7</v>
      </c>
      <c r="D3745" t="str">
        <f>VLOOKUP(C3745, '[2]VLOOKUP 함수용 카테고리'!$A$1:$B$59, 2, 0)</f>
        <v>RAW_PRODUCE</v>
      </c>
      <c r="E3745" t="s">
        <v>405</v>
      </c>
    </row>
    <row r="3746" spans="1:6" x14ac:dyDescent="0.3">
      <c r="A3746" t="s">
        <v>6019</v>
      </c>
      <c r="B3746" t="str" cm="1">
        <f t="array" ref="B3746">_xlfn.XLOOKUP(C3746, INDEX([2]!카테고리매핑,,2), INDEX([2]!카테고리매핑,,1), "미등록 카테고리")</f>
        <v>간편식</v>
      </c>
      <c r="C3746" t="s">
        <v>46</v>
      </c>
      <c r="D3746" t="str">
        <f>VLOOKUP(C3746, '[2]VLOOKUP 함수용 카테고리'!$A$1:$B$59, 2, 0)</f>
        <v>RTC_MEAL</v>
      </c>
      <c r="E3746" t="s">
        <v>46</v>
      </c>
      <c r="F3746" t="s">
        <v>6020</v>
      </c>
    </row>
    <row r="3747" spans="1:6" x14ac:dyDescent="0.3">
      <c r="A3747" t="s">
        <v>6021</v>
      </c>
      <c r="B3747" t="str" cm="1">
        <f t="array" ref="B3747">_xlfn.XLOOKUP(C3747, INDEX([2]!카테고리매핑,,2), INDEX([2]!카테고리매핑,,1), "미등록 카테고리")</f>
        <v>간식류</v>
      </c>
      <c r="C3747" t="s">
        <v>15</v>
      </c>
      <c r="D3747" t="str">
        <f>VLOOKUP(C3747, '[2]VLOOKUP 함수용 카테고리'!$A$1:$B$59, 2, 0)</f>
        <v>BAKERY</v>
      </c>
      <c r="E3747" t="s">
        <v>53</v>
      </c>
      <c r="F3747" t="s">
        <v>54</v>
      </c>
    </row>
    <row r="3748" spans="1:6" x14ac:dyDescent="0.3">
      <c r="A3748" t="s">
        <v>6022</v>
      </c>
      <c r="B3748" t="str" cm="1">
        <f t="array" ref="B3748">_xlfn.XLOOKUP(C3748, INDEX([2]!카테고리매핑,,2), INDEX([2]!카테고리매핑,,1), "미등록 카테고리")</f>
        <v>과일/견과류</v>
      </c>
      <c r="C3748" t="s">
        <v>654</v>
      </c>
      <c r="D3748" t="str">
        <f>VLOOKUP(C3748, '[2]VLOOKUP 함수용 카테고리'!$A$1:$B$59, 2, 0)</f>
        <v>RAW_FRUIT</v>
      </c>
      <c r="E3748" t="s">
        <v>1395</v>
      </c>
      <c r="F3748" t="s">
        <v>4561</v>
      </c>
    </row>
    <row r="3749" spans="1:6" x14ac:dyDescent="0.3">
      <c r="A3749" t="s">
        <v>6023</v>
      </c>
      <c r="B3749" t="str" cm="1">
        <f t="array" ref="B3749">_xlfn.XLOOKUP(C3749, INDEX([2]!카테고리매핑,,2), INDEX([2]!카테고리매핑,,1), "미등록 카테고리")</f>
        <v>과일/견과류</v>
      </c>
      <c r="C3749" t="s">
        <v>654</v>
      </c>
      <c r="D3749" t="str">
        <f>VLOOKUP(C3749, '[2]VLOOKUP 함수용 카테고리'!$A$1:$B$59, 2, 0)</f>
        <v>RAW_FRUIT</v>
      </c>
      <c r="E3749" t="s">
        <v>655</v>
      </c>
      <c r="F3749" t="s">
        <v>350</v>
      </c>
    </row>
    <row r="3750" spans="1:6" x14ac:dyDescent="0.3">
      <c r="A3750" t="s">
        <v>6024</v>
      </c>
      <c r="B3750" t="str" cm="1">
        <f t="array" ref="B3750">_xlfn.XLOOKUP(C3750, INDEX([2]!카테고리매핑,,2), INDEX([2]!카테고리매핑,,1), "미등록 카테고리")</f>
        <v>간편식</v>
      </c>
      <c r="C3750" t="s">
        <v>46</v>
      </c>
      <c r="D3750" t="str">
        <f>VLOOKUP(C3750, '[2]VLOOKUP 함수용 카테고리'!$A$1:$B$59, 2, 0)</f>
        <v>RTC_MEAL</v>
      </c>
      <c r="E3750" t="s">
        <v>46</v>
      </c>
      <c r="F3750" t="s">
        <v>461</v>
      </c>
    </row>
    <row r="3751" spans="1:6" x14ac:dyDescent="0.3">
      <c r="A3751" t="s">
        <v>6025</v>
      </c>
      <c r="B3751" t="str" cm="1">
        <f t="array" ref="B3751">_xlfn.XLOOKUP(C3751, INDEX([2]!카테고리매핑,,2), INDEX([2]!카테고리매핑,,1), "미등록 카테고리")</f>
        <v>채소/곡물류</v>
      </c>
      <c r="C3751" t="s">
        <v>7</v>
      </c>
      <c r="D3751" t="str">
        <f>VLOOKUP(C3751, '[2]VLOOKUP 함수용 카테고리'!$A$1:$B$59, 2, 0)</f>
        <v>RAW_PRODUCE</v>
      </c>
      <c r="E3751" t="s">
        <v>1927</v>
      </c>
    </row>
    <row r="3752" spans="1:6" x14ac:dyDescent="0.3">
      <c r="A3752" t="s">
        <v>6026</v>
      </c>
      <c r="B3752" t="str" cm="1">
        <f t="array" ref="B3752">_xlfn.XLOOKUP(C3752, INDEX([2]!카테고리매핑,,2), INDEX([2]!카테고리매핑,,1), "미등록 카테고리")</f>
        <v>유제품</v>
      </c>
      <c r="C3752" t="s">
        <v>98</v>
      </c>
      <c r="D3752" t="str">
        <f>VLOOKUP(C3752, '[2]VLOOKUP 함수용 카테고리'!$A$1:$B$59, 2, 0)</f>
        <v>DAIRY</v>
      </c>
      <c r="E3752" t="s">
        <v>98</v>
      </c>
      <c r="F3752" t="s">
        <v>6027</v>
      </c>
    </row>
    <row r="3753" spans="1:6" x14ac:dyDescent="0.3">
      <c r="A3753" t="s">
        <v>6028</v>
      </c>
      <c r="B3753" t="str" cm="1">
        <f t="array" ref="B3753">_xlfn.XLOOKUP(C3753, INDEX([2]!카테고리매핑,,2), INDEX([2]!카테고리매핑,,1), "미등록 카테고리")</f>
        <v>간편식</v>
      </c>
      <c r="C3753" t="s">
        <v>158</v>
      </c>
      <c r="D3753" t="str">
        <f>VLOOKUP(C3753, '[2]VLOOKUP 함수용 카테고리'!$A$1:$B$59, 2, 0)</f>
        <v>INSTANT</v>
      </c>
      <c r="E3753" t="s">
        <v>2657</v>
      </c>
      <c r="F3753" t="s">
        <v>154</v>
      </c>
    </row>
    <row r="3754" spans="1:6" x14ac:dyDescent="0.3">
      <c r="A3754" t="s">
        <v>6029</v>
      </c>
      <c r="B3754" t="str" cm="1">
        <f t="array" ref="B3754">_xlfn.XLOOKUP(C3754, INDEX([2]!카테고리매핑,,2), INDEX([2]!카테고리매핑,,1), "미등록 카테고리")</f>
        <v>간편식</v>
      </c>
      <c r="C3754" t="s">
        <v>256</v>
      </c>
      <c r="D3754" t="str">
        <f>VLOOKUP(C3754, '[2]VLOOKUP 함수용 카테고리'!$A$1:$B$59, 2, 0)</f>
        <v>RTC_MEAL</v>
      </c>
      <c r="E3754" t="s">
        <v>256</v>
      </c>
      <c r="F3754" t="s">
        <v>4308</v>
      </c>
    </row>
    <row r="3755" spans="1:6" x14ac:dyDescent="0.3">
      <c r="A3755" t="s">
        <v>6030</v>
      </c>
      <c r="B3755" t="str" cm="1">
        <f t="array" ref="B3755">_xlfn.XLOOKUP(C3755, INDEX([2]!카테고리매핑,,2), INDEX([2]!카테고리매핑,,1), "미등록 카테고리")</f>
        <v>채소/곡물류</v>
      </c>
      <c r="C3755" t="s">
        <v>7</v>
      </c>
      <c r="D3755" t="str">
        <f>VLOOKUP(C3755, '[2]VLOOKUP 함수용 카테고리'!$A$1:$B$59, 2, 0)</f>
        <v>RAW_PRODUCE</v>
      </c>
      <c r="E3755" t="s">
        <v>405</v>
      </c>
      <c r="F3755" t="s">
        <v>406</v>
      </c>
    </row>
    <row r="3756" spans="1:6" x14ac:dyDescent="0.3">
      <c r="A3756" t="s">
        <v>6031</v>
      </c>
      <c r="B3756" t="str" cm="1">
        <f t="array" ref="B3756">_xlfn.XLOOKUP(C3756, INDEX([2]!카테고리매핑,,2), INDEX([2]!카테고리매핑,,1), "미등록 카테고리")</f>
        <v>유제품</v>
      </c>
      <c r="C3756" t="s">
        <v>123</v>
      </c>
      <c r="D3756" t="str">
        <f>VLOOKUP(C3756, '[2]VLOOKUP 함수용 카테고리'!$A$1:$B$59, 2, 0)</f>
        <v>DAIRY</v>
      </c>
      <c r="E3756" t="s">
        <v>239</v>
      </c>
      <c r="F3756" t="s">
        <v>398</v>
      </c>
    </row>
    <row r="3757" spans="1:6" x14ac:dyDescent="0.3">
      <c r="A3757" t="s">
        <v>6032</v>
      </c>
      <c r="B3757" t="str" cm="1">
        <f t="array" ref="B3757">_xlfn.XLOOKUP(C3757, INDEX([2]!카테고리매핑,,2), INDEX([2]!카테고리매핑,,1), "미등록 카테고리")</f>
        <v>채소/곡물류</v>
      </c>
      <c r="C3757" t="s">
        <v>301</v>
      </c>
      <c r="D3757" t="str">
        <f>VLOOKUP(C3757, '[2]VLOOKUP 함수용 카테고리'!$A$1:$B$59, 2, 0)</f>
        <v>GRAIN</v>
      </c>
      <c r="E3757" t="s">
        <v>490</v>
      </c>
      <c r="F3757" t="s">
        <v>3568</v>
      </c>
    </row>
    <row r="3758" spans="1:6" x14ac:dyDescent="0.3">
      <c r="A3758" t="s">
        <v>6033</v>
      </c>
      <c r="B3758" t="str" cm="1">
        <f t="array" ref="B3758">_xlfn.XLOOKUP(C3758, INDEX([2]!카테고리매핑,,2), INDEX([2]!카테고리매핑,,1), "미등록 카테고리")</f>
        <v>간식류</v>
      </c>
      <c r="C3758" t="s">
        <v>15</v>
      </c>
      <c r="D3758" t="str">
        <f>VLOOKUP(C3758, '[2]VLOOKUP 함수용 카테고리'!$A$1:$B$59, 2, 0)</f>
        <v>BAKERY</v>
      </c>
      <c r="E3758" t="s">
        <v>200</v>
      </c>
      <c r="F3758" t="s">
        <v>1552</v>
      </c>
    </row>
    <row r="3759" spans="1:6" x14ac:dyDescent="0.3">
      <c r="A3759" t="s">
        <v>6034</v>
      </c>
      <c r="B3759" t="str" cm="1">
        <f t="array" ref="B3759">_xlfn.XLOOKUP(C3759, INDEX([2]!카테고리매핑,,2), INDEX([2]!카테고리매핑,,1), "미등록 카테고리")</f>
        <v>음료</v>
      </c>
      <c r="C3759" t="s">
        <v>242</v>
      </c>
      <c r="D3759" t="str">
        <f>VLOOKUP(C3759, '[2]VLOOKUP 함수용 카테고리'!$A$1:$B$59, 2, 0)</f>
        <v>BEVERAGE</v>
      </c>
      <c r="E3759" t="s">
        <v>6035</v>
      </c>
      <c r="F3759" t="s">
        <v>475</v>
      </c>
    </row>
    <row r="3760" spans="1:6" x14ac:dyDescent="0.3">
      <c r="A3760" t="s">
        <v>3744</v>
      </c>
      <c r="B3760" t="str" cm="1">
        <f t="array" ref="B3760">_xlfn.XLOOKUP(C3760, INDEX([2]!카테고리매핑,,2), INDEX([2]!카테고리매핑,,1), "미등록 카테고리")</f>
        <v>상온식품</v>
      </c>
      <c r="C3760" t="s">
        <v>835</v>
      </c>
      <c r="D3760" t="str">
        <f>VLOOKUP(C3760, '[2]VLOOKUP 함수용 카테고리'!$A$1:$B$59, 2, 0)</f>
        <v>SAUCE_SEASONING</v>
      </c>
      <c r="E3760" t="s">
        <v>6036</v>
      </c>
      <c r="F3760" t="s">
        <v>3746</v>
      </c>
    </row>
    <row r="3761" spans="1:6" x14ac:dyDescent="0.3">
      <c r="A3761" t="s">
        <v>6037</v>
      </c>
      <c r="B3761" t="str" cm="1">
        <f t="array" ref="B3761">_xlfn.XLOOKUP(C3761, INDEX([2]!카테고리매핑,,2), INDEX([2]!카테고리매핑,,1), "미등록 카테고리")</f>
        <v>간편식</v>
      </c>
      <c r="C3761" t="s">
        <v>46</v>
      </c>
      <c r="D3761" t="str">
        <f>VLOOKUP(C3761, '[2]VLOOKUP 함수용 카테고리'!$A$1:$B$59, 2, 0)</f>
        <v>RTC_MEAL</v>
      </c>
      <c r="E3761" t="s">
        <v>46</v>
      </c>
      <c r="F3761" t="s">
        <v>7864</v>
      </c>
    </row>
    <row r="3762" spans="1:6" x14ac:dyDescent="0.3">
      <c r="A3762" t="s">
        <v>6038</v>
      </c>
      <c r="B3762" t="str" cm="1">
        <f t="array" ref="B3762">_xlfn.XLOOKUP(C3762, INDEX([2]!카테고리매핑,,2), INDEX([2]!카테고리매핑,,1), "미등록 카테고리")</f>
        <v>간식류</v>
      </c>
      <c r="C3762" t="s">
        <v>15</v>
      </c>
      <c r="D3762" t="str">
        <f>VLOOKUP(C3762, '[2]VLOOKUP 함수용 카테고리'!$A$1:$B$59, 2, 0)</f>
        <v>BAKERY</v>
      </c>
      <c r="E3762" t="s">
        <v>53</v>
      </c>
      <c r="F3762" t="s">
        <v>2887</v>
      </c>
    </row>
    <row r="3763" spans="1:6" x14ac:dyDescent="0.3">
      <c r="A3763" t="s">
        <v>6039</v>
      </c>
      <c r="B3763" t="str" cm="1">
        <f t="array" ref="B3763">_xlfn.XLOOKUP(C3763, INDEX([2]!카테고리매핑,,2), INDEX([2]!카테고리매핑,,1), "미등록 카테고리")</f>
        <v>채소/곡물류</v>
      </c>
      <c r="C3763" t="s">
        <v>7</v>
      </c>
      <c r="D3763" t="str">
        <f>VLOOKUP(C3763, '[2]VLOOKUP 함수용 카테고리'!$A$1:$B$59, 2, 0)</f>
        <v>RAW_PRODUCE</v>
      </c>
      <c r="E3763" t="s">
        <v>723</v>
      </c>
    </row>
    <row r="3764" spans="1:6" x14ac:dyDescent="0.3">
      <c r="A3764" t="s">
        <v>6040</v>
      </c>
      <c r="B3764" t="str" cm="1">
        <f t="array" ref="B3764">_xlfn.XLOOKUP(C3764, INDEX([2]!카테고리매핑,,2), INDEX([2]!카테고리매핑,,1), "미등록 카테고리")</f>
        <v>채소/곡물류</v>
      </c>
      <c r="C3764" t="s">
        <v>7</v>
      </c>
      <c r="D3764" t="str">
        <f>VLOOKUP(C3764, '[2]VLOOKUP 함수용 카테고리'!$A$1:$B$59, 2, 0)</f>
        <v>RAW_PRODUCE</v>
      </c>
      <c r="E3764" t="s">
        <v>50</v>
      </c>
      <c r="F3764" t="s">
        <v>51</v>
      </c>
    </row>
    <row r="3765" spans="1:6" x14ac:dyDescent="0.3">
      <c r="A3765" t="s">
        <v>6041</v>
      </c>
      <c r="B3765" t="str" cm="1">
        <f t="array" ref="B3765">_xlfn.XLOOKUP(C3765, INDEX([2]!카테고리매핑,,2), INDEX([2]!카테고리매핑,,1), "미등록 카테고리")</f>
        <v>상온식품</v>
      </c>
      <c r="C3765" t="s">
        <v>276</v>
      </c>
      <c r="D3765" t="str">
        <f>VLOOKUP(C3765, '[2]VLOOKUP 함수용 카테고리'!$A$1:$B$59, 2, 0)</f>
        <v>DRIED_SEAFOOD</v>
      </c>
      <c r="E3765" t="s">
        <v>277</v>
      </c>
      <c r="F3765" t="s">
        <v>7865</v>
      </c>
    </row>
    <row r="3766" spans="1:6" x14ac:dyDescent="0.3">
      <c r="A3766" t="s">
        <v>6042</v>
      </c>
      <c r="B3766" t="str" cm="1">
        <f t="array" ref="B3766">_xlfn.XLOOKUP(C3766, INDEX([2]!카테고리매핑,,2), INDEX([2]!카테고리매핑,,1), "미등록 카테고리")</f>
        <v>간식류</v>
      </c>
      <c r="C3766" t="s">
        <v>15</v>
      </c>
      <c r="D3766" t="str">
        <f>VLOOKUP(C3766, '[2]VLOOKUP 함수용 카테고리'!$A$1:$B$59, 2, 0)</f>
        <v>BAKERY</v>
      </c>
      <c r="E3766" t="s">
        <v>53</v>
      </c>
      <c r="F3766" t="s">
        <v>6043</v>
      </c>
    </row>
    <row r="3767" spans="1:6" x14ac:dyDescent="0.3">
      <c r="A3767" t="s">
        <v>6044</v>
      </c>
      <c r="B3767" t="str" cm="1">
        <f t="array" ref="B3767">_xlfn.XLOOKUP(C3767, INDEX([2]!카테고리매핑,,2), INDEX([2]!카테고리매핑,,1), "미등록 카테고리")</f>
        <v>유제품</v>
      </c>
      <c r="C3767" t="s">
        <v>211</v>
      </c>
      <c r="D3767" t="str">
        <f>VLOOKUP(C3767, '[2]VLOOKUP 함수용 카테고리'!$A$1:$B$59, 2, 0)</f>
        <v>DAIRY</v>
      </c>
      <c r="E3767" t="s">
        <v>211</v>
      </c>
      <c r="F3767" t="s">
        <v>191</v>
      </c>
    </row>
    <row r="3768" spans="1:6" x14ac:dyDescent="0.3">
      <c r="A3768" t="s">
        <v>6045</v>
      </c>
      <c r="B3768" t="str" cm="1">
        <f t="array" ref="B3768">_xlfn.XLOOKUP(C3768, INDEX([2]!카테고리매핑,,2), INDEX([2]!카테고리매핑,,1), "미등록 카테고리")</f>
        <v>채소/곡물류</v>
      </c>
      <c r="C3768" t="s">
        <v>7</v>
      </c>
      <c r="D3768" t="str">
        <f>VLOOKUP(C3768, '[2]VLOOKUP 함수용 카테고리'!$A$1:$B$59, 2, 0)</f>
        <v>RAW_PRODUCE</v>
      </c>
      <c r="E3768" t="s">
        <v>6046</v>
      </c>
    </row>
    <row r="3769" spans="1:6" x14ac:dyDescent="0.3">
      <c r="A3769" t="s">
        <v>6047</v>
      </c>
      <c r="B3769" t="str" cm="1">
        <f t="array" ref="B3769">_xlfn.XLOOKUP(C3769, INDEX([2]!카테고리매핑,,2), INDEX([2]!카테고리매핑,,1), "미등록 카테고리")</f>
        <v>채소/곡물류</v>
      </c>
      <c r="C3769" t="s">
        <v>7</v>
      </c>
      <c r="D3769" t="str">
        <f>VLOOKUP(C3769, '[2]VLOOKUP 함수용 카테고리'!$A$1:$B$59, 2, 0)</f>
        <v>RAW_PRODUCE</v>
      </c>
      <c r="E3769" t="s">
        <v>2320</v>
      </c>
      <c r="F3769" t="s">
        <v>29</v>
      </c>
    </row>
    <row r="3770" spans="1:6" x14ac:dyDescent="0.3">
      <c r="A3770" t="s">
        <v>6048</v>
      </c>
      <c r="B3770" t="str" cm="1">
        <f t="array" ref="B3770">_xlfn.XLOOKUP(C3770, INDEX([2]!카테고리매핑,,2), INDEX([2]!카테고리매핑,,1), "미등록 카테고리")</f>
        <v>육류/계란</v>
      </c>
      <c r="C3770" t="s">
        <v>34</v>
      </c>
      <c r="D3770" t="str">
        <f>VLOOKUP(C3770, '[2]VLOOKUP 함수용 카테고리'!$A$1:$B$59, 2, 0)</f>
        <v>RAW_MEAT</v>
      </c>
      <c r="E3770" t="s">
        <v>2839</v>
      </c>
      <c r="F3770" t="s">
        <v>36</v>
      </c>
    </row>
    <row r="3771" spans="1:6" x14ac:dyDescent="0.3">
      <c r="A3771" t="s">
        <v>6049</v>
      </c>
      <c r="B3771" t="str" cm="1">
        <f t="array" ref="B3771">_xlfn.XLOOKUP(C3771, INDEX([2]!카테고리매핑,,2), INDEX([2]!카테고리매핑,,1), "미등록 카테고리")</f>
        <v>유제품</v>
      </c>
      <c r="C3771" t="s">
        <v>123</v>
      </c>
      <c r="D3771" t="str">
        <f>VLOOKUP(C3771, '[2]VLOOKUP 함수용 카테고리'!$A$1:$B$59, 2, 0)</f>
        <v>DAIRY</v>
      </c>
      <c r="E3771" t="s">
        <v>949</v>
      </c>
      <c r="F3771" t="s">
        <v>1663</v>
      </c>
    </row>
    <row r="3772" spans="1:6" x14ac:dyDescent="0.3">
      <c r="A3772" t="s">
        <v>6050</v>
      </c>
      <c r="B3772" t="str" cm="1">
        <f t="array" ref="B3772">_xlfn.XLOOKUP(C3772, INDEX([2]!카테고리매핑,,2), INDEX([2]!카테고리매핑,,1), "미등록 카테고리")</f>
        <v>수산물</v>
      </c>
      <c r="C3772" t="s">
        <v>140</v>
      </c>
      <c r="D3772" t="str">
        <f>VLOOKUP(C3772, '[2]VLOOKUP 함수용 카테고리'!$A$1:$B$59, 2, 0)</f>
        <v>SIMPLE_PROCESSED</v>
      </c>
      <c r="E3772" t="s">
        <v>141</v>
      </c>
      <c r="F3772" t="s">
        <v>5128</v>
      </c>
    </row>
    <row r="3773" spans="1:6" x14ac:dyDescent="0.3">
      <c r="A3773" t="s">
        <v>6051</v>
      </c>
      <c r="B3773" t="str" cm="1">
        <f t="array" ref="B3773">_xlfn.XLOOKUP(C3773, INDEX([2]!카테고리매핑,,2), INDEX([2]!카테고리매핑,,1), "미등록 카테고리")</f>
        <v>수산물</v>
      </c>
      <c r="C3773" t="s">
        <v>1397</v>
      </c>
      <c r="D3773" t="str">
        <f>VLOOKUP(C3773, '[2]VLOOKUP 함수용 카테고리'!$A$1:$B$59, 2, 0)</f>
        <v>RAW_SEAFOOD</v>
      </c>
      <c r="E3773" t="s">
        <v>2607</v>
      </c>
      <c r="F3773" t="s">
        <v>6052</v>
      </c>
    </row>
    <row r="3774" spans="1:6" x14ac:dyDescent="0.3">
      <c r="A3774" t="s">
        <v>6053</v>
      </c>
      <c r="B3774" t="str" cm="1">
        <f t="array" ref="B3774">_xlfn.XLOOKUP(C3774, INDEX([2]!카테고리매핑,,2), INDEX([2]!카테고리매핑,,1), "미등록 카테고리")</f>
        <v>음료</v>
      </c>
      <c r="C3774" t="s">
        <v>708</v>
      </c>
      <c r="D3774" t="str">
        <f>VLOOKUP(C3774, '[2]VLOOKUP 함수용 카테고리'!$A$1:$B$59, 2, 0)</f>
        <v>BEVERAGE</v>
      </c>
      <c r="E3774" t="s">
        <v>708</v>
      </c>
      <c r="F3774" t="s">
        <v>7740</v>
      </c>
    </row>
    <row r="3775" spans="1:6" x14ac:dyDescent="0.3">
      <c r="A3775" t="s">
        <v>6054</v>
      </c>
      <c r="B3775" t="str" cm="1">
        <f t="array" ref="B3775">_xlfn.XLOOKUP(C3775, INDEX([2]!카테고리매핑,,2), INDEX([2]!카테고리매핑,,1), "미등록 카테고리")</f>
        <v>채소/곡물류</v>
      </c>
      <c r="C3775" t="s">
        <v>7</v>
      </c>
      <c r="D3775" t="str">
        <f>VLOOKUP(C3775, '[2]VLOOKUP 함수용 카테고리'!$A$1:$B$59, 2, 0)</f>
        <v>RAW_PRODUCE</v>
      </c>
      <c r="E3775" t="s">
        <v>261</v>
      </c>
    </row>
    <row r="3776" spans="1:6" x14ac:dyDescent="0.3">
      <c r="A3776" t="s">
        <v>6055</v>
      </c>
      <c r="B3776" t="str" cm="1">
        <f t="array" ref="B3776">_xlfn.XLOOKUP(C3776, INDEX([2]!카테고리매핑,,2), INDEX([2]!카테고리매핑,,1), "미등록 카테고리")</f>
        <v>육류/계란</v>
      </c>
      <c r="C3776" t="s">
        <v>34</v>
      </c>
      <c r="D3776" t="str">
        <f>VLOOKUP(C3776, '[2]VLOOKUP 함수용 카테고리'!$A$1:$B$59, 2, 0)</f>
        <v>RAW_MEAT</v>
      </c>
      <c r="E3776" t="s">
        <v>4868</v>
      </c>
      <c r="F3776" t="s">
        <v>538</v>
      </c>
    </row>
    <row r="3777" spans="1:6" x14ac:dyDescent="0.3">
      <c r="A3777" t="s">
        <v>2213</v>
      </c>
      <c r="B3777" t="str" cm="1">
        <f t="array" ref="B3777">_xlfn.XLOOKUP(C3777, INDEX([2]!카테고리매핑,,2), INDEX([2]!카테고리매핑,,1), "미등록 카테고리")</f>
        <v>미등록 카테고리</v>
      </c>
      <c r="C3777" t="s">
        <v>334</v>
      </c>
      <c r="D3777" t="str">
        <f>VLOOKUP(C3777, '[2]VLOOKUP 함수용 카테고리'!$A$1:$B$59, 2, 0)</f>
        <v>UNKNOWN</v>
      </c>
      <c r="E3777" t="s">
        <v>334</v>
      </c>
      <c r="F3777" t="s">
        <v>1698</v>
      </c>
    </row>
    <row r="3778" spans="1:6" x14ac:dyDescent="0.3">
      <c r="A3778" t="s">
        <v>6056</v>
      </c>
      <c r="B3778" t="str" cm="1">
        <f t="array" ref="B3778">_xlfn.XLOOKUP(C3778, INDEX([2]!카테고리매핑,,2), INDEX([2]!카테고리매핑,,1), "미등록 카테고리")</f>
        <v>음료</v>
      </c>
      <c r="C3778" t="s">
        <v>23</v>
      </c>
      <c r="D3778" t="str">
        <f>VLOOKUP(C3778, '[2]VLOOKUP 함수용 카테고리'!$A$1:$B$59, 2, 0)</f>
        <v>BEVERAGE</v>
      </c>
      <c r="E3778" t="s">
        <v>355</v>
      </c>
      <c r="F3778" t="s">
        <v>7866</v>
      </c>
    </row>
    <row r="3779" spans="1:6" x14ac:dyDescent="0.3">
      <c r="A3779" t="s">
        <v>6057</v>
      </c>
      <c r="B3779" t="str" cm="1">
        <f t="array" ref="B3779">_xlfn.XLOOKUP(C3779, INDEX([2]!카테고리매핑,,2), INDEX([2]!카테고리매핑,,1), "미등록 카테고리")</f>
        <v>간편식</v>
      </c>
      <c r="C3779" t="s">
        <v>131</v>
      </c>
      <c r="D3779" t="str">
        <f>VLOOKUP(C3779, '[2]VLOOKUP 함수용 카테고리'!$A$1:$B$59, 2, 0)</f>
        <v>SIMPLE_PROCESSED</v>
      </c>
      <c r="E3779" t="s">
        <v>2128</v>
      </c>
      <c r="F3779" t="s">
        <v>1457</v>
      </c>
    </row>
    <row r="3780" spans="1:6" x14ac:dyDescent="0.3">
      <c r="A3780" t="s">
        <v>6058</v>
      </c>
      <c r="B3780" t="str" cm="1">
        <f t="array" ref="B3780">_xlfn.XLOOKUP(C3780, INDEX([2]!카테고리매핑,,2), INDEX([2]!카테고리매핑,,1), "미등록 카테고리")</f>
        <v>조미료</v>
      </c>
      <c r="C3780" t="s">
        <v>127</v>
      </c>
      <c r="D3780" t="str">
        <f>VLOOKUP(C3780, '[2]VLOOKUP 함수용 카테고리'!$A$1:$B$59, 2, 0)</f>
        <v>SAUCE_SEASONING</v>
      </c>
      <c r="E3780" t="s">
        <v>340</v>
      </c>
      <c r="F3780" t="s">
        <v>7694</v>
      </c>
    </row>
    <row r="3781" spans="1:6" x14ac:dyDescent="0.3">
      <c r="A3781" t="s">
        <v>6059</v>
      </c>
      <c r="B3781" t="str" cm="1">
        <f t="array" ref="B3781">_xlfn.XLOOKUP(C3781, INDEX([2]!카테고리매핑,,2), INDEX([2]!카테고리매핑,,1), "미등록 카테고리")</f>
        <v>조미료</v>
      </c>
      <c r="C3781" t="s">
        <v>127</v>
      </c>
      <c r="D3781" t="str">
        <f>VLOOKUP(C3781, '[2]VLOOKUP 함수용 카테고리'!$A$1:$B$59, 2, 0)</f>
        <v>SAUCE_SEASONING</v>
      </c>
      <c r="E3781" t="s">
        <v>1941</v>
      </c>
      <c r="F3781" t="s">
        <v>341</v>
      </c>
    </row>
    <row r="3782" spans="1:6" x14ac:dyDescent="0.3">
      <c r="A3782" t="s">
        <v>6060</v>
      </c>
      <c r="B3782" t="str" cm="1">
        <f t="array" ref="B3782">_xlfn.XLOOKUP(C3782, INDEX([2]!카테고리매핑,,2), INDEX([2]!카테고리매핑,,1), "미등록 카테고리")</f>
        <v>조미료</v>
      </c>
      <c r="C3782" t="s">
        <v>127</v>
      </c>
      <c r="D3782" t="str">
        <f>VLOOKUP(C3782, '[2]VLOOKUP 함수용 카테고리'!$A$1:$B$59, 2, 0)</f>
        <v>SAUCE_SEASONING</v>
      </c>
      <c r="E3782" t="s">
        <v>248</v>
      </c>
      <c r="F3782" t="s">
        <v>4896</v>
      </c>
    </row>
    <row r="3783" spans="1:6" x14ac:dyDescent="0.3">
      <c r="A3783" t="s">
        <v>6061</v>
      </c>
      <c r="B3783" t="str" cm="1">
        <f t="array" ref="B3783">_xlfn.XLOOKUP(C3783, INDEX([2]!카테고리매핑,,2), INDEX([2]!카테고리매핑,,1), "미등록 카테고리")</f>
        <v>육류/계란</v>
      </c>
      <c r="C3783" t="s">
        <v>149</v>
      </c>
      <c r="D3783" t="str">
        <f>VLOOKUP(C3783, '[2]VLOOKUP 함수용 카테고리'!$A$1:$B$59, 2, 0)</f>
        <v>RAW_MEAT</v>
      </c>
      <c r="E3783" t="s">
        <v>635</v>
      </c>
      <c r="F3783" t="s">
        <v>327</v>
      </c>
    </row>
    <row r="3784" spans="1:6" x14ac:dyDescent="0.3">
      <c r="A3784" t="s">
        <v>6062</v>
      </c>
      <c r="B3784" t="str" cm="1">
        <f t="array" ref="B3784">_xlfn.XLOOKUP(C3784, INDEX([2]!카테고리매핑,,2), INDEX([2]!카테고리매핑,,1), "미등록 카테고리")</f>
        <v>간식류</v>
      </c>
      <c r="C3784" t="s">
        <v>11</v>
      </c>
      <c r="D3784" t="str">
        <f>VLOOKUP(C3784, '[2]VLOOKUP 함수용 카테고리'!$A$1:$B$59, 2, 0)</f>
        <v>SNACK</v>
      </c>
      <c r="E3784" t="s">
        <v>371</v>
      </c>
      <c r="F3784" t="s">
        <v>6063</v>
      </c>
    </row>
    <row r="3785" spans="1:6" x14ac:dyDescent="0.3">
      <c r="A3785" t="s">
        <v>6064</v>
      </c>
      <c r="B3785" t="str" cm="1">
        <f t="array" ref="B3785">_xlfn.XLOOKUP(C3785, INDEX([2]!카테고리매핑,,2), INDEX([2]!카테고리매핑,,1), "미등록 카테고리")</f>
        <v>간편식</v>
      </c>
      <c r="C3785" t="s">
        <v>46</v>
      </c>
      <c r="D3785" t="str">
        <f>VLOOKUP(C3785, '[2]VLOOKUP 함수용 카테고리'!$A$1:$B$59, 2, 0)</f>
        <v>RTC_MEAL</v>
      </c>
      <c r="E3785" t="s">
        <v>46</v>
      </c>
      <c r="F3785" t="s">
        <v>646</v>
      </c>
    </row>
    <row r="3786" spans="1:6" x14ac:dyDescent="0.3">
      <c r="A3786" t="s">
        <v>6065</v>
      </c>
      <c r="B3786" t="str" cm="1">
        <f t="array" ref="B3786">_xlfn.XLOOKUP(C3786, INDEX([2]!카테고리매핑,,2), INDEX([2]!카테고리매핑,,1), "미등록 카테고리")</f>
        <v>음료</v>
      </c>
      <c r="C3786" t="s">
        <v>23</v>
      </c>
      <c r="D3786" t="str">
        <f>VLOOKUP(C3786, '[2]VLOOKUP 함수용 카테고리'!$A$1:$B$59, 2, 0)</f>
        <v>BEVERAGE</v>
      </c>
      <c r="E3786" t="s">
        <v>355</v>
      </c>
      <c r="F3786" t="s">
        <v>1017</v>
      </c>
    </row>
    <row r="3787" spans="1:6" x14ac:dyDescent="0.3">
      <c r="A3787" t="s">
        <v>6066</v>
      </c>
      <c r="B3787" t="str" cm="1">
        <f t="array" ref="B3787">_xlfn.XLOOKUP(C3787, INDEX([2]!카테고리매핑,,2), INDEX([2]!카테고리매핑,,1), "미등록 카테고리")</f>
        <v>과일/견과류</v>
      </c>
      <c r="C3787" t="s">
        <v>1179</v>
      </c>
      <c r="D3787" t="str">
        <f>VLOOKUP(C3787, '[2]VLOOKUP 함수용 카테고리'!$A$1:$B$59, 2, 0)</f>
        <v>RAW_FRUIT</v>
      </c>
      <c r="E3787" t="s">
        <v>1180</v>
      </c>
      <c r="F3787" t="s">
        <v>6067</v>
      </c>
    </row>
    <row r="3788" spans="1:6" x14ac:dyDescent="0.3">
      <c r="A3788" t="s">
        <v>6068</v>
      </c>
      <c r="B3788" t="str" cm="1">
        <f t="array" ref="B3788">_xlfn.XLOOKUP(C3788, INDEX([2]!카테고리매핑,,2), INDEX([2]!카테고리매핑,,1), "미등록 카테고리")</f>
        <v>과일/견과류</v>
      </c>
      <c r="C3788" t="s">
        <v>654</v>
      </c>
      <c r="D3788" t="str">
        <f>VLOOKUP(C3788, '[2]VLOOKUP 함수용 카테고리'!$A$1:$B$59, 2, 0)</f>
        <v>RAW_FRUIT</v>
      </c>
      <c r="E3788" t="s">
        <v>1741</v>
      </c>
    </row>
    <row r="3789" spans="1:6" x14ac:dyDescent="0.3">
      <c r="A3789" t="s">
        <v>6069</v>
      </c>
      <c r="B3789" t="str" cm="1">
        <f t="array" ref="B3789">_xlfn.XLOOKUP(C3789, INDEX([2]!카테고리매핑,,2), INDEX([2]!카테고리매핑,,1), "미등록 카테고리")</f>
        <v>음료</v>
      </c>
      <c r="C3789" t="s">
        <v>23</v>
      </c>
      <c r="D3789" t="str">
        <f>VLOOKUP(C3789, '[2]VLOOKUP 함수용 카테고리'!$A$1:$B$59, 2, 0)</f>
        <v>BEVERAGE</v>
      </c>
      <c r="E3789" t="s">
        <v>74</v>
      </c>
      <c r="F3789" t="s">
        <v>6070</v>
      </c>
    </row>
    <row r="3790" spans="1:6" x14ac:dyDescent="0.3">
      <c r="A3790" t="s">
        <v>5285</v>
      </c>
      <c r="B3790" t="str" cm="1">
        <f t="array" ref="B3790">_xlfn.XLOOKUP(C3790, INDEX([2]!카테고리매핑,,2), INDEX([2]!카테고리매핑,,1), "미등록 카테고리")</f>
        <v>술</v>
      </c>
      <c r="C3790" t="s">
        <v>42</v>
      </c>
      <c r="D3790" t="str">
        <f>VLOOKUP(C3790, '[2]VLOOKUP 함수용 카테고리'!$A$1:$B$59, 2, 0)</f>
        <v>ALCOHOL</v>
      </c>
      <c r="E3790" t="s">
        <v>43</v>
      </c>
      <c r="F3790" t="s">
        <v>6071</v>
      </c>
    </row>
    <row r="3791" spans="1:6" x14ac:dyDescent="0.3">
      <c r="A3791" t="s">
        <v>6072</v>
      </c>
      <c r="B3791" t="str" cm="1">
        <f t="array" ref="B3791">_xlfn.XLOOKUP(C3791, INDEX([2]!카테고리매핑,,2), INDEX([2]!카테고리매핑,,1), "미등록 카테고리")</f>
        <v>간편식</v>
      </c>
      <c r="C3791" t="s">
        <v>46</v>
      </c>
      <c r="D3791" t="str">
        <f>VLOOKUP(C3791, '[2]VLOOKUP 함수용 카테고리'!$A$1:$B$59, 2, 0)</f>
        <v>RTC_MEAL</v>
      </c>
      <c r="E3791" t="s">
        <v>46</v>
      </c>
      <c r="F3791" t="s">
        <v>994</v>
      </c>
    </row>
    <row r="3792" spans="1:6" x14ac:dyDescent="0.3">
      <c r="A3792" t="s">
        <v>6073</v>
      </c>
      <c r="B3792" t="str" cm="1">
        <f t="array" ref="B3792">_xlfn.XLOOKUP(C3792, INDEX([2]!카테고리매핑,,2), INDEX([2]!카테고리매핑,,1), "미등록 카테고리")</f>
        <v>간식류</v>
      </c>
      <c r="C3792" t="s">
        <v>11</v>
      </c>
      <c r="D3792" t="str">
        <f>VLOOKUP(C3792, '[2]VLOOKUP 함수용 카테고리'!$A$1:$B$59, 2, 0)</f>
        <v>SNACK</v>
      </c>
      <c r="E3792" t="s">
        <v>76</v>
      </c>
      <c r="F3792" t="s">
        <v>1499</v>
      </c>
    </row>
    <row r="3793" spans="1:6" x14ac:dyDescent="0.3">
      <c r="A3793" t="s">
        <v>6074</v>
      </c>
      <c r="B3793" t="str" cm="1">
        <f t="array" ref="B3793">_xlfn.XLOOKUP(C3793, INDEX([2]!카테고리매핑,,2), INDEX([2]!카테고리매핑,,1), "미등록 카테고리")</f>
        <v>수산물</v>
      </c>
      <c r="C3793" t="s">
        <v>140</v>
      </c>
      <c r="D3793" t="str">
        <f>VLOOKUP(C3793, '[2]VLOOKUP 함수용 카테고리'!$A$1:$B$59, 2, 0)</f>
        <v>SIMPLE_PROCESSED</v>
      </c>
      <c r="E3793" t="s">
        <v>6075</v>
      </c>
      <c r="F3793" t="s">
        <v>2446</v>
      </c>
    </row>
    <row r="3794" spans="1:6" x14ac:dyDescent="0.3">
      <c r="A3794" t="s">
        <v>6076</v>
      </c>
      <c r="B3794" t="str" cm="1">
        <f t="array" ref="B3794">_xlfn.XLOOKUP(C3794, INDEX([2]!카테고리매핑,,2), INDEX([2]!카테고리매핑,,1), "미등록 카테고리")</f>
        <v>유제품</v>
      </c>
      <c r="C3794" t="s">
        <v>123</v>
      </c>
      <c r="D3794" t="str">
        <f>VLOOKUP(C3794, '[2]VLOOKUP 함수용 카테고리'!$A$1:$B$59, 2, 0)</f>
        <v>DAIRY</v>
      </c>
      <c r="E3794" t="s">
        <v>190</v>
      </c>
      <c r="F3794" t="s">
        <v>543</v>
      </c>
    </row>
    <row r="3795" spans="1:6" x14ac:dyDescent="0.3">
      <c r="A3795" t="s">
        <v>6077</v>
      </c>
      <c r="B3795" t="str" cm="1">
        <f t="array" ref="B3795">_xlfn.XLOOKUP(C3795, INDEX([2]!카테고리매핑,,2), INDEX([2]!카테고리매핑,,1), "미등록 카테고리")</f>
        <v>채소/곡물류</v>
      </c>
      <c r="C3795" t="s">
        <v>207</v>
      </c>
      <c r="D3795" t="str">
        <f>VLOOKUP(C3795, '[2]VLOOKUP 함수용 카테고리'!$A$1:$B$59, 2, 0)</f>
        <v>GRAIN</v>
      </c>
      <c r="E3795" t="s">
        <v>2588</v>
      </c>
      <c r="F3795" t="s">
        <v>6078</v>
      </c>
    </row>
    <row r="3796" spans="1:6" x14ac:dyDescent="0.3">
      <c r="A3796" t="s">
        <v>6079</v>
      </c>
      <c r="B3796" t="str" cm="1">
        <f t="array" ref="B3796">_xlfn.XLOOKUP(C3796, INDEX([2]!카테고리매핑,,2), INDEX([2]!카테고리매핑,,1), "미등록 카테고리")</f>
        <v>과일/견과류</v>
      </c>
      <c r="C3796" t="s">
        <v>5029</v>
      </c>
      <c r="D3796" t="str">
        <f>VLOOKUP(C3796, '[2]VLOOKUP 함수용 카테고리'!$A$1:$B$59, 2, 0)</f>
        <v>SIMPLE_PROCESSED</v>
      </c>
      <c r="E3796" t="s">
        <v>5527</v>
      </c>
      <c r="F3796" t="s">
        <v>6080</v>
      </c>
    </row>
    <row r="3797" spans="1:6" x14ac:dyDescent="0.3">
      <c r="A3797" t="s">
        <v>6081</v>
      </c>
      <c r="B3797" t="str" cm="1">
        <f t="array" ref="B3797">_xlfn.XLOOKUP(C3797, INDEX([2]!카테고리매핑,,2), INDEX([2]!카테고리매핑,,1), "미등록 카테고리")</f>
        <v>육류/계란</v>
      </c>
      <c r="C3797" t="s">
        <v>149</v>
      </c>
      <c r="D3797" t="str">
        <f>VLOOKUP(C3797, '[2]VLOOKUP 함수용 카테고리'!$A$1:$B$59, 2, 0)</f>
        <v>RAW_MEAT</v>
      </c>
      <c r="E3797" t="s">
        <v>6082</v>
      </c>
      <c r="F3797" t="s">
        <v>2363</v>
      </c>
    </row>
    <row r="3798" spans="1:6" x14ac:dyDescent="0.3">
      <c r="A3798" t="s">
        <v>5455</v>
      </c>
      <c r="B3798" t="str" cm="1">
        <f t="array" ref="B3798">_xlfn.XLOOKUP(C3798, INDEX([2]!카테고리매핑,,2), INDEX([2]!카테고리매핑,,1), "미등록 카테고리")</f>
        <v>과일/견과류</v>
      </c>
      <c r="C3798" t="s">
        <v>1179</v>
      </c>
      <c r="D3798" t="str">
        <f>VLOOKUP(C3798, '[2]VLOOKUP 함수용 카테고리'!$A$1:$B$59, 2, 0)</f>
        <v>RAW_FRUIT</v>
      </c>
      <c r="E3798" t="s">
        <v>1238</v>
      </c>
      <c r="F3798" t="s">
        <v>5456</v>
      </c>
    </row>
    <row r="3799" spans="1:6" x14ac:dyDescent="0.3">
      <c r="A3799" t="s">
        <v>6083</v>
      </c>
      <c r="B3799" t="str" cm="1">
        <f t="array" ref="B3799">_xlfn.XLOOKUP(C3799, INDEX([2]!카테고리매핑,,2), INDEX([2]!카테고리매핑,,1), "미등록 카테고리")</f>
        <v>간식류</v>
      </c>
      <c r="C3799" t="s">
        <v>11</v>
      </c>
      <c r="D3799" t="str">
        <f>VLOOKUP(C3799, '[2]VLOOKUP 함수용 카테고리'!$A$1:$B$59, 2, 0)</f>
        <v>SNACK</v>
      </c>
      <c r="E3799" t="s">
        <v>1775</v>
      </c>
      <c r="F3799" t="s">
        <v>1065</v>
      </c>
    </row>
    <row r="3800" spans="1:6" x14ac:dyDescent="0.3">
      <c r="A3800" t="s">
        <v>6084</v>
      </c>
      <c r="B3800" t="str" cm="1">
        <f t="array" ref="B3800">_xlfn.XLOOKUP(C3800, INDEX([2]!카테고리매핑,,2), INDEX([2]!카테고리매핑,,1), "미등록 카테고리")</f>
        <v>간식류</v>
      </c>
      <c r="C3800" t="s">
        <v>11</v>
      </c>
      <c r="D3800" t="str">
        <f>VLOOKUP(C3800, '[2]VLOOKUP 함수용 카테고리'!$A$1:$B$59, 2, 0)</f>
        <v>SNACK</v>
      </c>
      <c r="E3800" t="s">
        <v>371</v>
      </c>
      <c r="F3800" t="s">
        <v>3713</v>
      </c>
    </row>
    <row r="3801" spans="1:6" x14ac:dyDescent="0.3">
      <c r="A3801" t="s">
        <v>6085</v>
      </c>
      <c r="B3801" t="str" cm="1">
        <f t="array" ref="B3801">_xlfn.XLOOKUP(C3801, INDEX([2]!카테고리매핑,,2), INDEX([2]!카테고리매핑,,1), "미등록 카테고리")</f>
        <v>채소/곡물류</v>
      </c>
      <c r="C3801" t="s">
        <v>7</v>
      </c>
      <c r="D3801" t="str">
        <f>VLOOKUP(C3801, '[2]VLOOKUP 함수용 카테고리'!$A$1:$B$59, 2, 0)</f>
        <v>RAW_PRODUCE</v>
      </c>
      <c r="E3801" t="s">
        <v>743</v>
      </c>
    </row>
    <row r="3802" spans="1:6" x14ac:dyDescent="0.3">
      <c r="A3802" t="s">
        <v>6086</v>
      </c>
      <c r="B3802" t="str" cm="1">
        <f t="array" ref="B3802">_xlfn.XLOOKUP(C3802, INDEX([2]!카테고리매핑,,2), INDEX([2]!카테고리매핑,,1), "미등록 카테고리")</f>
        <v>유제품</v>
      </c>
      <c r="C3802" t="s">
        <v>98</v>
      </c>
      <c r="D3802" t="str">
        <f>VLOOKUP(C3802, '[2]VLOOKUP 함수용 카테고리'!$A$1:$B$59, 2, 0)</f>
        <v>DAIRY</v>
      </c>
      <c r="E3802" t="s">
        <v>98</v>
      </c>
      <c r="F3802" t="s">
        <v>6087</v>
      </c>
    </row>
    <row r="3803" spans="1:6" x14ac:dyDescent="0.3">
      <c r="A3803" t="s">
        <v>6088</v>
      </c>
      <c r="B3803" t="str" cm="1">
        <f t="array" ref="B3803">_xlfn.XLOOKUP(C3803, INDEX([2]!카테고리매핑,,2), INDEX([2]!카테고리매핑,,1), "미등록 카테고리")</f>
        <v>간식류</v>
      </c>
      <c r="C3803" t="s">
        <v>11</v>
      </c>
      <c r="D3803" t="str">
        <f>VLOOKUP(C3803, '[2]VLOOKUP 함수용 카테고리'!$A$1:$B$59, 2, 0)</f>
        <v>SNACK</v>
      </c>
      <c r="E3803" t="s">
        <v>6089</v>
      </c>
      <c r="F3803" t="s">
        <v>13</v>
      </c>
    </row>
    <row r="3804" spans="1:6" x14ac:dyDescent="0.3">
      <c r="A3804" t="s">
        <v>6090</v>
      </c>
      <c r="B3804" t="str" cm="1">
        <f t="array" ref="B3804">_xlfn.XLOOKUP(C3804, INDEX([2]!카테고리매핑,,2), INDEX([2]!카테고리매핑,,1), "미등록 카테고리")</f>
        <v>과일/견과류</v>
      </c>
      <c r="C3804" t="s">
        <v>654</v>
      </c>
      <c r="D3804" t="str">
        <f>VLOOKUP(C3804, '[2]VLOOKUP 함수용 카테고리'!$A$1:$B$59, 2, 0)</f>
        <v>RAW_FRUIT</v>
      </c>
      <c r="E3804" t="s">
        <v>728</v>
      </c>
      <c r="F3804" t="s">
        <v>13</v>
      </c>
    </row>
    <row r="3805" spans="1:6" x14ac:dyDescent="0.3">
      <c r="A3805" t="s">
        <v>6091</v>
      </c>
      <c r="B3805" t="str" cm="1">
        <f t="array" ref="B3805">_xlfn.XLOOKUP(C3805, INDEX([2]!카테고리매핑,,2), INDEX([2]!카테고리매핑,,1), "미등록 카테고리")</f>
        <v>채소/곡물류</v>
      </c>
      <c r="C3805" t="s">
        <v>7</v>
      </c>
      <c r="D3805" t="str">
        <f>VLOOKUP(C3805, '[2]VLOOKUP 함수용 카테고리'!$A$1:$B$59, 2, 0)</f>
        <v>RAW_PRODUCE</v>
      </c>
      <c r="E3805" t="s">
        <v>188</v>
      </c>
    </row>
    <row r="3806" spans="1:6" x14ac:dyDescent="0.3">
      <c r="A3806" t="s">
        <v>5422</v>
      </c>
      <c r="B3806" t="str" cm="1">
        <f t="array" ref="B3806">_xlfn.XLOOKUP(C3806, INDEX([2]!카테고리매핑,,2), INDEX([2]!카테고리매핑,,1), "미등록 카테고리")</f>
        <v>과일/견과류</v>
      </c>
      <c r="C3806" t="s">
        <v>1179</v>
      </c>
      <c r="D3806" t="str">
        <f>VLOOKUP(C3806, '[2]VLOOKUP 함수용 카테고리'!$A$1:$B$59, 2, 0)</f>
        <v>RAW_FRUIT</v>
      </c>
      <c r="E3806" t="s">
        <v>1990</v>
      </c>
      <c r="F3806" t="s">
        <v>595</v>
      </c>
    </row>
    <row r="3807" spans="1:6" x14ac:dyDescent="0.3">
      <c r="A3807" t="s">
        <v>6092</v>
      </c>
      <c r="B3807" t="str" cm="1">
        <f t="array" ref="B3807">_xlfn.XLOOKUP(C3807, INDEX([2]!카테고리매핑,,2), INDEX([2]!카테고리매핑,,1), "미등록 카테고리")</f>
        <v>과일/견과류</v>
      </c>
      <c r="C3807" t="s">
        <v>5029</v>
      </c>
      <c r="D3807" t="str">
        <f>VLOOKUP(C3807, '[2]VLOOKUP 함수용 카테고리'!$A$1:$B$59, 2, 0)</f>
        <v>SIMPLE_PROCESSED</v>
      </c>
      <c r="E3807" t="s">
        <v>5977</v>
      </c>
    </row>
    <row r="3808" spans="1:6" x14ac:dyDescent="0.3">
      <c r="A3808" t="s">
        <v>6093</v>
      </c>
      <c r="B3808" t="str" cm="1">
        <f t="array" ref="B3808">_xlfn.XLOOKUP(C3808, INDEX([2]!카테고리매핑,,2), INDEX([2]!카테고리매핑,,1), "미등록 카테고리")</f>
        <v>음료</v>
      </c>
      <c r="C3808" t="s">
        <v>708</v>
      </c>
      <c r="D3808" t="str">
        <f>VLOOKUP(C3808, '[2]VLOOKUP 함수용 카테고리'!$A$1:$B$59, 2, 0)</f>
        <v>BEVERAGE</v>
      </c>
      <c r="E3808" t="s">
        <v>708</v>
      </c>
      <c r="F3808" t="s">
        <v>7740</v>
      </c>
    </row>
    <row r="3809" spans="1:6" x14ac:dyDescent="0.3">
      <c r="A3809" t="s">
        <v>6094</v>
      </c>
      <c r="B3809" t="str" cm="1">
        <f t="array" ref="B3809">_xlfn.XLOOKUP(C3809, INDEX([2]!카테고리매핑,,2), INDEX([2]!카테고리매핑,,1), "미등록 카테고리")</f>
        <v>간식류</v>
      </c>
      <c r="C3809" t="s">
        <v>63</v>
      </c>
      <c r="D3809" t="str">
        <f>VLOOKUP(C3809, '[2]VLOOKUP 함수용 카테고리'!$A$1:$B$59, 2, 0)</f>
        <v>BAKERY</v>
      </c>
      <c r="E3809" t="s">
        <v>6095</v>
      </c>
      <c r="F3809" t="s">
        <v>497</v>
      </c>
    </row>
    <row r="3810" spans="1:6" x14ac:dyDescent="0.3">
      <c r="A3810" t="s">
        <v>6096</v>
      </c>
      <c r="B3810" t="str" cm="1">
        <f t="array" ref="B3810">_xlfn.XLOOKUP(C3810, INDEX([2]!카테고리매핑,,2), INDEX([2]!카테고리매핑,,1), "미등록 카테고리")</f>
        <v>채소/곡물류</v>
      </c>
      <c r="C3810" t="s">
        <v>7</v>
      </c>
      <c r="D3810" t="str">
        <f>VLOOKUP(C3810, '[2]VLOOKUP 함수용 카테고리'!$A$1:$B$59, 2, 0)</f>
        <v>RAW_PRODUCE</v>
      </c>
      <c r="E3810" t="s">
        <v>5281</v>
      </c>
    </row>
    <row r="3811" spans="1:6" x14ac:dyDescent="0.3">
      <c r="A3811" t="s">
        <v>6097</v>
      </c>
      <c r="B3811" t="str" cm="1">
        <f t="array" ref="B3811">_xlfn.XLOOKUP(C3811, INDEX([2]!카테고리매핑,,2), INDEX([2]!카테고리매핑,,1), "미등록 카테고리")</f>
        <v>간식류</v>
      </c>
      <c r="C3811" t="s">
        <v>15</v>
      </c>
      <c r="D3811" t="str">
        <f>VLOOKUP(C3811, '[2]VLOOKUP 함수용 카테고리'!$A$1:$B$59, 2, 0)</f>
        <v>BAKERY</v>
      </c>
      <c r="E3811" t="s">
        <v>53</v>
      </c>
      <c r="F3811" t="s">
        <v>6098</v>
      </c>
    </row>
    <row r="3812" spans="1:6" x14ac:dyDescent="0.3">
      <c r="A3812" t="s">
        <v>6099</v>
      </c>
      <c r="B3812" t="str" cm="1">
        <f t="array" ref="B3812">_xlfn.XLOOKUP(C3812, INDEX([2]!카테고리매핑,,2), INDEX([2]!카테고리매핑,,1), "미등록 카테고리")</f>
        <v>간식류</v>
      </c>
      <c r="C3812" t="s">
        <v>109</v>
      </c>
      <c r="D3812" t="str">
        <f>VLOOKUP(C3812, '[2]VLOOKUP 함수용 카테고리'!$A$1:$B$59, 2, 0)</f>
        <v>SNACK</v>
      </c>
      <c r="E3812" t="s">
        <v>933</v>
      </c>
      <c r="F3812" t="s">
        <v>1730</v>
      </c>
    </row>
    <row r="3813" spans="1:6" x14ac:dyDescent="0.3">
      <c r="A3813" t="s">
        <v>2511</v>
      </c>
      <c r="B3813" t="str" cm="1">
        <f t="array" ref="B3813">_xlfn.XLOOKUP(C3813, INDEX([2]!카테고리매핑,,2), INDEX([2]!카테고리매핑,,1), "미등록 카테고리")</f>
        <v>미등록 카테고리</v>
      </c>
      <c r="C3813" t="s">
        <v>334</v>
      </c>
      <c r="D3813" t="str">
        <f>VLOOKUP(C3813, '[2]VLOOKUP 함수용 카테고리'!$A$1:$B$59, 2, 0)</f>
        <v>UNKNOWN</v>
      </c>
      <c r="E3813" t="s">
        <v>334</v>
      </c>
      <c r="F3813" t="s">
        <v>2269</v>
      </c>
    </row>
    <row r="3814" spans="1:6" x14ac:dyDescent="0.3">
      <c r="A3814" t="s">
        <v>6100</v>
      </c>
      <c r="B3814" t="str" cm="1">
        <f t="array" ref="B3814">_xlfn.XLOOKUP(C3814, INDEX([2]!카테고리매핑,,2), INDEX([2]!카테고리매핑,,1), "미등록 카테고리")</f>
        <v>육류/계란</v>
      </c>
      <c r="C3814" t="s">
        <v>428</v>
      </c>
      <c r="D3814" t="str">
        <f>VLOOKUP(C3814, '[2]VLOOKUP 함수용 카테고리'!$A$1:$B$59, 2, 0)</f>
        <v>PROCESSED_MEAT</v>
      </c>
      <c r="E3814" t="s">
        <v>790</v>
      </c>
      <c r="F3814" t="s">
        <v>72</v>
      </c>
    </row>
    <row r="3815" spans="1:6" x14ac:dyDescent="0.3">
      <c r="A3815" t="s">
        <v>6101</v>
      </c>
      <c r="B3815" t="str" cm="1">
        <f t="array" ref="B3815">_xlfn.XLOOKUP(C3815, INDEX([2]!카테고리매핑,,2), INDEX([2]!카테고리매핑,,1), "미등록 카테고리")</f>
        <v>채소/곡물류</v>
      </c>
      <c r="C3815" t="s">
        <v>7</v>
      </c>
      <c r="D3815" t="str">
        <f>VLOOKUP(C3815, '[2]VLOOKUP 함수용 카테고리'!$A$1:$B$59, 2, 0)</f>
        <v>RAW_PRODUCE</v>
      </c>
      <c r="E3815" t="s">
        <v>1222</v>
      </c>
    </row>
    <row r="3816" spans="1:6" x14ac:dyDescent="0.3">
      <c r="A3816" t="s">
        <v>6102</v>
      </c>
      <c r="B3816" t="str" cm="1">
        <f t="array" ref="B3816">_xlfn.XLOOKUP(C3816, INDEX([2]!카테고리매핑,,2), INDEX([2]!카테고리매핑,,1), "미등록 카테고리")</f>
        <v>간편식</v>
      </c>
      <c r="C3816" t="s">
        <v>46</v>
      </c>
      <c r="D3816" t="str">
        <f>VLOOKUP(C3816, '[2]VLOOKUP 함수용 카테고리'!$A$1:$B$59, 2, 0)</f>
        <v>RTC_MEAL</v>
      </c>
      <c r="E3816" t="s">
        <v>46</v>
      </c>
      <c r="F3816" t="s">
        <v>4553</v>
      </c>
    </row>
    <row r="3817" spans="1:6" x14ac:dyDescent="0.3">
      <c r="A3817" t="s">
        <v>6103</v>
      </c>
      <c r="B3817" t="str" cm="1">
        <f t="array" ref="B3817">_xlfn.XLOOKUP(C3817, INDEX([2]!카테고리매핑,,2), INDEX([2]!카테고리매핑,,1), "미등록 카테고리")</f>
        <v>육류/계란</v>
      </c>
      <c r="C3817" t="s">
        <v>149</v>
      </c>
      <c r="D3817" t="str">
        <f>VLOOKUP(C3817, '[2]VLOOKUP 함수용 카테고리'!$A$1:$B$59, 2, 0)</f>
        <v>RAW_MEAT</v>
      </c>
      <c r="E3817" t="s">
        <v>326</v>
      </c>
      <c r="F3817" t="s">
        <v>7716</v>
      </c>
    </row>
    <row r="3818" spans="1:6" x14ac:dyDescent="0.3">
      <c r="A3818" t="s">
        <v>5378</v>
      </c>
      <c r="B3818" t="str" cm="1">
        <f t="array" ref="B3818">_xlfn.XLOOKUP(C3818, INDEX([2]!카테고리매핑,,2), INDEX([2]!카테고리매핑,,1), "미등록 카테고리")</f>
        <v>과일/견과류</v>
      </c>
      <c r="C3818" t="s">
        <v>1179</v>
      </c>
      <c r="D3818" t="str">
        <f>VLOOKUP(C3818, '[2]VLOOKUP 함수용 카테고리'!$A$1:$B$59, 2, 0)</f>
        <v>RAW_FRUIT</v>
      </c>
      <c r="E3818" t="s">
        <v>1180</v>
      </c>
      <c r="F3818" t="s">
        <v>595</v>
      </c>
    </row>
    <row r="3819" spans="1:6" x14ac:dyDescent="0.3">
      <c r="A3819" t="s">
        <v>6104</v>
      </c>
      <c r="B3819" t="str" cm="1">
        <f t="array" ref="B3819">_xlfn.XLOOKUP(C3819, INDEX([2]!카테고리매핑,,2), INDEX([2]!카테고리매핑,,1), "미등록 카테고리")</f>
        <v>조미료</v>
      </c>
      <c r="C3819" t="s">
        <v>127</v>
      </c>
      <c r="D3819" t="str">
        <f>VLOOKUP(C3819, '[2]VLOOKUP 함수용 카테고리'!$A$1:$B$59, 2, 0)</f>
        <v>SAUCE_SEASONING</v>
      </c>
      <c r="E3819" t="s">
        <v>5059</v>
      </c>
      <c r="F3819" t="s">
        <v>129</v>
      </c>
    </row>
    <row r="3820" spans="1:6" x14ac:dyDescent="0.3">
      <c r="A3820" t="s">
        <v>6105</v>
      </c>
      <c r="B3820" t="str" cm="1">
        <f t="array" ref="B3820">_xlfn.XLOOKUP(C3820, INDEX([2]!카테고리매핑,,2), INDEX([2]!카테고리매핑,,1), "미등록 카테고리")</f>
        <v>유제품</v>
      </c>
      <c r="C3820" t="s">
        <v>123</v>
      </c>
      <c r="D3820" t="str">
        <f>VLOOKUP(C3820, '[2]VLOOKUP 함수용 카테고리'!$A$1:$B$59, 2, 0)</f>
        <v>DAIRY</v>
      </c>
      <c r="E3820" t="s">
        <v>190</v>
      </c>
      <c r="F3820" t="s">
        <v>7867</v>
      </c>
    </row>
    <row r="3821" spans="1:6" x14ac:dyDescent="0.3">
      <c r="A3821" t="s">
        <v>4686</v>
      </c>
      <c r="B3821" t="str" cm="1">
        <f t="array" ref="B3821">_xlfn.XLOOKUP(C3821, INDEX([2]!카테고리매핑,,2), INDEX([2]!카테고리매핑,,1), "미등록 카테고리")</f>
        <v>유제품</v>
      </c>
      <c r="C3821" t="s">
        <v>123</v>
      </c>
      <c r="D3821" t="str">
        <f>VLOOKUP(C3821, '[2]VLOOKUP 함수용 카테고리'!$A$1:$B$59, 2, 0)</f>
        <v>DAIRY</v>
      </c>
      <c r="E3821" t="s">
        <v>4687</v>
      </c>
      <c r="F3821" t="s">
        <v>2651</v>
      </c>
    </row>
    <row r="3822" spans="1:6" x14ac:dyDescent="0.3">
      <c r="A3822" t="s">
        <v>6106</v>
      </c>
      <c r="B3822" t="str" cm="1">
        <f t="array" ref="B3822">_xlfn.XLOOKUP(C3822, INDEX([2]!카테고리매핑,,2), INDEX([2]!카테고리매핑,,1), "미등록 카테고리")</f>
        <v>상온식품</v>
      </c>
      <c r="C3822" t="s">
        <v>835</v>
      </c>
      <c r="D3822" t="str">
        <f>VLOOKUP(C3822, '[2]VLOOKUP 함수용 카테고리'!$A$1:$B$59, 2, 0)</f>
        <v>SAUCE_SEASONING</v>
      </c>
      <c r="E3822" t="s">
        <v>2157</v>
      </c>
      <c r="F3822" t="s">
        <v>2158</v>
      </c>
    </row>
    <row r="3823" spans="1:6" x14ac:dyDescent="0.3">
      <c r="A3823" t="s">
        <v>6107</v>
      </c>
      <c r="B3823" t="str" cm="1">
        <f t="array" ref="B3823">_xlfn.XLOOKUP(C3823, INDEX([2]!카테고리매핑,,2), INDEX([2]!카테고리매핑,,1), "미등록 카테고리")</f>
        <v>채소/곡물류</v>
      </c>
      <c r="C3823" t="s">
        <v>7</v>
      </c>
      <c r="D3823" t="str">
        <f>VLOOKUP(C3823, '[2]VLOOKUP 함수용 카테고리'!$A$1:$B$59, 2, 0)</f>
        <v>RAW_PRODUCE</v>
      </c>
      <c r="E3823" t="s">
        <v>331</v>
      </c>
    </row>
    <row r="3824" spans="1:6" x14ac:dyDescent="0.3">
      <c r="A3824" t="s">
        <v>6108</v>
      </c>
      <c r="B3824" t="str" cm="1">
        <f t="array" ref="B3824">_xlfn.XLOOKUP(C3824, INDEX([2]!카테고리매핑,,2), INDEX([2]!카테고리매핑,,1), "미등록 카테고리")</f>
        <v>채소/곡물류</v>
      </c>
      <c r="C3824" t="s">
        <v>7</v>
      </c>
      <c r="D3824" t="str">
        <f>VLOOKUP(C3824, '[2]VLOOKUP 함수용 카테고리'!$A$1:$B$59, 2, 0)</f>
        <v>RAW_PRODUCE</v>
      </c>
      <c r="E3824" t="s">
        <v>566</v>
      </c>
    </row>
    <row r="3825" spans="1:6" x14ac:dyDescent="0.3">
      <c r="A3825" t="s">
        <v>5489</v>
      </c>
      <c r="B3825" t="str" cm="1">
        <f t="array" ref="B3825">_xlfn.XLOOKUP(C3825, INDEX([2]!카테고리매핑,,2), INDEX([2]!카테고리매핑,,1), "미등록 카테고리")</f>
        <v>수산물</v>
      </c>
      <c r="C3825" t="s">
        <v>1397</v>
      </c>
      <c r="D3825" t="str">
        <f>VLOOKUP(C3825, '[2]VLOOKUP 함수용 카테고리'!$A$1:$B$59, 2, 0)</f>
        <v>RAW_SEAFOOD</v>
      </c>
      <c r="E3825" t="s">
        <v>3559</v>
      </c>
      <c r="F3825" t="s">
        <v>2155</v>
      </c>
    </row>
    <row r="3826" spans="1:6" x14ac:dyDescent="0.3">
      <c r="A3826" t="s">
        <v>6109</v>
      </c>
      <c r="B3826" t="str" cm="1">
        <f t="array" ref="B3826">_xlfn.XLOOKUP(C3826, INDEX([2]!카테고리매핑,,2), INDEX([2]!카테고리매핑,,1), "미등록 카테고리")</f>
        <v>육류/계란</v>
      </c>
      <c r="C3826" t="s">
        <v>428</v>
      </c>
      <c r="D3826" t="str">
        <f>VLOOKUP(C3826, '[2]VLOOKUP 함수용 카테고리'!$A$1:$B$59, 2, 0)</f>
        <v>PROCESSED_MEAT</v>
      </c>
      <c r="E3826" t="s">
        <v>776</v>
      </c>
      <c r="F3826" t="s">
        <v>54</v>
      </c>
    </row>
    <row r="3827" spans="1:6" x14ac:dyDescent="0.3">
      <c r="A3827" t="s">
        <v>6110</v>
      </c>
      <c r="B3827" t="str" cm="1">
        <f t="array" ref="B3827">_xlfn.XLOOKUP(C3827, INDEX([2]!카테고리매핑,,2), INDEX([2]!카테고리매핑,,1), "미등록 카테고리")</f>
        <v>간식류</v>
      </c>
      <c r="C3827" t="s">
        <v>109</v>
      </c>
      <c r="D3827" t="str">
        <f>VLOOKUP(C3827, '[2]VLOOKUP 함수용 카테고리'!$A$1:$B$59, 2, 0)</f>
        <v>SNACK</v>
      </c>
      <c r="E3827" t="s">
        <v>933</v>
      </c>
      <c r="F3827" t="s">
        <v>5324</v>
      </c>
    </row>
    <row r="3828" spans="1:6" x14ac:dyDescent="0.3">
      <c r="A3828" t="s">
        <v>6111</v>
      </c>
      <c r="B3828" t="str" cm="1">
        <f t="array" ref="B3828">_xlfn.XLOOKUP(C3828, INDEX([2]!카테고리매핑,,2), INDEX([2]!카테고리매핑,,1), "미등록 카테고리")</f>
        <v>육류/계란</v>
      </c>
      <c r="C3828" t="s">
        <v>428</v>
      </c>
      <c r="D3828" t="str">
        <f>VLOOKUP(C3828, '[2]VLOOKUP 함수용 카테고리'!$A$1:$B$59, 2, 0)</f>
        <v>PROCESSED_MEAT</v>
      </c>
      <c r="E3828" t="s">
        <v>776</v>
      </c>
      <c r="F3828" t="s">
        <v>254</v>
      </c>
    </row>
    <row r="3829" spans="1:6" x14ac:dyDescent="0.3">
      <c r="A3829" t="s">
        <v>6112</v>
      </c>
      <c r="B3829" t="str" cm="1">
        <f t="array" ref="B3829">_xlfn.XLOOKUP(C3829, INDEX([2]!카테고리매핑,,2), INDEX([2]!카테고리매핑,,1), "미등록 카테고리")</f>
        <v>간식류</v>
      </c>
      <c r="C3829" t="s">
        <v>11</v>
      </c>
      <c r="D3829" t="str">
        <f>VLOOKUP(C3829, '[2]VLOOKUP 함수용 카테고리'!$A$1:$B$59, 2, 0)</f>
        <v>SNACK</v>
      </c>
      <c r="E3829" t="s">
        <v>371</v>
      </c>
      <c r="F3829" t="s">
        <v>7868</v>
      </c>
    </row>
    <row r="3830" spans="1:6" x14ac:dyDescent="0.3">
      <c r="A3830" t="s">
        <v>6113</v>
      </c>
      <c r="B3830" t="str" cm="1">
        <f t="array" ref="B3830">_xlfn.XLOOKUP(C3830, INDEX([2]!카테고리매핑,,2), INDEX([2]!카테고리매핑,,1), "미등록 카테고리")</f>
        <v>조미료</v>
      </c>
      <c r="C3830" t="s">
        <v>84</v>
      </c>
      <c r="D3830" t="str">
        <f>VLOOKUP(C3830, '[2]VLOOKUP 함수용 카테고리'!$A$1:$B$59, 2, 0)</f>
        <v>SAUCE_SEASONING</v>
      </c>
      <c r="E3830" t="s">
        <v>90</v>
      </c>
      <c r="F3830" t="s">
        <v>129</v>
      </c>
    </row>
    <row r="3831" spans="1:6" x14ac:dyDescent="0.3">
      <c r="A3831" t="s">
        <v>6114</v>
      </c>
      <c r="B3831" t="str" cm="1">
        <f t="array" ref="B3831">_xlfn.XLOOKUP(C3831, INDEX([2]!카테고리매핑,,2), INDEX([2]!카테고리매핑,,1), "미등록 카테고리")</f>
        <v>유제품</v>
      </c>
      <c r="C3831" t="s">
        <v>123</v>
      </c>
      <c r="D3831" t="str">
        <f>VLOOKUP(C3831, '[2]VLOOKUP 함수용 카테고리'!$A$1:$B$59, 2, 0)</f>
        <v>DAIRY</v>
      </c>
      <c r="E3831" t="s">
        <v>190</v>
      </c>
      <c r="F3831" t="s">
        <v>191</v>
      </c>
    </row>
    <row r="3832" spans="1:6" x14ac:dyDescent="0.3">
      <c r="A3832" t="s">
        <v>6115</v>
      </c>
      <c r="B3832" t="str" cm="1">
        <f t="array" ref="B3832">_xlfn.XLOOKUP(C3832, INDEX([2]!카테고리매핑,,2), INDEX([2]!카테고리매핑,,1), "미등록 카테고리")</f>
        <v>간식류</v>
      </c>
      <c r="C3832" t="s">
        <v>11</v>
      </c>
      <c r="D3832" t="str">
        <f>VLOOKUP(C3832, '[2]VLOOKUP 함수용 카테고리'!$A$1:$B$59, 2, 0)</f>
        <v>SNACK</v>
      </c>
      <c r="E3832" t="s">
        <v>1042</v>
      </c>
      <c r="F3832" t="s">
        <v>2568</v>
      </c>
    </row>
    <row r="3833" spans="1:6" x14ac:dyDescent="0.3">
      <c r="A3833" t="s">
        <v>6116</v>
      </c>
      <c r="B3833" t="str" cm="1">
        <f t="array" ref="B3833">_xlfn.XLOOKUP(C3833, INDEX([2]!카테고리매핑,,2), INDEX([2]!카테고리매핑,,1), "미등록 카테고리")</f>
        <v>음료</v>
      </c>
      <c r="C3833" t="s">
        <v>584</v>
      </c>
      <c r="D3833" t="str">
        <f>VLOOKUP(C3833, '[2]VLOOKUP 함수용 카테고리'!$A$1:$B$59, 2, 0)</f>
        <v>BEVERAGE</v>
      </c>
      <c r="E3833" t="s">
        <v>1257</v>
      </c>
      <c r="F3833" t="s">
        <v>2999</v>
      </c>
    </row>
    <row r="3834" spans="1:6" x14ac:dyDescent="0.3">
      <c r="A3834" t="s">
        <v>6117</v>
      </c>
      <c r="B3834" t="str" cm="1">
        <f t="array" ref="B3834">_xlfn.XLOOKUP(C3834, INDEX([2]!카테고리매핑,,2), INDEX([2]!카테고리매핑,,1), "미등록 카테고리")</f>
        <v>육류/계란</v>
      </c>
      <c r="C3834" t="s">
        <v>149</v>
      </c>
      <c r="D3834" t="str">
        <f>VLOOKUP(C3834, '[2]VLOOKUP 함수용 카테고리'!$A$1:$B$59, 2, 0)</f>
        <v>RAW_MEAT</v>
      </c>
      <c r="E3834" t="s">
        <v>4781</v>
      </c>
      <c r="F3834" t="s">
        <v>1340</v>
      </c>
    </row>
    <row r="3835" spans="1:6" x14ac:dyDescent="0.3">
      <c r="A3835" t="s">
        <v>6118</v>
      </c>
      <c r="B3835" t="str" cm="1">
        <f t="array" ref="B3835">_xlfn.XLOOKUP(C3835, INDEX([2]!카테고리매핑,,2), INDEX([2]!카테고리매핑,,1), "미등록 카테고리")</f>
        <v>채소/곡물류</v>
      </c>
      <c r="C3835" t="s">
        <v>7</v>
      </c>
      <c r="D3835" t="str">
        <f>VLOOKUP(C3835, '[2]VLOOKUP 함수용 카테고리'!$A$1:$B$59, 2, 0)</f>
        <v>RAW_PRODUCE</v>
      </c>
      <c r="E3835" t="s">
        <v>1222</v>
      </c>
    </row>
    <row r="3836" spans="1:6" x14ac:dyDescent="0.3">
      <c r="A3836" t="s">
        <v>6119</v>
      </c>
      <c r="B3836" t="str" cm="1">
        <f t="array" ref="B3836">_xlfn.XLOOKUP(C3836, INDEX([2]!카테고리매핑,,2), INDEX([2]!카테고리매핑,,1), "미등록 카테고리")</f>
        <v>수산물</v>
      </c>
      <c r="C3836" t="s">
        <v>1673</v>
      </c>
      <c r="D3836" t="str">
        <f>VLOOKUP(C3836, '[2]VLOOKUP 함수용 카테고리'!$A$1:$B$59, 2, 0)</f>
        <v>RAW_SEAFOOD</v>
      </c>
      <c r="E3836" t="s">
        <v>5210</v>
      </c>
      <c r="F3836" t="s">
        <v>3217</v>
      </c>
    </row>
    <row r="3837" spans="1:6" x14ac:dyDescent="0.3">
      <c r="A3837" t="s">
        <v>6120</v>
      </c>
      <c r="B3837" t="str" cm="1">
        <f t="array" ref="B3837">_xlfn.XLOOKUP(C3837, INDEX([2]!카테고리매핑,,2), INDEX([2]!카테고리매핑,,1), "미등록 카테고리")</f>
        <v>조미료</v>
      </c>
      <c r="C3837" t="s">
        <v>127</v>
      </c>
      <c r="D3837" t="str">
        <f>VLOOKUP(C3837, '[2]VLOOKUP 함수용 카테고리'!$A$1:$B$59, 2, 0)</f>
        <v>SAUCE_SEASONING</v>
      </c>
      <c r="E3837" t="s">
        <v>1941</v>
      </c>
      <c r="F3837" t="s">
        <v>341</v>
      </c>
    </row>
    <row r="3838" spans="1:6" x14ac:dyDescent="0.3">
      <c r="A3838" t="s">
        <v>6121</v>
      </c>
      <c r="B3838" t="str" cm="1">
        <f t="array" ref="B3838">_xlfn.XLOOKUP(C3838, INDEX([2]!카테고리매핑,,2), INDEX([2]!카테고리매핑,,1), "미등록 카테고리")</f>
        <v>술</v>
      </c>
      <c r="C3838" t="s">
        <v>42</v>
      </c>
      <c r="D3838" t="str">
        <f>VLOOKUP(C3838, '[2]VLOOKUP 함수용 카테고리'!$A$1:$B$59, 2, 0)</f>
        <v>ALCOHOL</v>
      </c>
      <c r="E3838" t="s">
        <v>1074</v>
      </c>
      <c r="F3838" t="s">
        <v>7869</v>
      </c>
    </row>
    <row r="3839" spans="1:6" x14ac:dyDescent="0.3">
      <c r="A3839" t="s">
        <v>6122</v>
      </c>
      <c r="B3839" t="str" cm="1">
        <f t="array" ref="B3839">_xlfn.XLOOKUP(C3839, INDEX([2]!카테고리매핑,,2), INDEX([2]!카테고리매핑,,1), "미등록 카테고리")</f>
        <v>조미료</v>
      </c>
      <c r="C3839" t="s">
        <v>83</v>
      </c>
      <c r="D3839" t="str">
        <f>VLOOKUP(C3839, '[2]VLOOKUP 함수용 카테고리'!$A$1:$B$59, 2, 0)</f>
        <v>SAUCE_SEASONING</v>
      </c>
      <c r="E3839" t="s">
        <v>6123</v>
      </c>
      <c r="F3839" t="s">
        <v>7870</v>
      </c>
    </row>
    <row r="3840" spans="1:6" x14ac:dyDescent="0.3">
      <c r="A3840" t="s">
        <v>6124</v>
      </c>
      <c r="B3840" t="str" cm="1">
        <f t="array" ref="B3840">_xlfn.XLOOKUP(C3840, INDEX([2]!카테고리매핑,,2), INDEX([2]!카테고리매핑,,1), "미등록 카테고리")</f>
        <v>채소/곡물류</v>
      </c>
      <c r="C3840" t="s">
        <v>7</v>
      </c>
      <c r="D3840" t="str">
        <f>VLOOKUP(C3840, '[2]VLOOKUP 함수용 카테고리'!$A$1:$B$59, 2, 0)</f>
        <v>RAW_PRODUCE</v>
      </c>
      <c r="E3840" t="s">
        <v>716</v>
      </c>
    </row>
    <row r="3841" spans="1:6" x14ac:dyDescent="0.3">
      <c r="A3841" t="s">
        <v>6125</v>
      </c>
      <c r="B3841" t="str" cm="1">
        <f t="array" ref="B3841">_xlfn.XLOOKUP(C3841, INDEX([2]!카테고리매핑,,2), INDEX([2]!카테고리매핑,,1), "미등록 카테고리")</f>
        <v>간편식</v>
      </c>
      <c r="C3841" t="s">
        <v>19</v>
      </c>
      <c r="D3841" t="str">
        <f>VLOOKUP(C3841, '[2]VLOOKUP 함수용 카테고리'!$A$1:$B$59, 2, 0)</f>
        <v>FROZEN_MEAL</v>
      </c>
      <c r="E3841" t="s">
        <v>20</v>
      </c>
      <c r="F3841" t="s">
        <v>36</v>
      </c>
    </row>
    <row r="3842" spans="1:6" x14ac:dyDescent="0.3">
      <c r="A3842" t="s">
        <v>6126</v>
      </c>
      <c r="B3842" t="str" cm="1">
        <f t="array" ref="B3842">_xlfn.XLOOKUP(C3842, INDEX([2]!카테고리매핑,,2), INDEX([2]!카테고리매핑,,1), "미등록 카테고리")</f>
        <v>간식류</v>
      </c>
      <c r="C3842" t="s">
        <v>15</v>
      </c>
      <c r="D3842" t="str">
        <f>VLOOKUP(C3842, '[2]VLOOKUP 함수용 카테고리'!$A$1:$B$59, 2, 0)</f>
        <v>BAKERY</v>
      </c>
      <c r="E3842" t="s">
        <v>53</v>
      </c>
      <c r="F3842" t="s">
        <v>475</v>
      </c>
    </row>
    <row r="3843" spans="1:6" x14ac:dyDescent="0.3">
      <c r="A3843" t="s">
        <v>6127</v>
      </c>
      <c r="B3843" t="str" cm="1">
        <f t="array" ref="B3843">_xlfn.XLOOKUP(C3843, INDEX([2]!카테고리매핑,,2), INDEX([2]!카테고리매핑,,1), "미등록 카테고리")</f>
        <v>간편식</v>
      </c>
      <c r="C3843" t="s">
        <v>256</v>
      </c>
      <c r="D3843" t="str">
        <f>VLOOKUP(C3843, '[2]VLOOKUP 함수용 카테고리'!$A$1:$B$59, 2, 0)</f>
        <v>RTC_MEAL</v>
      </c>
      <c r="E3843" t="s">
        <v>256</v>
      </c>
      <c r="F3843" t="s">
        <v>2747</v>
      </c>
    </row>
    <row r="3844" spans="1:6" x14ac:dyDescent="0.3">
      <c r="A3844" t="s">
        <v>6128</v>
      </c>
      <c r="B3844" t="str" cm="1">
        <f t="array" ref="B3844">_xlfn.XLOOKUP(C3844, INDEX([2]!카테고리매핑,,2), INDEX([2]!카테고리매핑,,1), "미등록 카테고리")</f>
        <v>간편식</v>
      </c>
      <c r="C3844" t="s">
        <v>46</v>
      </c>
      <c r="D3844" t="str">
        <f>VLOOKUP(C3844, '[2]VLOOKUP 함수용 카테고리'!$A$1:$B$59, 2, 0)</f>
        <v>RTC_MEAL</v>
      </c>
      <c r="E3844" t="s">
        <v>46</v>
      </c>
      <c r="F3844" t="s">
        <v>7871</v>
      </c>
    </row>
    <row r="3845" spans="1:6" x14ac:dyDescent="0.3">
      <c r="A3845" t="s">
        <v>6129</v>
      </c>
      <c r="B3845" t="str" cm="1">
        <f t="array" ref="B3845">_xlfn.XLOOKUP(C3845, INDEX([2]!카테고리매핑,,2), INDEX([2]!카테고리매핑,,1), "미등록 카테고리")</f>
        <v>간식류</v>
      </c>
      <c r="C3845" t="s">
        <v>38</v>
      </c>
      <c r="D3845" t="str">
        <f>VLOOKUP(C3845, '[2]VLOOKUP 함수용 카테고리'!$A$1:$B$59, 2, 0)</f>
        <v>SNACK</v>
      </c>
      <c r="E3845" t="s">
        <v>1462</v>
      </c>
      <c r="F3845" t="s">
        <v>198</v>
      </c>
    </row>
    <row r="3846" spans="1:6" x14ac:dyDescent="0.3">
      <c r="A3846" t="s">
        <v>6130</v>
      </c>
      <c r="B3846" t="str" cm="1">
        <f t="array" ref="B3846">_xlfn.XLOOKUP(C3846, INDEX([2]!카테고리매핑,,2), INDEX([2]!카테고리매핑,,1), "미등록 카테고리")</f>
        <v>간편식</v>
      </c>
      <c r="C3846" t="s">
        <v>131</v>
      </c>
      <c r="D3846" t="str">
        <f>VLOOKUP(C3846, '[2]VLOOKUP 함수용 카테고리'!$A$1:$B$59, 2, 0)</f>
        <v>SIMPLE_PROCESSED</v>
      </c>
      <c r="E3846" t="s">
        <v>678</v>
      </c>
      <c r="F3846" t="s">
        <v>3217</v>
      </c>
    </row>
    <row r="3847" spans="1:6" x14ac:dyDescent="0.3">
      <c r="A3847" t="s">
        <v>6131</v>
      </c>
      <c r="B3847" t="str" cm="1">
        <f t="array" ref="B3847">_xlfn.XLOOKUP(C3847, INDEX([2]!카테고리매핑,,2), INDEX([2]!카테고리매핑,,1), "미등록 카테고리")</f>
        <v>음료</v>
      </c>
      <c r="C3847" t="s">
        <v>708</v>
      </c>
      <c r="D3847" t="str">
        <f>VLOOKUP(C3847, '[2]VLOOKUP 함수용 카테고리'!$A$1:$B$59, 2, 0)</f>
        <v>BEVERAGE</v>
      </c>
      <c r="E3847" t="s">
        <v>708</v>
      </c>
      <c r="F3847" t="s">
        <v>7872</v>
      </c>
    </row>
    <row r="3848" spans="1:6" x14ac:dyDescent="0.3">
      <c r="A3848" t="s">
        <v>6132</v>
      </c>
      <c r="B3848" t="str" cm="1">
        <f t="array" ref="B3848">_xlfn.XLOOKUP(C3848, INDEX([2]!카테고리매핑,,2), INDEX([2]!카테고리매핑,,1), "미등록 카테고리")</f>
        <v>유제품</v>
      </c>
      <c r="C3848" t="s">
        <v>211</v>
      </c>
      <c r="D3848" t="str">
        <f>VLOOKUP(C3848, '[2]VLOOKUP 함수용 카테고리'!$A$1:$B$59, 2, 0)</f>
        <v>DAIRY</v>
      </c>
      <c r="E3848" t="s">
        <v>212</v>
      </c>
      <c r="F3848" t="s">
        <v>2435</v>
      </c>
    </row>
    <row r="3849" spans="1:6" x14ac:dyDescent="0.3">
      <c r="A3849" t="s">
        <v>6133</v>
      </c>
      <c r="B3849" t="str" cm="1">
        <f t="array" ref="B3849">_xlfn.XLOOKUP(C3849, INDEX([2]!카테고리매핑,,2), INDEX([2]!카테고리매핑,,1), "미등록 카테고리")</f>
        <v>간식류</v>
      </c>
      <c r="C3849" t="s">
        <v>11</v>
      </c>
      <c r="D3849" t="str">
        <f>VLOOKUP(C3849, '[2]VLOOKUP 함수용 카테고리'!$A$1:$B$59, 2, 0)</f>
        <v>SNACK</v>
      </c>
      <c r="E3849" t="s">
        <v>371</v>
      </c>
      <c r="F3849" t="s">
        <v>3549</v>
      </c>
    </row>
    <row r="3850" spans="1:6" x14ac:dyDescent="0.3">
      <c r="A3850" t="s">
        <v>6134</v>
      </c>
      <c r="B3850" t="str" cm="1">
        <f t="array" ref="B3850">_xlfn.XLOOKUP(C3850, INDEX([2]!카테고리매핑,,2), INDEX([2]!카테고리매핑,,1), "미등록 카테고리")</f>
        <v>간편식</v>
      </c>
      <c r="C3850" t="s">
        <v>19</v>
      </c>
      <c r="D3850" t="str">
        <f>VLOOKUP(C3850, '[2]VLOOKUP 함수용 카테고리'!$A$1:$B$59, 2, 0)</f>
        <v>FROZEN_MEAL</v>
      </c>
      <c r="E3850" t="s">
        <v>1854</v>
      </c>
      <c r="F3850" t="s">
        <v>350</v>
      </c>
    </row>
    <row r="3851" spans="1:6" x14ac:dyDescent="0.3">
      <c r="A3851" t="s">
        <v>6135</v>
      </c>
      <c r="B3851" t="str" cm="1">
        <f t="array" ref="B3851">_xlfn.XLOOKUP(C3851, INDEX([2]!카테고리매핑,,2), INDEX([2]!카테고리매핑,,1), "미등록 카테고리")</f>
        <v>채소/곡물류</v>
      </c>
      <c r="C3851" t="s">
        <v>301</v>
      </c>
      <c r="D3851" t="str">
        <f>VLOOKUP(C3851, '[2]VLOOKUP 함수용 카테고리'!$A$1:$B$59, 2, 0)</f>
        <v>GRAIN</v>
      </c>
      <c r="E3851" t="s">
        <v>611</v>
      </c>
    </row>
    <row r="3852" spans="1:6" x14ac:dyDescent="0.3">
      <c r="A3852" t="s">
        <v>6136</v>
      </c>
      <c r="B3852" t="str" cm="1">
        <f t="array" ref="B3852">_xlfn.XLOOKUP(C3852, INDEX([2]!카테고리매핑,,2), INDEX([2]!카테고리매핑,,1), "미등록 카테고리")</f>
        <v>간식류</v>
      </c>
      <c r="C3852" t="s">
        <v>11</v>
      </c>
      <c r="D3852" t="str">
        <f>VLOOKUP(C3852, '[2]VLOOKUP 함수용 카테고리'!$A$1:$B$59, 2, 0)</f>
        <v>SNACK</v>
      </c>
      <c r="E3852" t="s">
        <v>371</v>
      </c>
      <c r="F3852" t="s">
        <v>3713</v>
      </c>
    </row>
    <row r="3853" spans="1:6" x14ac:dyDescent="0.3">
      <c r="A3853" t="s">
        <v>6137</v>
      </c>
      <c r="B3853" t="str" cm="1">
        <f t="array" ref="B3853">_xlfn.XLOOKUP(C3853, INDEX([2]!카테고리매핑,,2), INDEX([2]!카테고리매핑,,1), "미등록 카테고리")</f>
        <v>간편식</v>
      </c>
      <c r="C3853" t="s">
        <v>131</v>
      </c>
      <c r="D3853" t="str">
        <f>VLOOKUP(C3853, '[2]VLOOKUP 함수용 카테고리'!$A$1:$B$59, 2, 0)</f>
        <v>SIMPLE_PROCESSED</v>
      </c>
      <c r="E3853" t="s">
        <v>6138</v>
      </c>
      <c r="F3853" t="s">
        <v>6139</v>
      </c>
    </row>
    <row r="3854" spans="1:6" x14ac:dyDescent="0.3">
      <c r="A3854" t="s">
        <v>6140</v>
      </c>
      <c r="B3854" t="str" cm="1">
        <f t="array" ref="B3854">_xlfn.XLOOKUP(C3854, INDEX([2]!카테고리매핑,,2), INDEX([2]!카테고리매핑,,1), "미등록 카테고리")</f>
        <v>상온식품</v>
      </c>
      <c r="C3854" t="s">
        <v>1104</v>
      </c>
      <c r="D3854" t="str">
        <f>VLOOKUP(C3854, '[2]VLOOKUP 함수용 카테고리'!$A$1:$B$59, 2, 0)</f>
        <v>CANNED</v>
      </c>
      <c r="E3854" t="s">
        <v>1105</v>
      </c>
      <c r="F3854" t="s">
        <v>7873</v>
      </c>
    </row>
    <row r="3855" spans="1:6" x14ac:dyDescent="0.3">
      <c r="A3855" t="s">
        <v>6141</v>
      </c>
      <c r="B3855" t="str" cm="1">
        <f t="array" ref="B3855">_xlfn.XLOOKUP(C3855, INDEX([2]!카테고리매핑,,2), INDEX([2]!카테고리매핑,,1), "미등록 카테고리")</f>
        <v>육류/계란</v>
      </c>
      <c r="C3855" t="s">
        <v>34</v>
      </c>
      <c r="D3855" t="str">
        <f>VLOOKUP(C3855, '[2]VLOOKUP 함수용 카테고리'!$A$1:$B$59, 2, 0)</f>
        <v>RAW_MEAT</v>
      </c>
      <c r="E3855" t="s">
        <v>6142</v>
      </c>
      <c r="F3855" t="s">
        <v>1982</v>
      </c>
    </row>
    <row r="3856" spans="1:6" x14ac:dyDescent="0.3">
      <c r="A3856" t="s">
        <v>6143</v>
      </c>
      <c r="B3856" t="str" cm="1">
        <f t="array" ref="B3856">_xlfn.XLOOKUP(C3856, INDEX([2]!카테고리매핑,,2), INDEX([2]!카테고리매핑,,1), "미등록 카테고리")</f>
        <v>조미료</v>
      </c>
      <c r="C3856" t="s">
        <v>127</v>
      </c>
      <c r="D3856" t="str">
        <f>VLOOKUP(C3856, '[2]VLOOKUP 함수용 카테고리'!$A$1:$B$59, 2, 0)</f>
        <v>SAUCE_SEASONING</v>
      </c>
      <c r="E3856" t="s">
        <v>248</v>
      </c>
      <c r="F3856" t="s">
        <v>7874</v>
      </c>
    </row>
    <row r="3857" spans="1:6" x14ac:dyDescent="0.3">
      <c r="A3857" t="s">
        <v>6144</v>
      </c>
      <c r="B3857" t="str" cm="1">
        <f t="array" ref="B3857">_xlfn.XLOOKUP(C3857, INDEX([2]!카테고리매핑,,2), INDEX([2]!카테고리매핑,,1), "미등록 카테고리")</f>
        <v>간편식</v>
      </c>
      <c r="C3857" t="s">
        <v>131</v>
      </c>
      <c r="D3857" t="str">
        <f>VLOOKUP(C3857, '[2]VLOOKUP 함수용 카테고리'!$A$1:$B$59, 2, 0)</f>
        <v>SIMPLE_PROCESSED</v>
      </c>
      <c r="E3857" t="s">
        <v>3644</v>
      </c>
      <c r="F3857" t="s">
        <v>6145</v>
      </c>
    </row>
    <row r="3858" spans="1:6" x14ac:dyDescent="0.3">
      <c r="A3858" t="s">
        <v>6146</v>
      </c>
      <c r="B3858" t="str" cm="1">
        <f t="array" ref="B3858">_xlfn.XLOOKUP(C3858, INDEX([2]!카테고리매핑,,2), INDEX([2]!카테고리매핑,,1), "미등록 카테고리")</f>
        <v>간편식</v>
      </c>
      <c r="C3858" t="s">
        <v>46</v>
      </c>
      <c r="D3858" t="str">
        <f>VLOOKUP(C3858, '[2]VLOOKUP 함수용 카테고리'!$A$1:$B$59, 2, 0)</f>
        <v>RTC_MEAL</v>
      </c>
      <c r="E3858" t="s">
        <v>46</v>
      </c>
      <c r="F3858" t="s">
        <v>6147</v>
      </c>
    </row>
    <row r="3859" spans="1:6" x14ac:dyDescent="0.3">
      <c r="A3859" t="s">
        <v>6148</v>
      </c>
      <c r="B3859" t="str" cm="1">
        <f t="array" ref="B3859">_xlfn.XLOOKUP(C3859, INDEX([2]!카테고리매핑,,2), INDEX([2]!카테고리매핑,,1), "미등록 카테고리")</f>
        <v>간편식</v>
      </c>
      <c r="C3859" t="s">
        <v>131</v>
      </c>
      <c r="D3859" t="str">
        <f>VLOOKUP(C3859, '[2]VLOOKUP 함수용 카테고리'!$A$1:$B$59, 2, 0)</f>
        <v>SIMPLE_PROCESSED</v>
      </c>
      <c r="E3859" t="s">
        <v>6149</v>
      </c>
      <c r="F3859" t="s">
        <v>285</v>
      </c>
    </row>
    <row r="3860" spans="1:6" x14ac:dyDescent="0.3">
      <c r="A3860" t="s">
        <v>6150</v>
      </c>
      <c r="B3860" t="str" cm="1">
        <f t="array" ref="B3860">_xlfn.XLOOKUP(C3860, INDEX([2]!카테고리매핑,,2), INDEX([2]!카테고리매핑,,1), "미등록 카테고리")</f>
        <v>육류/계란</v>
      </c>
      <c r="C3860" t="s">
        <v>428</v>
      </c>
      <c r="D3860" t="str">
        <f>VLOOKUP(C3860, '[2]VLOOKUP 함수용 카테고리'!$A$1:$B$59, 2, 0)</f>
        <v>PROCESSED_MEAT</v>
      </c>
      <c r="E3860" t="s">
        <v>790</v>
      </c>
      <c r="F3860" t="s">
        <v>1141</v>
      </c>
    </row>
    <row r="3861" spans="1:6" x14ac:dyDescent="0.3">
      <c r="A3861" t="s">
        <v>6151</v>
      </c>
      <c r="B3861" t="str" cm="1">
        <f t="array" ref="B3861">_xlfn.XLOOKUP(C3861, INDEX([2]!카테고리매핑,,2), INDEX([2]!카테고리매핑,,1), "미등록 카테고리")</f>
        <v>음료</v>
      </c>
      <c r="C3861" t="s">
        <v>23</v>
      </c>
      <c r="D3861" t="str">
        <f>VLOOKUP(C3861, '[2]VLOOKUP 함수용 카테고리'!$A$1:$B$59, 2, 0)</f>
        <v>BEVERAGE</v>
      </c>
      <c r="E3861" t="s">
        <v>502</v>
      </c>
      <c r="F3861" t="s">
        <v>538</v>
      </c>
    </row>
    <row r="3862" spans="1:6" x14ac:dyDescent="0.3">
      <c r="A3862" t="s">
        <v>6152</v>
      </c>
      <c r="B3862" t="str" cm="1">
        <f t="array" ref="B3862">_xlfn.XLOOKUP(C3862, INDEX([2]!카테고리매핑,,2), INDEX([2]!카테고리매핑,,1), "미등록 카테고리")</f>
        <v>채소/곡물류</v>
      </c>
      <c r="C3862" t="s">
        <v>7</v>
      </c>
      <c r="D3862" t="str">
        <f>VLOOKUP(C3862, '[2]VLOOKUP 함수용 카테고리'!$A$1:$B$59, 2, 0)</f>
        <v>RAW_PRODUCE</v>
      </c>
      <c r="E3862" t="s">
        <v>405</v>
      </c>
    </row>
    <row r="3863" spans="1:6" x14ac:dyDescent="0.3">
      <c r="A3863" t="s">
        <v>6153</v>
      </c>
      <c r="B3863" t="str" cm="1">
        <f t="array" ref="B3863">_xlfn.XLOOKUP(C3863, INDEX([2]!카테고리매핑,,2), INDEX([2]!카테고리매핑,,1), "미등록 카테고리")</f>
        <v>조미료</v>
      </c>
      <c r="C3863" t="s">
        <v>84</v>
      </c>
      <c r="D3863" t="str">
        <f>VLOOKUP(C3863, '[2]VLOOKUP 함수용 카테고리'!$A$1:$B$59, 2, 0)</f>
        <v>SAUCE_SEASONING</v>
      </c>
      <c r="E3863" t="s">
        <v>619</v>
      </c>
      <c r="F3863" t="s">
        <v>6154</v>
      </c>
    </row>
    <row r="3864" spans="1:6" x14ac:dyDescent="0.3">
      <c r="A3864" t="s">
        <v>6155</v>
      </c>
      <c r="B3864" t="str" cm="1">
        <f t="array" ref="B3864">_xlfn.XLOOKUP(C3864, INDEX([2]!카테고리매핑,,2), INDEX([2]!카테고리매핑,,1), "미등록 카테고리")</f>
        <v>조미료</v>
      </c>
      <c r="C3864" t="s">
        <v>127</v>
      </c>
      <c r="D3864" t="str">
        <f>VLOOKUP(C3864, '[2]VLOOKUP 함수용 카테고리'!$A$1:$B$59, 2, 0)</f>
        <v>SAUCE_SEASONING</v>
      </c>
      <c r="E3864" t="s">
        <v>340</v>
      </c>
      <c r="F3864" t="s">
        <v>156</v>
      </c>
    </row>
    <row r="3865" spans="1:6" x14ac:dyDescent="0.3">
      <c r="A3865" t="s">
        <v>6156</v>
      </c>
      <c r="B3865" t="str" cm="1">
        <f t="array" ref="B3865">_xlfn.XLOOKUP(C3865, INDEX([2]!카테고리매핑,,2), INDEX([2]!카테고리매핑,,1), "미등록 카테고리")</f>
        <v>수산물</v>
      </c>
      <c r="C3865" t="s">
        <v>229</v>
      </c>
      <c r="D3865" t="str">
        <f>VLOOKUP(C3865, '[2]VLOOKUP 함수용 카테고리'!$A$1:$B$59, 2, 0)</f>
        <v>RAW_SEAFOOD</v>
      </c>
      <c r="E3865" t="s">
        <v>230</v>
      </c>
      <c r="F3865" t="s">
        <v>7875</v>
      </c>
    </row>
    <row r="3866" spans="1:6" x14ac:dyDescent="0.3">
      <c r="A3866" t="s">
        <v>6157</v>
      </c>
      <c r="B3866" t="str" cm="1">
        <f t="array" ref="B3866">_xlfn.XLOOKUP(C3866, INDEX([2]!카테고리매핑,,2), INDEX([2]!카테고리매핑,,1), "미등록 카테고리")</f>
        <v>간식류</v>
      </c>
      <c r="C3866" t="s">
        <v>11</v>
      </c>
      <c r="D3866" t="str">
        <f>VLOOKUP(C3866, '[2]VLOOKUP 함수용 카테고리'!$A$1:$B$59, 2, 0)</f>
        <v>SNACK</v>
      </c>
      <c r="E3866" t="s">
        <v>371</v>
      </c>
      <c r="F3866" t="s">
        <v>3903</v>
      </c>
    </row>
    <row r="3867" spans="1:6" x14ac:dyDescent="0.3">
      <c r="A3867" t="s">
        <v>6158</v>
      </c>
      <c r="B3867" t="str" cm="1">
        <f t="array" ref="B3867">_xlfn.XLOOKUP(C3867, INDEX([2]!카테고리매핑,,2), INDEX([2]!카테고리매핑,,1), "미등록 카테고리")</f>
        <v>채소/곡물류</v>
      </c>
      <c r="C3867" t="s">
        <v>301</v>
      </c>
      <c r="D3867" t="str">
        <f>VLOOKUP(C3867, '[2]VLOOKUP 함수용 카테고리'!$A$1:$B$59, 2, 0)</f>
        <v>GRAIN</v>
      </c>
      <c r="E3867" t="s">
        <v>490</v>
      </c>
    </row>
    <row r="3868" spans="1:6" x14ac:dyDescent="0.3">
      <c r="A3868" t="s">
        <v>6159</v>
      </c>
      <c r="B3868" t="str" cm="1">
        <f t="array" ref="B3868">_xlfn.XLOOKUP(C3868, INDEX([2]!카테고리매핑,,2), INDEX([2]!카테고리매핑,,1), "미등록 카테고리")</f>
        <v>조미료</v>
      </c>
      <c r="C3868" t="s">
        <v>84</v>
      </c>
      <c r="D3868" t="str">
        <f>VLOOKUP(C3868, '[2]VLOOKUP 함수용 카테고리'!$A$1:$B$59, 2, 0)</f>
        <v>SAUCE_SEASONING</v>
      </c>
      <c r="E3868" t="s">
        <v>85</v>
      </c>
      <c r="F3868" t="s">
        <v>6160</v>
      </c>
    </row>
    <row r="3869" spans="1:6" x14ac:dyDescent="0.3">
      <c r="A3869" t="s">
        <v>6161</v>
      </c>
      <c r="B3869" t="str" cm="1">
        <f t="array" ref="B3869">_xlfn.XLOOKUP(C3869, INDEX([2]!카테고리매핑,,2), INDEX([2]!카테고리매핑,,1), "미등록 카테고리")</f>
        <v>간식류</v>
      </c>
      <c r="C3869" t="s">
        <v>11</v>
      </c>
      <c r="D3869" t="str">
        <f>VLOOKUP(C3869, '[2]VLOOKUP 함수용 카테고리'!$A$1:$B$59, 2, 0)</f>
        <v>SNACK</v>
      </c>
      <c r="E3869" t="s">
        <v>4853</v>
      </c>
      <c r="F3869" t="s">
        <v>6162</v>
      </c>
    </row>
    <row r="3870" spans="1:6" x14ac:dyDescent="0.3">
      <c r="A3870" t="s">
        <v>6163</v>
      </c>
      <c r="B3870" t="str" cm="1">
        <f t="array" ref="B3870">_xlfn.XLOOKUP(C3870, INDEX([2]!카테고리매핑,,2), INDEX([2]!카테고리매핑,,1), "미등록 카테고리")</f>
        <v>조미료</v>
      </c>
      <c r="C3870" t="s">
        <v>127</v>
      </c>
      <c r="D3870" t="str">
        <f>VLOOKUP(C3870, '[2]VLOOKUP 함수용 카테고리'!$A$1:$B$59, 2, 0)</f>
        <v>SAUCE_SEASONING</v>
      </c>
      <c r="E3870" t="s">
        <v>6164</v>
      </c>
      <c r="F3870" t="s">
        <v>7870</v>
      </c>
    </row>
    <row r="3871" spans="1:6" x14ac:dyDescent="0.3">
      <c r="A3871" t="s">
        <v>6165</v>
      </c>
      <c r="B3871" t="str" cm="1">
        <f t="array" ref="B3871">_xlfn.XLOOKUP(C3871, INDEX([2]!카테고리매핑,,2), INDEX([2]!카테고리매핑,,1), "미등록 카테고리")</f>
        <v>간편식</v>
      </c>
      <c r="C3871" t="s">
        <v>167</v>
      </c>
      <c r="D3871" t="str">
        <f>VLOOKUP(C3871, '[2]VLOOKUP 함수용 카테고리'!$A$1:$B$59, 2, 0)</f>
        <v>INSTANT</v>
      </c>
      <c r="E3871" t="s">
        <v>6166</v>
      </c>
      <c r="F3871" t="s">
        <v>1003</v>
      </c>
    </row>
    <row r="3872" spans="1:6" x14ac:dyDescent="0.3">
      <c r="A3872" t="s">
        <v>6167</v>
      </c>
      <c r="B3872" t="str" cm="1">
        <f t="array" ref="B3872">_xlfn.XLOOKUP(C3872, INDEX([2]!카테고리매핑,,2), INDEX([2]!카테고리매핑,,1), "미등록 카테고리")</f>
        <v>채소/곡물류</v>
      </c>
      <c r="C3872" t="s">
        <v>7</v>
      </c>
      <c r="D3872" t="str">
        <f>VLOOKUP(C3872, '[2]VLOOKUP 함수용 카테고리'!$A$1:$B$59, 2, 0)</f>
        <v>RAW_PRODUCE</v>
      </c>
      <c r="E3872" t="s">
        <v>331</v>
      </c>
    </row>
    <row r="3873" spans="1:6" x14ac:dyDescent="0.3">
      <c r="A3873" t="s">
        <v>6168</v>
      </c>
      <c r="B3873" t="str" cm="1">
        <f t="array" ref="B3873">_xlfn.XLOOKUP(C3873, INDEX([2]!카테고리매핑,,2), INDEX([2]!카테고리매핑,,1), "미등록 카테고리")</f>
        <v>간편식</v>
      </c>
      <c r="C3873" t="s">
        <v>46</v>
      </c>
      <c r="D3873" t="str">
        <f>VLOOKUP(C3873, '[2]VLOOKUP 함수용 카테고리'!$A$1:$B$59, 2, 0)</f>
        <v>RTC_MEAL</v>
      </c>
      <c r="E3873" t="s">
        <v>46</v>
      </c>
      <c r="F3873" t="s">
        <v>2363</v>
      </c>
    </row>
    <row r="3874" spans="1:6" x14ac:dyDescent="0.3">
      <c r="A3874" t="s">
        <v>6169</v>
      </c>
      <c r="B3874" t="str" cm="1">
        <f t="array" ref="B3874">_xlfn.XLOOKUP(C3874, INDEX([2]!카테고리매핑,,2), INDEX([2]!카테고리매핑,,1), "미등록 카테고리")</f>
        <v>간식류</v>
      </c>
      <c r="C3874" t="s">
        <v>63</v>
      </c>
      <c r="D3874" t="str">
        <f>VLOOKUP(C3874, '[2]VLOOKUP 함수용 카테고리'!$A$1:$B$59, 2, 0)</f>
        <v>BAKERY</v>
      </c>
      <c r="E3874" t="s">
        <v>6170</v>
      </c>
      <c r="F3874" t="s">
        <v>6171</v>
      </c>
    </row>
    <row r="3875" spans="1:6" x14ac:dyDescent="0.3">
      <c r="A3875" t="s">
        <v>6172</v>
      </c>
      <c r="B3875" t="str" cm="1">
        <f t="array" ref="B3875">_xlfn.XLOOKUP(C3875, INDEX([2]!카테고리매핑,,2), INDEX([2]!카테고리매핑,,1), "미등록 카테고리")</f>
        <v>간식류</v>
      </c>
      <c r="C3875" t="s">
        <v>38</v>
      </c>
      <c r="D3875" t="str">
        <f>VLOOKUP(C3875, '[2]VLOOKUP 함수용 카테고리'!$A$1:$B$59, 2, 0)</f>
        <v>SNACK</v>
      </c>
      <c r="E3875" t="s">
        <v>39</v>
      </c>
      <c r="F3875" t="s">
        <v>6173</v>
      </c>
    </row>
    <row r="3876" spans="1:6" x14ac:dyDescent="0.3">
      <c r="A3876" t="s">
        <v>6174</v>
      </c>
      <c r="B3876" t="str" cm="1">
        <f t="array" ref="B3876">_xlfn.XLOOKUP(C3876, INDEX([2]!카테고리매핑,,2), INDEX([2]!카테고리매핑,,1), "미등록 카테고리")</f>
        <v>채소/곡물류</v>
      </c>
      <c r="C3876" t="s">
        <v>7</v>
      </c>
      <c r="D3876" t="str">
        <f>VLOOKUP(C3876, '[2]VLOOKUP 함수용 카테고리'!$A$1:$B$59, 2, 0)</f>
        <v>RAW_PRODUCE</v>
      </c>
      <c r="E3876" t="s">
        <v>1898</v>
      </c>
    </row>
    <row r="3877" spans="1:6" x14ac:dyDescent="0.3">
      <c r="A3877" t="s">
        <v>6175</v>
      </c>
      <c r="B3877" t="str" cm="1">
        <f t="array" ref="B3877">_xlfn.XLOOKUP(C3877, INDEX([2]!카테고리매핑,,2), INDEX([2]!카테고리매핑,,1), "미등록 카테고리")</f>
        <v>상온식품</v>
      </c>
      <c r="C3877" t="s">
        <v>1104</v>
      </c>
      <c r="D3877" t="str">
        <f>VLOOKUP(C3877, '[2]VLOOKUP 함수용 카테고리'!$A$1:$B$59, 2, 0)</f>
        <v>CANNED</v>
      </c>
      <c r="E3877" t="s">
        <v>1611</v>
      </c>
      <c r="F3877" t="s">
        <v>7876</v>
      </c>
    </row>
    <row r="3878" spans="1:6" x14ac:dyDescent="0.3">
      <c r="A3878" t="s">
        <v>6176</v>
      </c>
      <c r="B3878" t="str" cm="1">
        <f t="array" ref="B3878">_xlfn.XLOOKUP(C3878, INDEX([2]!카테고리매핑,,2), INDEX([2]!카테고리매핑,,1), "미등록 카테고리")</f>
        <v>간편식</v>
      </c>
      <c r="C3878" t="s">
        <v>158</v>
      </c>
      <c r="D3878" t="str">
        <f>VLOOKUP(C3878, '[2]VLOOKUP 함수용 카테고리'!$A$1:$B$59, 2, 0)</f>
        <v>INSTANT</v>
      </c>
      <c r="E3878" t="s">
        <v>6177</v>
      </c>
      <c r="F3878" t="s">
        <v>129</v>
      </c>
    </row>
    <row r="3879" spans="1:6" x14ac:dyDescent="0.3">
      <c r="A3879" t="s">
        <v>6178</v>
      </c>
      <c r="B3879" t="str" cm="1">
        <f t="array" ref="B3879">_xlfn.XLOOKUP(C3879, INDEX([2]!카테고리매핑,,2), INDEX([2]!카테고리매핑,,1), "미등록 카테고리")</f>
        <v>상온식품</v>
      </c>
      <c r="C3879" t="s">
        <v>276</v>
      </c>
      <c r="D3879" t="str">
        <f>VLOOKUP(C3879, '[2]VLOOKUP 함수용 카테고리'!$A$1:$B$59, 2, 0)</f>
        <v>DRIED_SEAFOOD</v>
      </c>
      <c r="E3879" t="s">
        <v>277</v>
      </c>
      <c r="F3879" t="s">
        <v>7877</v>
      </c>
    </row>
    <row r="3880" spans="1:6" x14ac:dyDescent="0.3">
      <c r="A3880" t="s">
        <v>6179</v>
      </c>
      <c r="B3880" t="str" cm="1">
        <f t="array" ref="B3880">_xlfn.XLOOKUP(C3880, INDEX([2]!카테고리매핑,,2), INDEX([2]!카테고리매핑,,1), "미등록 카테고리")</f>
        <v>간편식</v>
      </c>
      <c r="C3880" t="s">
        <v>256</v>
      </c>
      <c r="D3880" t="str">
        <f>VLOOKUP(C3880, '[2]VLOOKUP 함수용 카테고리'!$A$1:$B$59, 2, 0)</f>
        <v>RTC_MEAL</v>
      </c>
      <c r="E3880" t="s">
        <v>256</v>
      </c>
      <c r="F3880" t="s">
        <v>6180</v>
      </c>
    </row>
    <row r="3881" spans="1:6" x14ac:dyDescent="0.3">
      <c r="A3881" t="s">
        <v>6181</v>
      </c>
      <c r="B3881" t="str" cm="1">
        <f t="array" ref="B3881">_xlfn.XLOOKUP(C3881, INDEX([2]!카테고리매핑,,2), INDEX([2]!카테고리매핑,,1), "미등록 카테고리")</f>
        <v>간편식</v>
      </c>
      <c r="C3881" t="s">
        <v>46</v>
      </c>
      <c r="D3881" t="str">
        <f>VLOOKUP(C3881, '[2]VLOOKUP 함수용 카테고리'!$A$1:$B$59, 2, 0)</f>
        <v>RTC_MEAL</v>
      </c>
      <c r="E3881" t="s">
        <v>46</v>
      </c>
      <c r="F3881" t="s">
        <v>568</v>
      </c>
    </row>
    <row r="3882" spans="1:6" x14ac:dyDescent="0.3">
      <c r="A3882" t="s">
        <v>6182</v>
      </c>
      <c r="B3882" t="str" cm="1">
        <f t="array" ref="B3882">_xlfn.XLOOKUP(C3882, INDEX([2]!카테고리매핑,,2), INDEX([2]!카테고리매핑,,1), "미등록 카테고리")</f>
        <v>조미료</v>
      </c>
      <c r="C3882" t="s">
        <v>83</v>
      </c>
      <c r="D3882" t="str">
        <f>VLOOKUP(C3882, '[2]VLOOKUP 함수용 카테고리'!$A$1:$B$59, 2, 0)</f>
        <v>SAUCE_SEASONING</v>
      </c>
      <c r="E3882" t="s">
        <v>4279</v>
      </c>
      <c r="F3882" t="s">
        <v>646</v>
      </c>
    </row>
    <row r="3883" spans="1:6" x14ac:dyDescent="0.3">
      <c r="A3883" t="s">
        <v>6183</v>
      </c>
      <c r="B3883" t="str" cm="1">
        <f t="array" ref="B3883">_xlfn.XLOOKUP(C3883, INDEX([2]!카테고리매핑,,2), INDEX([2]!카테고리매핑,,1), "미등록 카테고리")</f>
        <v>조미료</v>
      </c>
      <c r="C3883" t="s">
        <v>127</v>
      </c>
      <c r="D3883" t="str">
        <f>VLOOKUP(C3883, '[2]VLOOKUP 함수용 카테고리'!$A$1:$B$59, 2, 0)</f>
        <v>SAUCE_SEASONING</v>
      </c>
      <c r="E3883" t="s">
        <v>4872</v>
      </c>
      <c r="F3883" t="s">
        <v>5172</v>
      </c>
    </row>
    <row r="3884" spans="1:6" x14ac:dyDescent="0.3">
      <c r="A3884" t="s">
        <v>6184</v>
      </c>
      <c r="B3884" t="str" cm="1">
        <f t="array" ref="B3884">_xlfn.XLOOKUP(C3884, INDEX([2]!카테고리매핑,,2), INDEX([2]!카테고리매핑,,1), "미등록 카테고리")</f>
        <v>유제품</v>
      </c>
      <c r="C3884" t="s">
        <v>123</v>
      </c>
      <c r="D3884" t="str">
        <f>VLOOKUP(C3884, '[2]VLOOKUP 함수용 카테고리'!$A$1:$B$59, 2, 0)</f>
        <v>DAIRY</v>
      </c>
      <c r="E3884" t="s">
        <v>190</v>
      </c>
      <c r="F3884" t="s">
        <v>350</v>
      </c>
    </row>
    <row r="3885" spans="1:6" x14ac:dyDescent="0.3">
      <c r="A3885" t="s">
        <v>6185</v>
      </c>
      <c r="B3885" t="str" cm="1">
        <f t="array" ref="B3885">_xlfn.XLOOKUP(C3885, INDEX([2]!카테고리매핑,,2), INDEX([2]!카테고리매핑,,1), "미등록 카테고리")</f>
        <v>조미료</v>
      </c>
      <c r="C3885" t="s">
        <v>117</v>
      </c>
      <c r="D3885" t="str">
        <f>VLOOKUP(C3885, '[2]VLOOKUP 함수용 카테고리'!$A$1:$B$59, 2, 0)</f>
        <v>SAUCE_SEASONING</v>
      </c>
      <c r="E3885" t="s">
        <v>645</v>
      </c>
      <c r="F3885" t="s">
        <v>2370</v>
      </c>
    </row>
    <row r="3886" spans="1:6" x14ac:dyDescent="0.3">
      <c r="A3886" t="s">
        <v>6186</v>
      </c>
      <c r="B3886" t="str" cm="1">
        <f t="array" ref="B3886">_xlfn.XLOOKUP(C3886, INDEX([2]!카테고리매핑,,2), INDEX([2]!카테고리매핑,,1), "미등록 카테고리")</f>
        <v>상온식품</v>
      </c>
      <c r="C3886" t="s">
        <v>769</v>
      </c>
      <c r="D3886" t="str">
        <f>VLOOKUP(C3886, '[2]VLOOKUP 함수용 카테고리'!$A$1:$B$59, 2, 0)</f>
        <v>GRAIN</v>
      </c>
      <c r="E3886" t="s">
        <v>770</v>
      </c>
      <c r="F3886" t="s">
        <v>6187</v>
      </c>
    </row>
    <row r="3887" spans="1:6" x14ac:dyDescent="0.3">
      <c r="A3887" t="s">
        <v>6188</v>
      </c>
      <c r="B3887" t="str" cm="1">
        <f t="array" ref="B3887">_xlfn.XLOOKUP(C3887, INDEX([2]!카테고리매핑,,2), INDEX([2]!카테고리매핑,,1), "미등록 카테고리")</f>
        <v>미등록 카테고리</v>
      </c>
      <c r="C3887" t="s">
        <v>334</v>
      </c>
      <c r="D3887" t="str">
        <f>VLOOKUP(C3887, '[2]VLOOKUP 함수용 카테고리'!$A$1:$B$59, 2, 0)</f>
        <v>UNKNOWN</v>
      </c>
      <c r="E3887" t="s">
        <v>334</v>
      </c>
      <c r="F3887" t="s">
        <v>2823</v>
      </c>
    </row>
    <row r="3888" spans="1:6" x14ac:dyDescent="0.3">
      <c r="A3888" t="s">
        <v>6189</v>
      </c>
      <c r="B3888" t="str" cm="1">
        <f t="array" ref="B3888">_xlfn.XLOOKUP(C3888, INDEX([2]!카테고리매핑,,2), INDEX([2]!카테고리매핑,,1), "미등록 카테고리")</f>
        <v>음료</v>
      </c>
      <c r="C3888" t="s">
        <v>23</v>
      </c>
      <c r="D3888" t="str">
        <f>VLOOKUP(C3888, '[2]VLOOKUP 함수용 카테고리'!$A$1:$B$59, 2, 0)</f>
        <v>BEVERAGE</v>
      </c>
      <c r="E3888" t="s">
        <v>288</v>
      </c>
      <c r="F3888" t="s">
        <v>1600</v>
      </c>
    </row>
    <row r="3889" spans="1:6" x14ac:dyDescent="0.3">
      <c r="A3889" t="s">
        <v>6190</v>
      </c>
      <c r="B3889" t="str" cm="1">
        <f t="array" ref="B3889">_xlfn.XLOOKUP(C3889, INDEX([2]!카테고리매핑,,2), INDEX([2]!카테고리매핑,,1), "미등록 카테고리")</f>
        <v>간편식</v>
      </c>
      <c r="C3889" t="s">
        <v>131</v>
      </c>
      <c r="D3889" t="str">
        <f>VLOOKUP(C3889, '[2]VLOOKUP 함수용 카테고리'!$A$1:$B$59, 2, 0)</f>
        <v>SIMPLE_PROCESSED</v>
      </c>
      <c r="E3889" t="s">
        <v>755</v>
      </c>
      <c r="F3889" t="s">
        <v>3481</v>
      </c>
    </row>
    <row r="3890" spans="1:6" x14ac:dyDescent="0.3">
      <c r="A3890" t="s">
        <v>6191</v>
      </c>
      <c r="B3890" t="str" cm="1">
        <f t="array" ref="B3890">_xlfn.XLOOKUP(C3890, INDEX([2]!카테고리매핑,,2), INDEX([2]!카테고리매핑,,1), "미등록 카테고리")</f>
        <v>음료</v>
      </c>
      <c r="C3890" t="s">
        <v>23</v>
      </c>
      <c r="D3890" t="str">
        <f>VLOOKUP(C3890, '[2]VLOOKUP 함수용 카테고리'!$A$1:$B$59, 2, 0)</f>
        <v>BEVERAGE</v>
      </c>
      <c r="E3890" t="s">
        <v>1156</v>
      </c>
      <c r="F3890" t="s">
        <v>7878</v>
      </c>
    </row>
    <row r="3891" spans="1:6" x14ac:dyDescent="0.3">
      <c r="A3891" t="s">
        <v>6192</v>
      </c>
      <c r="B3891" t="str" cm="1">
        <f t="array" ref="B3891">_xlfn.XLOOKUP(C3891, INDEX([2]!카테고리매핑,,2), INDEX([2]!카테고리매핑,,1), "미등록 카테고리")</f>
        <v>간식류</v>
      </c>
      <c r="C3891" t="s">
        <v>11</v>
      </c>
      <c r="D3891" t="str">
        <f>VLOOKUP(C3891, '[2]VLOOKUP 함수용 카테고리'!$A$1:$B$59, 2, 0)</f>
        <v>SNACK</v>
      </c>
      <c r="E3891" t="s">
        <v>6193</v>
      </c>
      <c r="F3891" t="s">
        <v>2115</v>
      </c>
    </row>
    <row r="3892" spans="1:6" x14ac:dyDescent="0.3">
      <c r="A3892" t="s">
        <v>6194</v>
      </c>
      <c r="B3892" t="str" cm="1">
        <f t="array" ref="B3892">_xlfn.XLOOKUP(C3892, INDEX([2]!카테고리매핑,,2), INDEX([2]!카테고리매핑,,1), "미등록 카테고리")</f>
        <v>조미료</v>
      </c>
      <c r="C3892" t="s">
        <v>127</v>
      </c>
      <c r="D3892" t="str">
        <f>VLOOKUP(C3892, '[2]VLOOKUP 함수용 카테고리'!$A$1:$B$59, 2, 0)</f>
        <v>SAUCE_SEASONING</v>
      </c>
      <c r="E3892" t="s">
        <v>340</v>
      </c>
      <c r="F3892" t="s">
        <v>156</v>
      </c>
    </row>
    <row r="3893" spans="1:6" x14ac:dyDescent="0.3">
      <c r="A3893" t="s">
        <v>6195</v>
      </c>
      <c r="B3893" t="str" cm="1">
        <f t="array" ref="B3893">_xlfn.XLOOKUP(C3893, INDEX([2]!카테고리매핑,,2), INDEX([2]!카테고리매핑,,1), "미등록 카테고리")</f>
        <v>조미료</v>
      </c>
      <c r="C3893" t="s">
        <v>127</v>
      </c>
      <c r="D3893" t="str">
        <f>VLOOKUP(C3893, '[2]VLOOKUP 함수용 카테고리'!$A$1:$B$59, 2, 0)</f>
        <v>SAUCE_SEASONING</v>
      </c>
      <c r="E3893" t="s">
        <v>248</v>
      </c>
      <c r="F3893" t="s">
        <v>7855</v>
      </c>
    </row>
    <row r="3894" spans="1:6" x14ac:dyDescent="0.3">
      <c r="A3894" t="s">
        <v>6196</v>
      </c>
      <c r="B3894" t="str" cm="1">
        <f t="array" ref="B3894">_xlfn.XLOOKUP(C3894, INDEX([2]!카테고리매핑,,2), INDEX([2]!카테고리매핑,,1), "미등록 카테고리")</f>
        <v>유제품</v>
      </c>
      <c r="C3894" t="s">
        <v>98</v>
      </c>
      <c r="D3894" t="str">
        <f>VLOOKUP(C3894, '[2]VLOOKUP 함수용 카테고리'!$A$1:$B$59, 2, 0)</f>
        <v>DAIRY</v>
      </c>
      <c r="E3894" t="s">
        <v>7668</v>
      </c>
      <c r="F3894" t="s">
        <v>7879</v>
      </c>
    </row>
    <row r="3895" spans="1:6" x14ac:dyDescent="0.3">
      <c r="A3895" t="s">
        <v>6197</v>
      </c>
      <c r="B3895" t="str" cm="1">
        <f t="array" ref="B3895">_xlfn.XLOOKUP(C3895, INDEX([2]!카테고리매핑,,2), INDEX([2]!카테고리매핑,,1), "미등록 카테고리")</f>
        <v>조미료</v>
      </c>
      <c r="C3895" t="s">
        <v>558</v>
      </c>
      <c r="D3895" t="str">
        <f>VLOOKUP(C3895, '[2]VLOOKUP 함수용 카테고리'!$A$1:$B$59, 2, 0)</f>
        <v>SAUCE_SEASONING</v>
      </c>
      <c r="E3895" t="s">
        <v>6198</v>
      </c>
      <c r="F3895" t="s">
        <v>2007</v>
      </c>
    </row>
    <row r="3896" spans="1:6" x14ac:dyDescent="0.3">
      <c r="A3896" t="s">
        <v>6199</v>
      </c>
      <c r="B3896" t="str" cm="1">
        <f t="array" ref="B3896">_xlfn.XLOOKUP(C3896, INDEX([2]!카테고리매핑,,2), INDEX([2]!카테고리매핑,,1), "미등록 카테고리")</f>
        <v>유제품</v>
      </c>
      <c r="C3896" t="s">
        <v>432</v>
      </c>
      <c r="D3896" t="str">
        <f>VLOOKUP(C3896, '[2]VLOOKUP 함수용 카테고리'!$A$1:$B$59, 2, 0)</f>
        <v>DAIRY</v>
      </c>
      <c r="E3896" t="s">
        <v>6200</v>
      </c>
      <c r="F3896" t="s">
        <v>6201</v>
      </c>
    </row>
    <row r="3897" spans="1:6" x14ac:dyDescent="0.3">
      <c r="A3897" t="s">
        <v>6202</v>
      </c>
      <c r="B3897" t="str" cm="1">
        <f t="array" ref="B3897">_xlfn.XLOOKUP(C3897, INDEX([2]!카테고리매핑,,2), INDEX([2]!카테고리매핑,,1), "미등록 카테고리")</f>
        <v>술</v>
      </c>
      <c r="C3897" t="s">
        <v>974</v>
      </c>
      <c r="D3897" t="str">
        <f>VLOOKUP(C3897, '[2]VLOOKUP 함수용 카테고리'!$A$1:$B$59, 2, 0)</f>
        <v>ALCOHOL</v>
      </c>
      <c r="E3897" t="s">
        <v>6203</v>
      </c>
      <c r="F3897" t="s">
        <v>6204</v>
      </c>
    </row>
    <row r="3898" spans="1:6" x14ac:dyDescent="0.3">
      <c r="A3898" t="s">
        <v>6205</v>
      </c>
      <c r="B3898" t="str" cm="1">
        <f t="array" ref="B3898">_xlfn.XLOOKUP(C3898, INDEX([2]!카테고리매핑,,2), INDEX([2]!카테고리매핑,,1), "미등록 카테고리")</f>
        <v>간편식</v>
      </c>
      <c r="C3898" t="s">
        <v>131</v>
      </c>
      <c r="D3898" t="str">
        <f>VLOOKUP(C3898, '[2]VLOOKUP 함수용 카테고리'!$A$1:$B$59, 2, 0)</f>
        <v>SIMPLE_PROCESSED</v>
      </c>
      <c r="E3898" t="s">
        <v>3644</v>
      </c>
    </row>
    <row r="3899" spans="1:6" x14ac:dyDescent="0.3">
      <c r="A3899" t="s">
        <v>6206</v>
      </c>
      <c r="B3899" t="str" cm="1">
        <f t="array" ref="B3899">_xlfn.XLOOKUP(C3899, INDEX([2]!카테고리매핑,,2), INDEX([2]!카테고리매핑,,1), "미등록 카테고리")</f>
        <v>채소/곡물류</v>
      </c>
      <c r="C3899" t="s">
        <v>301</v>
      </c>
      <c r="D3899" t="str">
        <f>VLOOKUP(C3899, '[2]VLOOKUP 함수용 카테고리'!$A$1:$B$59, 2, 0)</f>
        <v>GRAIN</v>
      </c>
      <c r="E3899" t="s">
        <v>2023</v>
      </c>
      <c r="F3899" t="s">
        <v>6207</v>
      </c>
    </row>
    <row r="3900" spans="1:6" x14ac:dyDescent="0.3">
      <c r="A3900" t="s">
        <v>6208</v>
      </c>
      <c r="B3900" t="str" cm="1">
        <f t="array" ref="B3900">_xlfn.XLOOKUP(C3900, INDEX([2]!카테고리매핑,,2), INDEX([2]!카테고리매핑,,1), "미등록 카테고리")</f>
        <v>조미료</v>
      </c>
      <c r="C3900" t="s">
        <v>127</v>
      </c>
      <c r="D3900" t="str">
        <f>VLOOKUP(C3900, '[2]VLOOKUP 함수용 카테고리'!$A$1:$B$59, 2, 0)</f>
        <v>SAUCE_SEASONING</v>
      </c>
      <c r="E3900" t="s">
        <v>248</v>
      </c>
      <c r="F3900" t="s">
        <v>1661</v>
      </c>
    </row>
    <row r="3901" spans="1:6" x14ac:dyDescent="0.3">
      <c r="A3901" t="s">
        <v>6209</v>
      </c>
      <c r="B3901" t="str" cm="1">
        <f t="array" ref="B3901">_xlfn.XLOOKUP(C3901, INDEX([2]!카테고리매핑,,2), INDEX([2]!카테고리매핑,,1), "미등록 카테고리")</f>
        <v>간편식</v>
      </c>
      <c r="C3901" t="s">
        <v>256</v>
      </c>
      <c r="D3901" t="str">
        <f>VLOOKUP(C3901, '[2]VLOOKUP 함수용 카테고리'!$A$1:$B$59, 2, 0)</f>
        <v>RTC_MEAL</v>
      </c>
      <c r="E3901" t="s">
        <v>256</v>
      </c>
      <c r="F3901" t="s">
        <v>5119</v>
      </c>
    </row>
    <row r="3902" spans="1:6" x14ac:dyDescent="0.3">
      <c r="A3902" t="s">
        <v>6210</v>
      </c>
      <c r="B3902" t="str" cm="1">
        <f t="array" ref="B3902">_xlfn.XLOOKUP(C3902, INDEX([2]!카테고리매핑,,2), INDEX([2]!카테고리매핑,,1), "미등록 카테고리")</f>
        <v>간편식</v>
      </c>
      <c r="C3902" t="s">
        <v>46</v>
      </c>
      <c r="D3902" t="str">
        <f>VLOOKUP(C3902, '[2]VLOOKUP 함수용 카테고리'!$A$1:$B$59, 2, 0)</f>
        <v>RTC_MEAL</v>
      </c>
      <c r="E3902" t="s">
        <v>46</v>
      </c>
      <c r="F3902" t="s">
        <v>156</v>
      </c>
    </row>
    <row r="3903" spans="1:6" x14ac:dyDescent="0.3">
      <c r="A3903" t="s">
        <v>6211</v>
      </c>
      <c r="B3903" t="str" cm="1">
        <f t="array" ref="B3903">_xlfn.XLOOKUP(C3903, INDEX([2]!카테고리매핑,,2), INDEX([2]!카테고리매핑,,1), "미등록 카테고리")</f>
        <v>간편식</v>
      </c>
      <c r="C3903" t="s">
        <v>131</v>
      </c>
      <c r="D3903" t="str">
        <f>VLOOKUP(C3903, '[2]VLOOKUP 함수용 카테고리'!$A$1:$B$59, 2, 0)</f>
        <v>SIMPLE_PROCESSED</v>
      </c>
      <c r="E3903" t="s">
        <v>1266</v>
      </c>
      <c r="F3903" t="s">
        <v>133</v>
      </c>
    </row>
    <row r="3904" spans="1:6" x14ac:dyDescent="0.3">
      <c r="A3904" t="s">
        <v>6212</v>
      </c>
      <c r="B3904" t="str" cm="1">
        <f t="array" ref="B3904">_xlfn.XLOOKUP(C3904, INDEX([2]!카테고리매핑,,2), INDEX([2]!카테고리매핑,,1), "미등록 카테고리")</f>
        <v>조미료</v>
      </c>
      <c r="C3904" t="s">
        <v>83</v>
      </c>
      <c r="D3904" t="str">
        <f>VLOOKUP(C3904, '[2]VLOOKUP 함수용 카테고리'!$A$1:$B$59, 2, 0)</f>
        <v>SAUCE_SEASONING</v>
      </c>
      <c r="E3904" t="s">
        <v>2056</v>
      </c>
      <c r="F3904" t="s">
        <v>182</v>
      </c>
    </row>
    <row r="3905" spans="1:6" x14ac:dyDescent="0.3">
      <c r="A3905" t="s">
        <v>6213</v>
      </c>
      <c r="B3905" t="str" cm="1">
        <f t="array" ref="B3905">_xlfn.XLOOKUP(C3905, INDEX([2]!카테고리매핑,,2), INDEX([2]!카테고리매핑,,1), "미등록 카테고리")</f>
        <v>간편식</v>
      </c>
      <c r="C3905" t="s">
        <v>46</v>
      </c>
      <c r="D3905" t="str">
        <f>VLOOKUP(C3905, '[2]VLOOKUP 함수용 카테고리'!$A$1:$B$59, 2, 0)</f>
        <v>RTC_MEAL</v>
      </c>
      <c r="E3905" t="s">
        <v>46</v>
      </c>
      <c r="F3905" t="s">
        <v>3841</v>
      </c>
    </row>
    <row r="3906" spans="1:6" x14ac:dyDescent="0.3">
      <c r="A3906" t="s">
        <v>6214</v>
      </c>
      <c r="B3906" t="str" cm="1">
        <f t="array" ref="B3906">_xlfn.XLOOKUP(C3906, INDEX([2]!카테고리매핑,,2), INDEX([2]!카테고리매핑,,1), "미등록 카테고리")</f>
        <v>수산물</v>
      </c>
      <c r="C3906" t="s">
        <v>1397</v>
      </c>
      <c r="D3906" t="str">
        <f>VLOOKUP(C3906, '[2]VLOOKUP 함수용 카테고리'!$A$1:$B$59, 2, 0)</f>
        <v>RAW_SEAFOOD</v>
      </c>
      <c r="E3906" t="s">
        <v>6215</v>
      </c>
      <c r="F3906" t="s">
        <v>4191</v>
      </c>
    </row>
    <row r="3907" spans="1:6" x14ac:dyDescent="0.3">
      <c r="A3907" t="s">
        <v>6216</v>
      </c>
      <c r="B3907" t="str" cm="1">
        <f t="array" ref="B3907">_xlfn.XLOOKUP(C3907, INDEX([2]!카테고리매핑,,2), INDEX([2]!카테고리매핑,,1), "미등록 카테고리")</f>
        <v>음료</v>
      </c>
      <c r="C3907" t="s">
        <v>23</v>
      </c>
      <c r="D3907" t="str">
        <f>VLOOKUP(C3907, '[2]VLOOKUP 함수용 카테고리'!$A$1:$B$59, 2, 0)</f>
        <v>BEVERAGE</v>
      </c>
      <c r="E3907" t="s">
        <v>7651</v>
      </c>
      <c r="F3907" t="s">
        <v>7697</v>
      </c>
    </row>
    <row r="3908" spans="1:6" x14ac:dyDescent="0.3">
      <c r="A3908" t="s">
        <v>6217</v>
      </c>
      <c r="B3908" t="str" cm="1">
        <f t="array" ref="B3908">_xlfn.XLOOKUP(C3908, INDEX([2]!카테고리매핑,,2), INDEX([2]!카테고리매핑,,1), "미등록 카테고리")</f>
        <v>육류/계란</v>
      </c>
      <c r="C3908" t="s">
        <v>105</v>
      </c>
      <c r="D3908" t="str">
        <f>VLOOKUP(C3908, '[2]VLOOKUP 함수용 카테고리'!$A$1:$B$59, 2, 0)</f>
        <v>RAW_MEAT</v>
      </c>
      <c r="E3908" t="s">
        <v>294</v>
      </c>
      <c r="F3908" t="s">
        <v>2072</v>
      </c>
    </row>
    <row r="3909" spans="1:6" x14ac:dyDescent="0.3">
      <c r="A3909" t="s">
        <v>6218</v>
      </c>
      <c r="B3909" t="str" cm="1">
        <f t="array" ref="B3909">_xlfn.XLOOKUP(C3909, INDEX([2]!카테고리매핑,,2), INDEX([2]!카테고리매핑,,1), "미등록 카테고리")</f>
        <v>채소/곡물류</v>
      </c>
      <c r="C3909" t="s">
        <v>7</v>
      </c>
      <c r="D3909" t="str">
        <f>VLOOKUP(C3909, '[2]VLOOKUP 함수용 카테고리'!$A$1:$B$59, 2, 0)</f>
        <v>RAW_PRODUCE</v>
      </c>
      <c r="E3909" t="s">
        <v>188</v>
      </c>
    </row>
    <row r="3910" spans="1:6" x14ac:dyDescent="0.3">
      <c r="A3910" t="s">
        <v>6219</v>
      </c>
      <c r="B3910" t="str" cm="1">
        <f t="array" ref="B3910">_xlfn.XLOOKUP(C3910, INDEX([2]!카테고리매핑,,2), INDEX([2]!카테고리매핑,,1), "미등록 카테고리")</f>
        <v>조미료</v>
      </c>
      <c r="C3910" t="s">
        <v>127</v>
      </c>
      <c r="D3910" t="str">
        <f>VLOOKUP(C3910, '[2]VLOOKUP 함수용 카테고리'!$A$1:$B$59, 2, 0)</f>
        <v>SAUCE_SEASONING</v>
      </c>
      <c r="E3910" t="s">
        <v>903</v>
      </c>
      <c r="F3910" t="s">
        <v>6220</v>
      </c>
    </row>
    <row r="3911" spans="1:6" x14ac:dyDescent="0.3">
      <c r="A3911" t="s">
        <v>6221</v>
      </c>
      <c r="B3911" t="str" cm="1">
        <f t="array" ref="B3911">_xlfn.XLOOKUP(C3911, INDEX([2]!카테고리매핑,,2), INDEX([2]!카테고리매핑,,1), "미등록 카테고리")</f>
        <v>간편식</v>
      </c>
      <c r="C3911" t="s">
        <v>256</v>
      </c>
      <c r="D3911" t="str">
        <f>VLOOKUP(C3911, '[2]VLOOKUP 함수용 카테고리'!$A$1:$B$59, 2, 0)</f>
        <v>RTC_MEAL</v>
      </c>
      <c r="E3911" t="s">
        <v>256</v>
      </c>
      <c r="F3911" t="s">
        <v>1996</v>
      </c>
    </row>
    <row r="3912" spans="1:6" x14ac:dyDescent="0.3">
      <c r="A3912" t="s">
        <v>6222</v>
      </c>
      <c r="B3912" t="str" cm="1">
        <f t="array" ref="B3912">_xlfn.XLOOKUP(C3912, INDEX([2]!카테고리매핑,,2), INDEX([2]!카테고리매핑,,1), "미등록 카테고리")</f>
        <v>간편식</v>
      </c>
      <c r="C3912" t="s">
        <v>19</v>
      </c>
      <c r="D3912" t="str">
        <f>VLOOKUP(C3912, '[2]VLOOKUP 함수용 카테고리'!$A$1:$B$59, 2, 0)</f>
        <v>FROZEN_MEAL</v>
      </c>
      <c r="E3912" t="s">
        <v>20</v>
      </c>
      <c r="F3912" t="s">
        <v>36</v>
      </c>
    </row>
    <row r="3913" spans="1:6" x14ac:dyDescent="0.3">
      <c r="A3913" t="s">
        <v>6223</v>
      </c>
      <c r="B3913" t="str" cm="1">
        <f t="array" ref="B3913">_xlfn.XLOOKUP(C3913, INDEX([2]!카테고리매핑,,2), INDEX([2]!카테고리매핑,,1), "미등록 카테고리")</f>
        <v>수산물</v>
      </c>
      <c r="C3913" t="s">
        <v>183</v>
      </c>
      <c r="D3913" t="str">
        <f>VLOOKUP(C3913, '[2]VLOOKUP 함수용 카테고리'!$A$1:$B$59, 2, 0)</f>
        <v>DRIED_SEAFOOD</v>
      </c>
      <c r="E3913" t="s">
        <v>184</v>
      </c>
      <c r="F3913" t="s">
        <v>2502</v>
      </c>
    </row>
    <row r="3914" spans="1:6" x14ac:dyDescent="0.3">
      <c r="A3914" t="s">
        <v>6224</v>
      </c>
      <c r="B3914" t="str" cm="1">
        <f t="array" ref="B3914">_xlfn.XLOOKUP(C3914, INDEX([2]!카테고리매핑,,2), INDEX([2]!카테고리매핑,,1), "미등록 카테고리")</f>
        <v>간편식</v>
      </c>
      <c r="C3914" t="s">
        <v>256</v>
      </c>
      <c r="D3914" t="str">
        <f>VLOOKUP(C3914, '[2]VLOOKUP 함수용 카테고리'!$A$1:$B$59, 2, 0)</f>
        <v>RTC_MEAL</v>
      </c>
      <c r="E3914" t="s">
        <v>256</v>
      </c>
      <c r="F3914" t="s">
        <v>6225</v>
      </c>
    </row>
    <row r="3915" spans="1:6" x14ac:dyDescent="0.3">
      <c r="A3915" t="s">
        <v>6226</v>
      </c>
      <c r="B3915" t="str" cm="1">
        <f t="array" ref="B3915">_xlfn.XLOOKUP(C3915, INDEX([2]!카테고리매핑,,2), INDEX([2]!카테고리매핑,,1), "미등록 카테고리")</f>
        <v>음료</v>
      </c>
      <c r="C3915" t="s">
        <v>23</v>
      </c>
      <c r="D3915" t="str">
        <f>VLOOKUP(C3915, '[2]VLOOKUP 함수용 카테고리'!$A$1:$B$59, 2, 0)</f>
        <v>BEVERAGE</v>
      </c>
      <c r="E3915" t="s">
        <v>355</v>
      </c>
      <c r="F3915" t="s">
        <v>356</v>
      </c>
    </row>
    <row r="3916" spans="1:6" x14ac:dyDescent="0.3">
      <c r="A3916" t="s">
        <v>6227</v>
      </c>
      <c r="B3916" t="str" cm="1">
        <f t="array" ref="B3916">_xlfn.XLOOKUP(C3916, INDEX([2]!카테고리매핑,,2), INDEX([2]!카테고리매핑,,1), "미등록 카테고리")</f>
        <v>간식류</v>
      </c>
      <c r="C3916" t="s">
        <v>15</v>
      </c>
      <c r="D3916" t="str">
        <f>VLOOKUP(C3916, '[2]VLOOKUP 함수용 카테고리'!$A$1:$B$59, 2, 0)</f>
        <v>BAKERY</v>
      </c>
      <c r="E3916" t="s">
        <v>499</v>
      </c>
      <c r="F3916" t="s">
        <v>7880</v>
      </c>
    </row>
    <row r="3917" spans="1:6" x14ac:dyDescent="0.3">
      <c r="A3917" t="s">
        <v>6228</v>
      </c>
      <c r="B3917" t="str" cm="1">
        <f t="array" ref="B3917">_xlfn.XLOOKUP(C3917, INDEX([2]!카테고리매핑,,2), INDEX([2]!카테고리매핑,,1), "미등록 카테고리")</f>
        <v>채소/곡물류</v>
      </c>
      <c r="C3917" t="s">
        <v>7</v>
      </c>
      <c r="D3917" t="str">
        <f>VLOOKUP(C3917, '[2]VLOOKUP 함수용 카테고리'!$A$1:$B$59, 2, 0)</f>
        <v>RAW_PRODUCE</v>
      </c>
      <c r="E3917" t="s">
        <v>2053</v>
      </c>
    </row>
    <row r="3918" spans="1:6" x14ac:dyDescent="0.3">
      <c r="A3918" t="s">
        <v>6229</v>
      </c>
      <c r="B3918" t="str" cm="1">
        <f t="array" ref="B3918">_xlfn.XLOOKUP(C3918, INDEX([2]!카테고리매핑,,2), INDEX([2]!카테고리매핑,,1), "미등록 카테고리")</f>
        <v>과일/견과류</v>
      </c>
      <c r="C3918" t="s">
        <v>1179</v>
      </c>
      <c r="D3918" t="str">
        <f>VLOOKUP(C3918, '[2]VLOOKUP 함수용 카테고리'!$A$1:$B$59, 2, 0)</f>
        <v>RAW_FRUIT</v>
      </c>
      <c r="E3918" t="s">
        <v>2095</v>
      </c>
      <c r="F3918" t="s">
        <v>7881</v>
      </c>
    </row>
    <row r="3919" spans="1:6" x14ac:dyDescent="0.3">
      <c r="A3919" t="s">
        <v>6230</v>
      </c>
      <c r="B3919" t="str" cm="1">
        <f t="array" ref="B3919">_xlfn.XLOOKUP(C3919, INDEX([2]!카테고리매핑,,2), INDEX([2]!카테고리매핑,,1), "미등록 카테고리")</f>
        <v>간식류</v>
      </c>
      <c r="C3919" t="s">
        <v>11</v>
      </c>
      <c r="D3919" t="str">
        <f>VLOOKUP(C3919, '[2]VLOOKUP 함수용 카테고리'!$A$1:$B$59, 2, 0)</f>
        <v>SNACK</v>
      </c>
      <c r="E3919" t="s">
        <v>1775</v>
      </c>
      <c r="F3919" t="s">
        <v>7882</v>
      </c>
    </row>
    <row r="3920" spans="1:6" x14ac:dyDescent="0.3">
      <c r="A3920" t="s">
        <v>6231</v>
      </c>
      <c r="B3920" t="str" cm="1">
        <f t="array" ref="B3920">_xlfn.XLOOKUP(C3920, INDEX([2]!카테고리매핑,,2), INDEX([2]!카테고리매핑,,1), "미등록 카테고리")</f>
        <v>조미료</v>
      </c>
      <c r="C3920" t="s">
        <v>127</v>
      </c>
      <c r="D3920" t="str">
        <f>VLOOKUP(C3920, '[2]VLOOKUP 함수용 카테고리'!$A$1:$B$59, 2, 0)</f>
        <v>SAUCE_SEASONING</v>
      </c>
      <c r="E3920" t="s">
        <v>248</v>
      </c>
      <c r="F3920" t="s">
        <v>6232</v>
      </c>
    </row>
    <row r="3921" spans="1:6" x14ac:dyDescent="0.3">
      <c r="A3921" t="s">
        <v>6233</v>
      </c>
      <c r="B3921" t="str" cm="1">
        <f t="array" ref="B3921">_xlfn.XLOOKUP(C3921, INDEX([2]!카테고리매핑,,2), INDEX([2]!카테고리매핑,,1), "미등록 카테고리")</f>
        <v>간편식</v>
      </c>
      <c r="C3921" t="s">
        <v>131</v>
      </c>
      <c r="D3921" t="str">
        <f>VLOOKUP(C3921, '[2]VLOOKUP 함수용 카테고리'!$A$1:$B$59, 2, 0)</f>
        <v>SIMPLE_PROCESSED</v>
      </c>
      <c r="E3921" t="s">
        <v>132</v>
      </c>
      <c r="F3921" t="s">
        <v>133</v>
      </c>
    </row>
    <row r="3922" spans="1:6" x14ac:dyDescent="0.3">
      <c r="A3922" t="s">
        <v>6234</v>
      </c>
      <c r="B3922" t="str" cm="1">
        <f t="array" ref="B3922">_xlfn.XLOOKUP(C3922, INDEX([2]!카테고리매핑,,2), INDEX([2]!카테고리매핑,,1), "미등록 카테고리")</f>
        <v>간식류</v>
      </c>
      <c r="C3922" t="s">
        <v>38</v>
      </c>
      <c r="D3922" t="str">
        <f>VLOOKUP(C3922, '[2]VLOOKUP 함수용 카테고리'!$A$1:$B$59, 2, 0)</f>
        <v>SNACK</v>
      </c>
      <c r="E3922" t="s">
        <v>39</v>
      </c>
      <c r="F3922" t="s">
        <v>54</v>
      </c>
    </row>
    <row r="3923" spans="1:6" x14ac:dyDescent="0.3">
      <c r="A3923" t="s">
        <v>6235</v>
      </c>
      <c r="B3923" t="str" cm="1">
        <f t="array" ref="B3923">_xlfn.XLOOKUP(C3923, INDEX([2]!카테고리매핑,,2), INDEX([2]!카테고리매핑,,1), "미등록 카테고리")</f>
        <v>유제품</v>
      </c>
      <c r="C3923" t="s">
        <v>98</v>
      </c>
      <c r="D3923" t="str">
        <f>VLOOKUP(C3923, '[2]VLOOKUP 함수용 카테고리'!$A$1:$B$59, 2, 0)</f>
        <v>DAIRY</v>
      </c>
      <c r="E3923" t="s">
        <v>98</v>
      </c>
      <c r="F3923" t="s">
        <v>1014</v>
      </c>
    </row>
    <row r="3924" spans="1:6" x14ac:dyDescent="0.3">
      <c r="A3924" t="s">
        <v>6236</v>
      </c>
      <c r="B3924" t="str" cm="1">
        <f t="array" ref="B3924">_xlfn.XLOOKUP(C3924, INDEX([2]!카테고리매핑,,2), INDEX([2]!카테고리매핑,,1), "미등록 카테고리")</f>
        <v>간식류</v>
      </c>
      <c r="C3924" t="s">
        <v>38</v>
      </c>
      <c r="D3924" t="str">
        <f>VLOOKUP(C3924, '[2]VLOOKUP 함수용 카테고리'!$A$1:$B$59, 2, 0)</f>
        <v>SNACK</v>
      </c>
      <c r="E3924" t="s">
        <v>179</v>
      </c>
      <c r="F3924" t="s">
        <v>442</v>
      </c>
    </row>
    <row r="3925" spans="1:6" x14ac:dyDescent="0.3">
      <c r="A3925" t="s">
        <v>6237</v>
      </c>
      <c r="B3925" t="str" cm="1">
        <f t="array" ref="B3925">_xlfn.XLOOKUP(C3925, INDEX([2]!카테고리매핑,,2), INDEX([2]!카테고리매핑,,1), "미등록 카테고리")</f>
        <v>간식류</v>
      </c>
      <c r="C3925" t="s">
        <v>38</v>
      </c>
      <c r="D3925" t="str">
        <f>VLOOKUP(C3925, '[2]VLOOKUP 함수용 카테고리'!$A$1:$B$59, 2, 0)</f>
        <v>SNACK</v>
      </c>
      <c r="E3925" t="s">
        <v>179</v>
      </c>
      <c r="F3925" t="s">
        <v>6238</v>
      </c>
    </row>
    <row r="3926" spans="1:6" x14ac:dyDescent="0.3">
      <c r="A3926" t="s">
        <v>6239</v>
      </c>
      <c r="B3926" t="str" cm="1">
        <f t="array" ref="B3926">_xlfn.XLOOKUP(C3926, INDEX([2]!카테고리매핑,,2), INDEX([2]!카테고리매핑,,1), "미등록 카테고리")</f>
        <v>수산물</v>
      </c>
      <c r="C3926" t="s">
        <v>203</v>
      </c>
      <c r="D3926" t="str">
        <f>VLOOKUP(C3926, '[2]VLOOKUP 함수용 카테고리'!$A$1:$B$59, 2, 0)</f>
        <v>RAW_SEAFOOD</v>
      </c>
      <c r="E3926" t="s">
        <v>1801</v>
      </c>
      <c r="F3926" t="s">
        <v>1802</v>
      </c>
    </row>
    <row r="3927" spans="1:6" x14ac:dyDescent="0.3">
      <c r="A3927" t="s">
        <v>6240</v>
      </c>
      <c r="B3927" t="str" cm="1">
        <f t="array" ref="B3927">_xlfn.XLOOKUP(C3927, INDEX([2]!카테고리매핑,,2), INDEX([2]!카테고리매핑,,1), "미등록 카테고리")</f>
        <v>간식류</v>
      </c>
      <c r="C3927" t="s">
        <v>15</v>
      </c>
      <c r="D3927" t="str">
        <f>VLOOKUP(C3927, '[2]VLOOKUP 함수용 카테고리'!$A$1:$B$59, 2, 0)</f>
        <v>BAKERY</v>
      </c>
      <c r="E3927" t="s">
        <v>200</v>
      </c>
      <c r="F3927" t="s">
        <v>2858</v>
      </c>
    </row>
    <row r="3928" spans="1:6" x14ac:dyDescent="0.3">
      <c r="A3928" t="s">
        <v>6241</v>
      </c>
      <c r="B3928" t="str" cm="1">
        <f t="array" ref="B3928">_xlfn.XLOOKUP(C3928, INDEX([2]!카테고리매핑,,2), INDEX([2]!카테고리매핑,,1), "미등록 카테고리")</f>
        <v>간식류</v>
      </c>
      <c r="C3928" t="s">
        <v>15</v>
      </c>
      <c r="D3928" t="str">
        <f>VLOOKUP(C3928, '[2]VLOOKUP 함수용 카테고리'!$A$1:$B$59, 2, 0)</f>
        <v>BAKERY</v>
      </c>
      <c r="E3928" t="s">
        <v>200</v>
      </c>
      <c r="F3928" t="s">
        <v>1552</v>
      </c>
    </row>
    <row r="3929" spans="1:6" x14ac:dyDescent="0.3">
      <c r="A3929" t="s">
        <v>6242</v>
      </c>
      <c r="B3929" t="str" cm="1">
        <f t="array" ref="B3929">_xlfn.XLOOKUP(C3929, INDEX([2]!카테고리매핑,,2), INDEX([2]!카테고리매핑,,1), "미등록 카테고리")</f>
        <v>간식류</v>
      </c>
      <c r="C3929" t="s">
        <v>15</v>
      </c>
      <c r="D3929" t="str">
        <f>VLOOKUP(C3929, '[2]VLOOKUP 함수용 카테고리'!$A$1:$B$59, 2, 0)</f>
        <v>BAKERY</v>
      </c>
      <c r="E3929" t="s">
        <v>2600</v>
      </c>
      <c r="F3929" t="s">
        <v>7883</v>
      </c>
    </row>
    <row r="3930" spans="1:6" x14ac:dyDescent="0.3">
      <c r="A3930" t="s">
        <v>6243</v>
      </c>
      <c r="B3930" t="str" cm="1">
        <f t="array" ref="B3930">_xlfn.XLOOKUP(C3930, INDEX([2]!카테고리매핑,,2), INDEX([2]!카테고리매핑,,1), "미등록 카테고리")</f>
        <v>조미료</v>
      </c>
      <c r="C3930" t="s">
        <v>84</v>
      </c>
      <c r="D3930" t="str">
        <f>VLOOKUP(C3930, '[2]VLOOKUP 함수용 카테고리'!$A$1:$B$59, 2, 0)</f>
        <v>SAUCE_SEASONING</v>
      </c>
      <c r="E3930" t="s">
        <v>619</v>
      </c>
      <c r="F3930" t="s">
        <v>7884</v>
      </c>
    </row>
    <row r="3931" spans="1:6" x14ac:dyDescent="0.3">
      <c r="A3931" t="s">
        <v>6244</v>
      </c>
      <c r="B3931" t="str" cm="1">
        <f t="array" ref="B3931">_xlfn.XLOOKUP(C3931, INDEX([2]!카테고리매핑,,2), INDEX([2]!카테고리매핑,,1), "미등록 카테고리")</f>
        <v>간식류</v>
      </c>
      <c r="C3931" t="s">
        <v>63</v>
      </c>
      <c r="D3931" t="str">
        <f>VLOOKUP(C3931, '[2]VLOOKUP 함수용 카테고리'!$A$1:$B$59, 2, 0)</f>
        <v>BAKERY</v>
      </c>
      <c r="E3931" t="s">
        <v>6245</v>
      </c>
      <c r="F3931" t="s">
        <v>54</v>
      </c>
    </row>
    <row r="3932" spans="1:6" x14ac:dyDescent="0.3">
      <c r="A3932" t="s">
        <v>6246</v>
      </c>
      <c r="B3932" t="str" cm="1">
        <f t="array" ref="B3932">_xlfn.XLOOKUP(C3932, INDEX([2]!카테고리매핑,,2), INDEX([2]!카테고리매핑,,1), "미등록 카테고리")</f>
        <v>육류/계란</v>
      </c>
      <c r="C3932" t="s">
        <v>428</v>
      </c>
      <c r="D3932" t="str">
        <f>VLOOKUP(C3932, '[2]VLOOKUP 함수용 카테고리'!$A$1:$B$59, 2, 0)</f>
        <v>PROCESSED_MEAT</v>
      </c>
      <c r="E3932" t="s">
        <v>790</v>
      </c>
      <c r="F3932" t="s">
        <v>1834</v>
      </c>
    </row>
    <row r="3933" spans="1:6" x14ac:dyDescent="0.3">
      <c r="A3933" t="s">
        <v>6247</v>
      </c>
      <c r="B3933" t="str" cm="1">
        <f t="array" ref="B3933">_xlfn.XLOOKUP(C3933, INDEX([2]!카테고리매핑,,2), INDEX([2]!카테고리매핑,,1), "미등록 카테고리")</f>
        <v>간식류</v>
      </c>
      <c r="C3933" t="s">
        <v>11</v>
      </c>
      <c r="D3933" t="str">
        <f>VLOOKUP(C3933, '[2]VLOOKUP 함수용 카테고리'!$A$1:$B$59, 2, 0)</f>
        <v>SNACK</v>
      </c>
      <c r="E3933" t="s">
        <v>4853</v>
      </c>
      <c r="F3933" t="s">
        <v>2115</v>
      </c>
    </row>
    <row r="3934" spans="1:6" x14ac:dyDescent="0.3">
      <c r="A3934" t="s">
        <v>6248</v>
      </c>
      <c r="B3934" t="str" cm="1">
        <f t="array" ref="B3934">_xlfn.XLOOKUP(C3934, INDEX([2]!카테고리매핑,,2), INDEX([2]!카테고리매핑,,1), "미등록 카테고리")</f>
        <v>간편식</v>
      </c>
      <c r="C3934" t="s">
        <v>19</v>
      </c>
      <c r="D3934" t="str">
        <f>VLOOKUP(C3934, '[2]VLOOKUP 함수용 카테고리'!$A$1:$B$59, 2, 0)</f>
        <v>FROZEN_MEAL</v>
      </c>
      <c r="E3934" t="s">
        <v>993</v>
      </c>
      <c r="F3934" t="s">
        <v>632</v>
      </c>
    </row>
    <row r="3935" spans="1:6" x14ac:dyDescent="0.3">
      <c r="A3935" t="s">
        <v>6249</v>
      </c>
      <c r="B3935" t="str" cm="1">
        <f t="array" ref="B3935">_xlfn.XLOOKUP(C3935, INDEX([2]!카테고리매핑,,2), INDEX([2]!카테고리매핑,,1), "미등록 카테고리")</f>
        <v>과일/견과류</v>
      </c>
      <c r="C3935" t="s">
        <v>1179</v>
      </c>
      <c r="D3935" t="str">
        <f>VLOOKUP(C3935, '[2]VLOOKUP 함수용 카테고리'!$A$1:$B$59, 2, 0)</f>
        <v>RAW_FRUIT</v>
      </c>
      <c r="E3935" t="s">
        <v>1180</v>
      </c>
      <c r="F3935" t="s">
        <v>350</v>
      </c>
    </row>
    <row r="3936" spans="1:6" x14ac:dyDescent="0.3">
      <c r="A3936" t="s">
        <v>6250</v>
      </c>
      <c r="B3936" t="str" cm="1">
        <f t="array" ref="B3936">_xlfn.XLOOKUP(C3936, INDEX([2]!카테고리매핑,,2), INDEX([2]!카테고리매핑,,1), "미등록 카테고리")</f>
        <v>유제품</v>
      </c>
      <c r="C3936" t="s">
        <v>98</v>
      </c>
      <c r="D3936" t="str">
        <f>VLOOKUP(C3936, '[2]VLOOKUP 함수용 카테고리'!$A$1:$B$59, 2, 0)</f>
        <v>DAIRY</v>
      </c>
      <c r="E3936" t="s">
        <v>1466</v>
      </c>
      <c r="F3936" t="s">
        <v>6251</v>
      </c>
    </row>
    <row r="3937" spans="1:6" x14ac:dyDescent="0.3">
      <c r="A3937" t="s">
        <v>6252</v>
      </c>
      <c r="B3937" t="str" cm="1">
        <f t="array" ref="B3937">_xlfn.XLOOKUP(C3937, INDEX([2]!카테고리매핑,,2), INDEX([2]!카테고리매핑,,1), "미등록 카테고리")</f>
        <v>간식류</v>
      </c>
      <c r="C3937" t="s">
        <v>11</v>
      </c>
      <c r="D3937" t="str">
        <f>VLOOKUP(C3937, '[2]VLOOKUP 함수용 카테고리'!$A$1:$B$59, 2, 0)</f>
        <v>SNACK</v>
      </c>
      <c r="E3937" t="s">
        <v>2846</v>
      </c>
      <c r="F3937" t="s">
        <v>2161</v>
      </c>
    </row>
    <row r="3938" spans="1:6" x14ac:dyDescent="0.3">
      <c r="A3938" t="s">
        <v>6253</v>
      </c>
      <c r="B3938" t="str" cm="1">
        <f t="array" ref="B3938">_xlfn.XLOOKUP(C3938, INDEX([2]!카테고리매핑,,2), INDEX([2]!카테고리매핑,,1), "미등록 카테고리")</f>
        <v>조미료</v>
      </c>
      <c r="C3938" t="s">
        <v>127</v>
      </c>
      <c r="D3938" t="str">
        <f>VLOOKUP(C3938, '[2]VLOOKUP 함수용 카테고리'!$A$1:$B$59, 2, 0)</f>
        <v>SAUCE_SEASONING</v>
      </c>
      <c r="E3938" t="s">
        <v>2817</v>
      </c>
      <c r="F3938" t="s">
        <v>6254</v>
      </c>
    </row>
    <row r="3939" spans="1:6" x14ac:dyDescent="0.3">
      <c r="A3939" t="s">
        <v>6255</v>
      </c>
      <c r="B3939" t="str" cm="1">
        <f t="array" ref="B3939">_xlfn.XLOOKUP(C3939, INDEX([2]!카테고리매핑,,2), INDEX([2]!카테고리매핑,,1), "미등록 카테고리")</f>
        <v>간식류</v>
      </c>
      <c r="C3939" t="s">
        <v>63</v>
      </c>
      <c r="D3939" t="str">
        <f>VLOOKUP(C3939, '[2]VLOOKUP 함수용 카테고리'!$A$1:$B$59, 2, 0)</f>
        <v>BAKERY</v>
      </c>
      <c r="E3939" t="s">
        <v>2522</v>
      </c>
      <c r="F3939" t="s">
        <v>6256</v>
      </c>
    </row>
    <row r="3940" spans="1:6" x14ac:dyDescent="0.3">
      <c r="A3940" t="s">
        <v>6257</v>
      </c>
      <c r="B3940" t="str" cm="1">
        <f t="array" ref="B3940">_xlfn.XLOOKUP(C3940, INDEX([2]!카테고리매핑,,2), INDEX([2]!카테고리매핑,,1), "미등록 카테고리")</f>
        <v>간편식</v>
      </c>
      <c r="C3940" t="s">
        <v>19</v>
      </c>
      <c r="D3940" t="str">
        <f>VLOOKUP(C3940, '[2]VLOOKUP 함수용 카테고리'!$A$1:$B$59, 2, 0)</f>
        <v>FROZEN_MEAL</v>
      </c>
      <c r="E3940" t="s">
        <v>6258</v>
      </c>
      <c r="F3940" t="s">
        <v>7885</v>
      </c>
    </row>
    <row r="3941" spans="1:6" x14ac:dyDescent="0.3">
      <c r="A3941" t="s">
        <v>6259</v>
      </c>
      <c r="B3941" t="str" cm="1">
        <f t="array" ref="B3941">_xlfn.XLOOKUP(C3941, INDEX([2]!카테고리매핑,,2), INDEX([2]!카테고리매핑,,1), "미등록 카테고리")</f>
        <v>채소/곡물류</v>
      </c>
      <c r="C3941" t="s">
        <v>301</v>
      </c>
      <c r="D3941" t="str">
        <f>VLOOKUP(C3941, '[2]VLOOKUP 함수용 카테고리'!$A$1:$B$59, 2, 0)</f>
        <v>GRAIN</v>
      </c>
      <c r="E3941" t="s">
        <v>611</v>
      </c>
      <c r="F3941" t="s">
        <v>6260</v>
      </c>
    </row>
    <row r="3942" spans="1:6" x14ac:dyDescent="0.3">
      <c r="A3942" t="s">
        <v>6261</v>
      </c>
      <c r="B3942" t="str" cm="1">
        <f t="array" ref="B3942">_xlfn.XLOOKUP(C3942, INDEX([2]!카테고리매핑,,2), INDEX([2]!카테고리매핑,,1), "미등록 카테고리")</f>
        <v>조미료</v>
      </c>
      <c r="C3942" t="s">
        <v>84</v>
      </c>
      <c r="D3942" t="str">
        <f>VLOOKUP(C3942, '[2]VLOOKUP 함수용 카테고리'!$A$1:$B$59, 2, 0)</f>
        <v>SAUCE_SEASONING</v>
      </c>
      <c r="E3942" t="s">
        <v>2623</v>
      </c>
      <c r="F3942" t="s">
        <v>6154</v>
      </c>
    </row>
    <row r="3943" spans="1:6" x14ac:dyDescent="0.3">
      <c r="A3943" t="s">
        <v>6262</v>
      </c>
      <c r="B3943" t="str" cm="1">
        <f t="array" ref="B3943">_xlfn.XLOOKUP(C3943, INDEX([2]!카테고리매핑,,2), INDEX([2]!카테고리매핑,,1), "미등록 카테고리")</f>
        <v>수산물</v>
      </c>
      <c r="C3943" t="s">
        <v>183</v>
      </c>
      <c r="D3943" t="str">
        <f>VLOOKUP(C3943, '[2]VLOOKUP 함수용 카테고리'!$A$1:$B$59, 2, 0)</f>
        <v>DRIED_SEAFOOD</v>
      </c>
      <c r="E3943" t="s">
        <v>466</v>
      </c>
      <c r="F3943" t="s">
        <v>6263</v>
      </c>
    </row>
    <row r="3944" spans="1:6" x14ac:dyDescent="0.3">
      <c r="A3944" t="s">
        <v>6264</v>
      </c>
      <c r="B3944" t="str" cm="1">
        <f t="array" ref="B3944">_xlfn.XLOOKUP(C3944, INDEX([2]!카테고리매핑,,2), INDEX([2]!카테고리매핑,,1), "미등록 카테고리")</f>
        <v>간편식</v>
      </c>
      <c r="C3944" t="s">
        <v>167</v>
      </c>
      <c r="D3944" t="str">
        <f>VLOOKUP(C3944, '[2]VLOOKUP 함수용 카테고리'!$A$1:$B$59, 2, 0)</f>
        <v>INSTANT</v>
      </c>
      <c r="E3944" t="s">
        <v>6265</v>
      </c>
      <c r="F3944" t="s">
        <v>2208</v>
      </c>
    </row>
    <row r="3945" spans="1:6" x14ac:dyDescent="0.3">
      <c r="A3945" t="s">
        <v>6266</v>
      </c>
      <c r="B3945" t="str" cm="1">
        <f t="array" ref="B3945">_xlfn.XLOOKUP(C3945, INDEX([2]!카테고리매핑,,2), INDEX([2]!카테고리매핑,,1), "미등록 카테고리")</f>
        <v>과일/견과류</v>
      </c>
      <c r="C3945" t="s">
        <v>654</v>
      </c>
      <c r="D3945" t="str">
        <f>VLOOKUP(C3945, '[2]VLOOKUP 함수용 카테고리'!$A$1:$B$59, 2, 0)</f>
        <v>RAW_FRUIT</v>
      </c>
      <c r="E3945" t="s">
        <v>1376</v>
      </c>
      <c r="F3945" t="s">
        <v>6267</v>
      </c>
    </row>
    <row r="3946" spans="1:6" x14ac:dyDescent="0.3">
      <c r="A3946" t="s">
        <v>6268</v>
      </c>
      <c r="B3946" t="str" cm="1">
        <f t="array" ref="B3946">_xlfn.XLOOKUP(C3946, INDEX([2]!카테고리매핑,,2), INDEX([2]!카테고리매핑,,1), "미등록 카테고리")</f>
        <v>음료</v>
      </c>
      <c r="C3946" t="s">
        <v>23</v>
      </c>
      <c r="D3946" t="str">
        <f>VLOOKUP(C3946, '[2]VLOOKUP 함수용 카테고리'!$A$1:$B$59, 2, 0)</f>
        <v>BEVERAGE</v>
      </c>
      <c r="E3946" t="s">
        <v>323</v>
      </c>
      <c r="F3946" t="s">
        <v>1600</v>
      </c>
    </row>
    <row r="3947" spans="1:6" x14ac:dyDescent="0.3">
      <c r="A3947" t="s">
        <v>6269</v>
      </c>
      <c r="B3947" t="str" cm="1">
        <f t="array" ref="B3947">_xlfn.XLOOKUP(C3947, INDEX([2]!카테고리매핑,,2), INDEX([2]!카테고리매핑,,1), "미등록 카테고리")</f>
        <v>채소/곡물류</v>
      </c>
      <c r="C3947" t="s">
        <v>7</v>
      </c>
      <c r="D3947" t="str">
        <f>VLOOKUP(C3947, '[2]VLOOKUP 함수용 카테고리'!$A$1:$B$59, 2, 0)</f>
        <v>RAW_PRODUCE</v>
      </c>
      <c r="E3947" t="s">
        <v>2633</v>
      </c>
      <c r="F3947" t="s">
        <v>7737</v>
      </c>
    </row>
    <row r="3948" spans="1:6" x14ac:dyDescent="0.3">
      <c r="A3948" t="s">
        <v>6270</v>
      </c>
      <c r="B3948" t="str" cm="1">
        <f t="array" ref="B3948">_xlfn.XLOOKUP(C3948, INDEX([2]!카테고리매핑,,2), INDEX([2]!카테고리매핑,,1), "미등록 카테고리")</f>
        <v>유제품</v>
      </c>
      <c r="C3948" t="s">
        <v>123</v>
      </c>
      <c r="D3948" t="str">
        <f>VLOOKUP(C3948, '[2]VLOOKUP 함수용 카테고리'!$A$1:$B$59, 2, 0)</f>
        <v>DAIRY</v>
      </c>
      <c r="E3948" t="s">
        <v>239</v>
      </c>
      <c r="F3948" t="s">
        <v>6271</v>
      </c>
    </row>
    <row r="3949" spans="1:6" x14ac:dyDescent="0.3">
      <c r="A3949" t="s">
        <v>6272</v>
      </c>
      <c r="B3949" t="str" cm="1">
        <f t="array" ref="B3949">_xlfn.XLOOKUP(C3949, INDEX([2]!카테고리매핑,,2), INDEX([2]!카테고리매핑,,1), "미등록 카테고리")</f>
        <v>조미료</v>
      </c>
      <c r="C3949" t="s">
        <v>127</v>
      </c>
      <c r="D3949" t="str">
        <f>VLOOKUP(C3949, '[2]VLOOKUP 함수용 카테고리'!$A$1:$B$59, 2, 0)</f>
        <v>SAUCE_SEASONING</v>
      </c>
      <c r="E3949" t="s">
        <v>4872</v>
      </c>
      <c r="F3949" t="s">
        <v>182</v>
      </c>
    </row>
    <row r="3950" spans="1:6" x14ac:dyDescent="0.3">
      <c r="A3950" t="s">
        <v>6273</v>
      </c>
      <c r="B3950" t="str" cm="1">
        <f t="array" ref="B3950">_xlfn.XLOOKUP(C3950, INDEX([2]!카테고리매핑,,2), INDEX([2]!카테고리매핑,,1), "미등록 카테고리")</f>
        <v>간편식</v>
      </c>
      <c r="C3950" t="s">
        <v>46</v>
      </c>
      <c r="D3950" t="str">
        <f>VLOOKUP(C3950, '[2]VLOOKUP 함수용 카테고리'!$A$1:$B$59, 2, 0)</f>
        <v>RTC_MEAL</v>
      </c>
      <c r="E3950" t="s">
        <v>46</v>
      </c>
      <c r="F3950" t="s">
        <v>6274</v>
      </c>
    </row>
    <row r="3951" spans="1:6" x14ac:dyDescent="0.3">
      <c r="A3951" t="s">
        <v>6275</v>
      </c>
      <c r="B3951" t="str" cm="1">
        <f t="array" ref="B3951">_xlfn.XLOOKUP(C3951, INDEX([2]!카테고리매핑,,2), INDEX([2]!카테고리매핑,,1), "미등록 카테고리")</f>
        <v>간식류</v>
      </c>
      <c r="C3951" t="s">
        <v>63</v>
      </c>
      <c r="D3951" t="str">
        <f>VLOOKUP(C3951, '[2]VLOOKUP 함수용 카테고리'!$A$1:$B$59, 2, 0)</f>
        <v>BAKERY</v>
      </c>
      <c r="E3951" t="s">
        <v>2788</v>
      </c>
      <c r="F3951" t="s">
        <v>17</v>
      </c>
    </row>
    <row r="3952" spans="1:6" x14ac:dyDescent="0.3">
      <c r="A3952" t="s">
        <v>2871</v>
      </c>
      <c r="B3952" t="str" cm="1">
        <f t="array" ref="B3952">_xlfn.XLOOKUP(C3952, INDEX([2]!카테고리매핑,,2), INDEX([2]!카테고리매핑,,1), "미등록 카테고리")</f>
        <v>간식류</v>
      </c>
      <c r="C3952" t="s">
        <v>38</v>
      </c>
      <c r="D3952" t="str">
        <f>VLOOKUP(C3952, '[2]VLOOKUP 함수용 카테고리'!$A$1:$B$59, 2, 0)</f>
        <v>SNACK</v>
      </c>
      <c r="E3952" t="s">
        <v>179</v>
      </c>
      <c r="F3952" t="s">
        <v>54</v>
      </c>
    </row>
    <row r="3953" spans="1:6" x14ac:dyDescent="0.3">
      <c r="A3953" t="s">
        <v>6276</v>
      </c>
      <c r="B3953" t="str" cm="1">
        <f t="array" ref="B3953">_xlfn.XLOOKUP(C3953, INDEX([2]!카테고리매핑,,2), INDEX([2]!카테고리매핑,,1), "미등록 카테고리")</f>
        <v>술</v>
      </c>
      <c r="C3953" t="s">
        <v>42</v>
      </c>
      <c r="D3953" t="str">
        <f>VLOOKUP(C3953, '[2]VLOOKUP 함수용 카테고리'!$A$1:$B$59, 2, 0)</f>
        <v>ALCOHOL</v>
      </c>
      <c r="E3953" t="s">
        <v>43</v>
      </c>
      <c r="F3953" t="s">
        <v>59</v>
      </c>
    </row>
    <row r="3954" spans="1:6" x14ac:dyDescent="0.3">
      <c r="A3954" t="s">
        <v>6277</v>
      </c>
      <c r="B3954" t="str" cm="1">
        <f t="array" ref="B3954">_xlfn.XLOOKUP(C3954, INDEX([2]!카테고리매핑,,2), INDEX([2]!카테고리매핑,,1), "미등록 카테고리")</f>
        <v>간편식</v>
      </c>
      <c r="C3954" t="s">
        <v>256</v>
      </c>
      <c r="D3954" t="str">
        <f>VLOOKUP(C3954, '[2]VLOOKUP 함수용 카테고리'!$A$1:$B$59, 2, 0)</f>
        <v>RTC_MEAL</v>
      </c>
      <c r="E3954" t="s">
        <v>256</v>
      </c>
      <c r="F3954" t="s">
        <v>6278</v>
      </c>
    </row>
    <row r="3955" spans="1:6" x14ac:dyDescent="0.3">
      <c r="A3955" t="s">
        <v>6279</v>
      </c>
      <c r="B3955" t="str" cm="1">
        <f t="array" ref="B3955">_xlfn.XLOOKUP(C3955, INDEX([2]!카테고리매핑,,2), INDEX([2]!카테고리매핑,,1), "미등록 카테고리")</f>
        <v>간식류</v>
      </c>
      <c r="C3955" t="s">
        <v>11</v>
      </c>
      <c r="D3955" t="str">
        <f>VLOOKUP(C3955, '[2]VLOOKUP 함수용 카테고리'!$A$1:$B$59, 2, 0)</f>
        <v>SNACK</v>
      </c>
      <c r="E3955" t="s">
        <v>6280</v>
      </c>
      <c r="F3955" t="s">
        <v>6281</v>
      </c>
    </row>
    <row r="3956" spans="1:6" x14ac:dyDescent="0.3">
      <c r="A3956" t="s">
        <v>6282</v>
      </c>
      <c r="B3956" t="str" cm="1">
        <f t="array" ref="B3956">_xlfn.XLOOKUP(C3956, INDEX([2]!카테고리매핑,,2), INDEX([2]!카테고리매핑,,1), "미등록 카테고리")</f>
        <v>간식류</v>
      </c>
      <c r="C3956" t="s">
        <v>15</v>
      </c>
      <c r="D3956" t="str">
        <f>VLOOKUP(C3956, '[2]VLOOKUP 함수용 카테고리'!$A$1:$B$59, 2, 0)</f>
        <v>BAKERY</v>
      </c>
      <c r="E3956" t="s">
        <v>2600</v>
      </c>
      <c r="F3956" t="s">
        <v>2691</v>
      </c>
    </row>
    <row r="3957" spans="1:6" x14ac:dyDescent="0.3">
      <c r="A3957" t="s">
        <v>6283</v>
      </c>
      <c r="B3957" t="str" cm="1">
        <f t="array" ref="B3957">_xlfn.XLOOKUP(C3957, INDEX([2]!카테고리매핑,,2), INDEX([2]!카테고리매핑,,1), "미등록 카테고리")</f>
        <v>수산물</v>
      </c>
      <c r="C3957" t="s">
        <v>1397</v>
      </c>
      <c r="D3957" t="str">
        <f>VLOOKUP(C3957, '[2]VLOOKUP 함수용 카테고리'!$A$1:$B$59, 2, 0)</f>
        <v>RAW_SEAFOOD</v>
      </c>
      <c r="E3957" t="s">
        <v>2607</v>
      </c>
      <c r="F3957" t="s">
        <v>1366</v>
      </c>
    </row>
    <row r="3958" spans="1:6" x14ac:dyDescent="0.3">
      <c r="A3958" t="s">
        <v>6284</v>
      </c>
      <c r="B3958" t="str" cm="1">
        <f t="array" ref="B3958">_xlfn.XLOOKUP(C3958, INDEX([2]!카테고리매핑,,2), INDEX([2]!카테고리매핑,,1), "미등록 카테고리")</f>
        <v>술</v>
      </c>
      <c r="C3958" t="s">
        <v>411</v>
      </c>
      <c r="D3958" t="str">
        <f>VLOOKUP(C3958, '[2]VLOOKUP 함수용 카테고리'!$A$1:$B$59, 2, 0)</f>
        <v>ALCOHOL</v>
      </c>
      <c r="E3958" t="s">
        <v>5575</v>
      </c>
      <c r="F3958" t="s">
        <v>6285</v>
      </c>
    </row>
    <row r="3959" spans="1:6" x14ac:dyDescent="0.3">
      <c r="A3959" t="s">
        <v>6286</v>
      </c>
      <c r="B3959" t="str" cm="1">
        <f t="array" ref="B3959">_xlfn.XLOOKUP(C3959, INDEX([2]!카테고리매핑,,2), INDEX([2]!카테고리매핑,,1), "미등록 카테고리")</f>
        <v>간식류</v>
      </c>
      <c r="C3959" t="s">
        <v>11</v>
      </c>
      <c r="D3959" t="str">
        <f>VLOOKUP(C3959, '[2]VLOOKUP 함수용 카테고리'!$A$1:$B$59, 2, 0)</f>
        <v>SNACK</v>
      </c>
      <c r="E3959" t="s">
        <v>6287</v>
      </c>
      <c r="F3959" t="s">
        <v>6287</v>
      </c>
    </row>
    <row r="3960" spans="1:6" x14ac:dyDescent="0.3">
      <c r="A3960" t="s">
        <v>6288</v>
      </c>
      <c r="B3960" t="str" cm="1">
        <f t="array" ref="B3960">_xlfn.XLOOKUP(C3960, INDEX([2]!카테고리매핑,,2), INDEX([2]!카테고리매핑,,1), "미등록 카테고리")</f>
        <v>조미료</v>
      </c>
      <c r="C3960" t="s">
        <v>558</v>
      </c>
      <c r="D3960" t="str">
        <f>VLOOKUP(C3960, '[2]VLOOKUP 함수용 카테고리'!$A$1:$B$59, 2, 0)</f>
        <v>SAUCE_SEASONING</v>
      </c>
      <c r="E3960" t="s">
        <v>3078</v>
      </c>
      <c r="F3960" t="s">
        <v>1923</v>
      </c>
    </row>
    <row r="3961" spans="1:6" x14ac:dyDescent="0.3">
      <c r="A3961" t="s">
        <v>6289</v>
      </c>
      <c r="B3961" t="str" cm="1">
        <f t="array" ref="B3961">_xlfn.XLOOKUP(C3961, INDEX([2]!카테고리매핑,,2), INDEX([2]!카테고리매핑,,1), "미등록 카테고리")</f>
        <v>수산물</v>
      </c>
      <c r="C3961" t="s">
        <v>263</v>
      </c>
      <c r="D3961" t="str">
        <f>VLOOKUP(C3961, '[2]VLOOKUP 함수용 카테고리'!$A$1:$B$59, 2, 0)</f>
        <v>RAW_SEAFOOD</v>
      </c>
      <c r="E3961" t="s">
        <v>264</v>
      </c>
      <c r="F3961" t="s">
        <v>6290</v>
      </c>
    </row>
    <row r="3962" spans="1:6" x14ac:dyDescent="0.3">
      <c r="A3962" t="s">
        <v>6291</v>
      </c>
      <c r="B3962" t="str" cm="1">
        <f t="array" ref="B3962">_xlfn.XLOOKUP(C3962, INDEX([2]!카테고리매핑,,2), INDEX([2]!카테고리매핑,,1), "미등록 카테고리")</f>
        <v>간식류</v>
      </c>
      <c r="C3962" t="s">
        <v>38</v>
      </c>
      <c r="D3962" t="str">
        <f>VLOOKUP(C3962, '[2]VLOOKUP 함수용 카테고리'!$A$1:$B$59, 2, 0)</f>
        <v>SNACK</v>
      </c>
      <c r="E3962" t="s">
        <v>733</v>
      </c>
      <c r="F3962" t="s">
        <v>733</v>
      </c>
    </row>
    <row r="3963" spans="1:6" x14ac:dyDescent="0.3">
      <c r="A3963" t="s">
        <v>6292</v>
      </c>
      <c r="B3963" t="str" cm="1">
        <f t="array" ref="B3963">_xlfn.XLOOKUP(C3963, INDEX([2]!카테고리매핑,,2), INDEX([2]!카테고리매핑,,1), "미등록 카테고리")</f>
        <v>조미료</v>
      </c>
      <c r="C3963" t="s">
        <v>83</v>
      </c>
      <c r="D3963" t="str">
        <f>VLOOKUP(C3963, '[2]VLOOKUP 함수용 카테고리'!$A$1:$B$59, 2, 0)</f>
        <v>SAUCE_SEASONING</v>
      </c>
      <c r="E3963" t="s">
        <v>7667</v>
      </c>
      <c r="F3963" t="s">
        <v>136</v>
      </c>
    </row>
    <row r="3964" spans="1:6" x14ac:dyDescent="0.3">
      <c r="A3964" t="s">
        <v>6293</v>
      </c>
      <c r="B3964" t="str" cm="1">
        <f t="array" ref="B3964">_xlfn.XLOOKUP(C3964, INDEX([2]!카테고리매핑,,2), INDEX([2]!카테고리매핑,,1), "미등록 카테고리")</f>
        <v>채소/곡물류</v>
      </c>
      <c r="C3964" t="s">
        <v>7</v>
      </c>
      <c r="D3964" t="str">
        <f>VLOOKUP(C3964, '[2]VLOOKUP 함수용 카테고리'!$A$1:$B$59, 2, 0)</f>
        <v>RAW_PRODUCE</v>
      </c>
      <c r="E3964" t="s">
        <v>716</v>
      </c>
      <c r="F3964" t="s">
        <v>406</v>
      </c>
    </row>
    <row r="3965" spans="1:6" x14ac:dyDescent="0.3">
      <c r="A3965" t="s">
        <v>3394</v>
      </c>
      <c r="B3965" t="str" cm="1">
        <f t="array" ref="B3965">_xlfn.XLOOKUP(C3965, INDEX([2]!카테고리매핑,,2), INDEX([2]!카테고리매핑,,1), "미등록 카테고리")</f>
        <v>미등록 카테고리</v>
      </c>
      <c r="C3965" t="s">
        <v>334</v>
      </c>
      <c r="D3965" t="str">
        <f>VLOOKUP(C3965, '[2]VLOOKUP 함수용 카테고리'!$A$1:$B$59, 2, 0)</f>
        <v>UNKNOWN</v>
      </c>
      <c r="E3965" t="s">
        <v>334</v>
      </c>
      <c r="F3965" t="s">
        <v>3377</v>
      </c>
    </row>
    <row r="3966" spans="1:6" x14ac:dyDescent="0.3">
      <c r="A3966" t="s">
        <v>6294</v>
      </c>
      <c r="B3966" t="str" cm="1">
        <f t="array" ref="B3966">_xlfn.XLOOKUP(C3966, INDEX([2]!카테고리매핑,,2), INDEX([2]!카테고리매핑,,1), "미등록 카테고리")</f>
        <v>간식류</v>
      </c>
      <c r="C3966" t="s">
        <v>63</v>
      </c>
      <c r="D3966" t="str">
        <f>VLOOKUP(C3966, '[2]VLOOKUP 함수용 카테고리'!$A$1:$B$59, 2, 0)</f>
        <v>BAKERY</v>
      </c>
      <c r="E3966" t="s">
        <v>3947</v>
      </c>
    </row>
    <row r="3967" spans="1:6" x14ac:dyDescent="0.3">
      <c r="A3967" t="s">
        <v>6295</v>
      </c>
      <c r="B3967" t="str" cm="1">
        <f t="array" ref="B3967">_xlfn.XLOOKUP(C3967, INDEX([2]!카테고리매핑,,2), INDEX([2]!카테고리매핑,,1), "미등록 카테고리")</f>
        <v>간편식</v>
      </c>
      <c r="C3967" t="s">
        <v>256</v>
      </c>
      <c r="D3967" t="str">
        <f>VLOOKUP(C3967, '[2]VLOOKUP 함수용 카테고리'!$A$1:$B$59, 2, 0)</f>
        <v>RTC_MEAL</v>
      </c>
      <c r="E3967" t="s">
        <v>256</v>
      </c>
      <c r="F3967" t="s">
        <v>1784</v>
      </c>
    </row>
    <row r="3968" spans="1:6" x14ac:dyDescent="0.3">
      <c r="A3968" t="s">
        <v>6296</v>
      </c>
      <c r="B3968" t="str" cm="1">
        <f t="array" ref="B3968">_xlfn.XLOOKUP(C3968, INDEX([2]!카테고리매핑,,2), INDEX([2]!카테고리매핑,,1), "미등록 카테고리")</f>
        <v>채소/곡물류</v>
      </c>
      <c r="C3968" t="s">
        <v>301</v>
      </c>
      <c r="D3968" t="str">
        <f>VLOOKUP(C3968, '[2]VLOOKUP 함수용 카테고리'!$A$1:$B$59, 2, 0)</f>
        <v>GRAIN</v>
      </c>
      <c r="E3968" t="s">
        <v>2023</v>
      </c>
      <c r="F3968" t="s">
        <v>1000</v>
      </c>
    </row>
    <row r="3969" spans="1:6" x14ac:dyDescent="0.3">
      <c r="A3969" t="s">
        <v>6297</v>
      </c>
      <c r="B3969" t="str" cm="1">
        <f t="array" ref="B3969">_xlfn.XLOOKUP(C3969, INDEX([2]!카테고리매핑,,2), INDEX([2]!카테고리매핑,,1), "미등록 카테고리")</f>
        <v>간편식</v>
      </c>
      <c r="C3969" t="s">
        <v>131</v>
      </c>
      <c r="D3969" t="str">
        <f>VLOOKUP(C3969, '[2]VLOOKUP 함수용 카테고리'!$A$1:$B$59, 2, 0)</f>
        <v>SIMPLE_PROCESSED</v>
      </c>
      <c r="E3969" t="s">
        <v>6298</v>
      </c>
      <c r="F3969" t="s">
        <v>6299</v>
      </c>
    </row>
    <row r="3970" spans="1:6" x14ac:dyDescent="0.3">
      <c r="A3970" t="s">
        <v>6300</v>
      </c>
      <c r="B3970" t="str" cm="1">
        <f t="array" ref="B3970">_xlfn.XLOOKUP(C3970, INDEX([2]!카테고리매핑,,2), INDEX([2]!카테고리매핑,,1), "미등록 카테고리")</f>
        <v>간편식</v>
      </c>
      <c r="C3970" t="s">
        <v>19</v>
      </c>
      <c r="D3970" t="str">
        <f>VLOOKUP(C3970, '[2]VLOOKUP 함수용 카테고리'!$A$1:$B$59, 2, 0)</f>
        <v>FROZEN_MEAL</v>
      </c>
      <c r="E3970" t="s">
        <v>6301</v>
      </c>
      <c r="F3970" t="s">
        <v>2831</v>
      </c>
    </row>
    <row r="3971" spans="1:6" x14ac:dyDescent="0.3">
      <c r="A3971" t="s">
        <v>6302</v>
      </c>
      <c r="B3971" t="str" cm="1">
        <f t="array" ref="B3971">_xlfn.XLOOKUP(C3971, INDEX([2]!카테고리매핑,,2), INDEX([2]!카테고리매핑,,1), "미등록 카테고리")</f>
        <v>미등록 카테고리</v>
      </c>
      <c r="C3971" t="s">
        <v>334</v>
      </c>
      <c r="D3971" t="str">
        <f>VLOOKUP(C3971, '[2]VLOOKUP 함수용 카테고리'!$A$1:$B$59, 2, 0)</f>
        <v>UNKNOWN</v>
      </c>
      <c r="E3971" t="s">
        <v>334</v>
      </c>
      <c r="F3971" t="s">
        <v>629</v>
      </c>
    </row>
    <row r="3972" spans="1:6" x14ac:dyDescent="0.3">
      <c r="A3972" t="s">
        <v>6303</v>
      </c>
      <c r="B3972" t="str" cm="1">
        <f t="array" ref="B3972">_xlfn.XLOOKUP(C3972, INDEX([2]!카테고리매핑,,2), INDEX([2]!카테고리매핑,,1), "미등록 카테고리")</f>
        <v>간식류</v>
      </c>
      <c r="C3972" t="s">
        <v>38</v>
      </c>
      <c r="D3972" t="str">
        <f>VLOOKUP(C3972, '[2]VLOOKUP 함수용 카테고리'!$A$1:$B$59, 2, 0)</f>
        <v>SNACK</v>
      </c>
      <c r="E3972" t="s">
        <v>179</v>
      </c>
      <c r="F3972" t="s">
        <v>4454</v>
      </c>
    </row>
    <row r="3973" spans="1:6" x14ac:dyDescent="0.3">
      <c r="A3973" t="s">
        <v>6304</v>
      </c>
      <c r="B3973" t="str" cm="1">
        <f t="array" ref="B3973">_xlfn.XLOOKUP(C3973, INDEX([2]!카테고리매핑,,2), INDEX([2]!카테고리매핑,,1), "미등록 카테고리")</f>
        <v>채소/곡물류</v>
      </c>
      <c r="C3973" t="s">
        <v>7</v>
      </c>
      <c r="D3973" t="str">
        <f>VLOOKUP(C3973, '[2]VLOOKUP 함수용 카테고리'!$A$1:$B$59, 2, 0)</f>
        <v>RAW_PRODUCE</v>
      </c>
      <c r="E3973" t="s">
        <v>3054</v>
      </c>
    </row>
    <row r="3974" spans="1:6" x14ac:dyDescent="0.3">
      <c r="A3974" t="s">
        <v>6305</v>
      </c>
      <c r="B3974" t="str" cm="1">
        <f t="array" ref="B3974">_xlfn.XLOOKUP(C3974, INDEX([2]!카테고리매핑,,2), INDEX([2]!카테고리매핑,,1), "미등록 카테고리")</f>
        <v>간식류</v>
      </c>
      <c r="C3974" t="s">
        <v>109</v>
      </c>
      <c r="D3974" t="str">
        <f>VLOOKUP(C3974, '[2]VLOOKUP 함수용 카테고리'!$A$1:$B$59, 2, 0)</f>
        <v>SNACK</v>
      </c>
      <c r="E3974" t="s">
        <v>4629</v>
      </c>
      <c r="F3974" t="s">
        <v>3205</v>
      </c>
    </row>
    <row r="3975" spans="1:6" x14ac:dyDescent="0.3">
      <c r="A3975" t="s">
        <v>6306</v>
      </c>
      <c r="B3975" t="str" cm="1">
        <f t="array" ref="B3975">_xlfn.XLOOKUP(C3975, INDEX([2]!카테고리매핑,,2), INDEX([2]!카테고리매핑,,1), "미등록 카테고리")</f>
        <v>채소/곡물류</v>
      </c>
      <c r="C3975" t="s">
        <v>301</v>
      </c>
      <c r="D3975" t="str">
        <f>VLOOKUP(C3975, '[2]VLOOKUP 함수용 카테고리'!$A$1:$B$59, 2, 0)</f>
        <v>GRAIN</v>
      </c>
      <c r="E3975" t="s">
        <v>611</v>
      </c>
      <c r="F3975" t="s">
        <v>303</v>
      </c>
    </row>
    <row r="3976" spans="1:6" x14ac:dyDescent="0.3">
      <c r="A3976" t="s">
        <v>6307</v>
      </c>
      <c r="B3976" t="str" cm="1">
        <f t="array" ref="B3976">_xlfn.XLOOKUP(C3976, INDEX([2]!카테고리매핑,,2), INDEX([2]!카테고리매핑,,1), "미등록 카테고리")</f>
        <v>수산물</v>
      </c>
      <c r="C3976" t="s">
        <v>1397</v>
      </c>
      <c r="D3976" t="str">
        <f>VLOOKUP(C3976, '[2]VLOOKUP 함수용 카테고리'!$A$1:$B$59, 2, 0)</f>
        <v>RAW_SEAFOOD</v>
      </c>
      <c r="E3976" t="s">
        <v>1398</v>
      </c>
      <c r="F3976" t="s">
        <v>413</v>
      </c>
    </row>
    <row r="3977" spans="1:6" x14ac:dyDescent="0.3">
      <c r="A3977" t="s">
        <v>6308</v>
      </c>
      <c r="B3977" t="str" cm="1">
        <f t="array" ref="B3977">_xlfn.XLOOKUP(C3977, INDEX([2]!카테고리매핑,,2), INDEX([2]!카테고리매핑,,1), "미등록 카테고리")</f>
        <v>상온식품</v>
      </c>
      <c r="C3977" t="s">
        <v>1104</v>
      </c>
      <c r="D3977" t="str">
        <f>VLOOKUP(C3977, '[2]VLOOKUP 함수용 카테고리'!$A$1:$B$59, 2, 0)</f>
        <v>CANNED</v>
      </c>
      <c r="E3977" t="s">
        <v>1105</v>
      </c>
      <c r="F3977" t="s">
        <v>1106</v>
      </c>
    </row>
    <row r="3978" spans="1:6" x14ac:dyDescent="0.3">
      <c r="A3978" t="s">
        <v>6309</v>
      </c>
      <c r="B3978" t="str" cm="1">
        <f t="array" ref="B3978">_xlfn.XLOOKUP(C3978, INDEX([2]!카테고리매핑,,2), INDEX([2]!카테고리매핑,,1), "미등록 카테고리")</f>
        <v>유제품</v>
      </c>
      <c r="C3978" t="s">
        <v>211</v>
      </c>
      <c r="D3978" t="str">
        <f>VLOOKUP(C3978, '[2]VLOOKUP 함수용 카테고리'!$A$1:$B$59, 2, 0)</f>
        <v>DAIRY</v>
      </c>
      <c r="E3978" t="s">
        <v>211</v>
      </c>
      <c r="F3978" t="s">
        <v>6310</v>
      </c>
    </row>
    <row r="3979" spans="1:6" x14ac:dyDescent="0.3">
      <c r="A3979" t="s">
        <v>6311</v>
      </c>
      <c r="B3979" t="str" cm="1">
        <f t="array" ref="B3979">_xlfn.XLOOKUP(C3979, INDEX([2]!카테고리매핑,,2), INDEX([2]!카테고리매핑,,1), "미등록 카테고리")</f>
        <v>조미료</v>
      </c>
      <c r="C3979" t="s">
        <v>83</v>
      </c>
      <c r="D3979" t="str">
        <f>VLOOKUP(C3979, '[2]VLOOKUP 함수용 카테고리'!$A$1:$B$59, 2, 0)</f>
        <v>SAUCE_SEASONING</v>
      </c>
      <c r="E3979" t="s">
        <v>5063</v>
      </c>
      <c r="F3979" t="s">
        <v>2772</v>
      </c>
    </row>
    <row r="3980" spans="1:6" x14ac:dyDescent="0.3">
      <c r="A3980" t="s">
        <v>6312</v>
      </c>
      <c r="B3980" t="str" cm="1">
        <f t="array" ref="B3980">_xlfn.XLOOKUP(C3980, INDEX([2]!카테고리매핑,,2), INDEX([2]!카테고리매핑,,1), "미등록 카테고리")</f>
        <v>간식류</v>
      </c>
      <c r="C3980" t="s">
        <v>15</v>
      </c>
      <c r="D3980" t="str">
        <f>VLOOKUP(C3980, '[2]VLOOKUP 함수용 카테고리'!$A$1:$B$59, 2, 0)</f>
        <v>BAKERY</v>
      </c>
      <c r="E3980" t="s">
        <v>6313</v>
      </c>
      <c r="F3980" t="s">
        <v>6314</v>
      </c>
    </row>
    <row r="3981" spans="1:6" x14ac:dyDescent="0.3">
      <c r="A3981" t="s">
        <v>6315</v>
      </c>
      <c r="B3981" t="str" cm="1">
        <f t="array" ref="B3981">_xlfn.XLOOKUP(C3981, INDEX([2]!카테고리매핑,,2), INDEX([2]!카테고리매핑,,1), "미등록 카테고리")</f>
        <v>조미료</v>
      </c>
      <c r="C3981" t="s">
        <v>127</v>
      </c>
      <c r="D3981" t="str">
        <f>VLOOKUP(C3981, '[2]VLOOKUP 함수용 카테고리'!$A$1:$B$59, 2, 0)</f>
        <v>SAUCE_SEASONING</v>
      </c>
      <c r="E3981" t="s">
        <v>4872</v>
      </c>
      <c r="F3981" t="s">
        <v>646</v>
      </c>
    </row>
    <row r="3982" spans="1:6" x14ac:dyDescent="0.3">
      <c r="A3982" t="s">
        <v>6316</v>
      </c>
      <c r="B3982" t="str" cm="1">
        <f t="array" ref="B3982">_xlfn.XLOOKUP(C3982, INDEX([2]!카테고리매핑,,2), INDEX([2]!카테고리매핑,,1), "미등록 카테고리")</f>
        <v>조미료</v>
      </c>
      <c r="C3982" t="s">
        <v>127</v>
      </c>
      <c r="D3982" t="str">
        <f>VLOOKUP(C3982, '[2]VLOOKUP 함수용 카테고리'!$A$1:$B$59, 2, 0)</f>
        <v>SAUCE_SEASONING</v>
      </c>
      <c r="E3982" t="s">
        <v>3722</v>
      </c>
      <c r="F3982" t="s">
        <v>6317</v>
      </c>
    </row>
    <row r="3983" spans="1:6" x14ac:dyDescent="0.3">
      <c r="A3983" t="s">
        <v>6318</v>
      </c>
      <c r="B3983" t="str" cm="1">
        <f t="array" ref="B3983">_xlfn.XLOOKUP(C3983, INDEX([2]!카테고리매핑,,2), INDEX([2]!카테고리매핑,,1), "미등록 카테고리")</f>
        <v>음료</v>
      </c>
      <c r="C3983" t="s">
        <v>23</v>
      </c>
      <c r="D3983" t="str">
        <f>VLOOKUP(C3983, '[2]VLOOKUP 함수용 카테고리'!$A$1:$B$59, 2, 0)</f>
        <v>BEVERAGE</v>
      </c>
      <c r="E3983" t="s">
        <v>323</v>
      </c>
      <c r="F3983" t="s">
        <v>5635</v>
      </c>
    </row>
    <row r="3984" spans="1:6" x14ac:dyDescent="0.3">
      <c r="A3984" t="s">
        <v>6319</v>
      </c>
      <c r="B3984" t="str" cm="1">
        <f t="array" ref="B3984">_xlfn.XLOOKUP(C3984, INDEX([2]!카테고리매핑,,2), INDEX([2]!카테고리매핑,,1), "미등록 카테고리")</f>
        <v>술</v>
      </c>
      <c r="C3984" t="s">
        <v>56</v>
      </c>
      <c r="D3984" t="str">
        <f>VLOOKUP(C3984, '[2]VLOOKUP 함수용 카테고리'!$A$1:$B$59, 2, 0)</f>
        <v>ALCOHOL</v>
      </c>
      <c r="E3984" t="s">
        <v>505</v>
      </c>
      <c r="F3984" t="s">
        <v>7886</v>
      </c>
    </row>
    <row r="3985" spans="1:6" x14ac:dyDescent="0.3">
      <c r="A3985" t="s">
        <v>6320</v>
      </c>
      <c r="B3985" t="str" cm="1">
        <f t="array" ref="B3985">_xlfn.XLOOKUP(C3985, INDEX([2]!카테고리매핑,,2), INDEX([2]!카테고리매핑,,1), "미등록 카테고리")</f>
        <v>채소/곡물류</v>
      </c>
      <c r="C3985" t="s">
        <v>7</v>
      </c>
      <c r="D3985" t="str">
        <f>VLOOKUP(C3985, '[2]VLOOKUP 함수용 카테고리'!$A$1:$B$59, 2, 0)</f>
        <v>RAW_PRODUCE</v>
      </c>
      <c r="E3985" t="s">
        <v>716</v>
      </c>
    </row>
    <row r="3986" spans="1:6" x14ac:dyDescent="0.3">
      <c r="A3986" t="s">
        <v>6321</v>
      </c>
      <c r="B3986" t="str" cm="1">
        <f t="array" ref="B3986">_xlfn.XLOOKUP(C3986, INDEX([2]!카테고리매핑,,2), INDEX([2]!카테고리매핑,,1), "미등록 카테고리")</f>
        <v>상온식품</v>
      </c>
      <c r="C3986" t="s">
        <v>276</v>
      </c>
      <c r="D3986" t="str">
        <f>VLOOKUP(C3986, '[2]VLOOKUP 함수용 카테고리'!$A$1:$B$59, 2, 0)</f>
        <v>DRIED_SEAFOOD</v>
      </c>
      <c r="E3986" t="s">
        <v>277</v>
      </c>
      <c r="F3986" t="s">
        <v>7863</v>
      </c>
    </row>
    <row r="3987" spans="1:6" x14ac:dyDescent="0.3">
      <c r="A3987" t="s">
        <v>6322</v>
      </c>
      <c r="B3987" t="str" cm="1">
        <f t="array" ref="B3987">_xlfn.XLOOKUP(C3987, INDEX([2]!카테고리매핑,,2), INDEX([2]!카테고리매핑,,1), "미등록 카테고리")</f>
        <v>간편식</v>
      </c>
      <c r="C3987" t="s">
        <v>256</v>
      </c>
      <c r="D3987" t="str">
        <f>VLOOKUP(C3987, '[2]VLOOKUP 함수용 카테고리'!$A$1:$B$59, 2, 0)</f>
        <v>RTC_MEAL</v>
      </c>
      <c r="E3987" t="s">
        <v>256</v>
      </c>
      <c r="F3987" t="s">
        <v>129</v>
      </c>
    </row>
    <row r="3988" spans="1:6" x14ac:dyDescent="0.3">
      <c r="A3988" t="s">
        <v>6323</v>
      </c>
      <c r="B3988" t="str" cm="1">
        <f t="array" ref="B3988">_xlfn.XLOOKUP(C3988, INDEX([2]!카테고리매핑,,2), INDEX([2]!카테고리매핑,,1), "미등록 카테고리")</f>
        <v>간식류</v>
      </c>
      <c r="C3988" t="s">
        <v>63</v>
      </c>
      <c r="D3988" t="str">
        <f>VLOOKUP(C3988, '[2]VLOOKUP 함수용 카테고리'!$A$1:$B$59, 2, 0)</f>
        <v>BAKERY</v>
      </c>
      <c r="E3988" t="s">
        <v>2040</v>
      </c>
      <c r="F3988" t="s">
        <v>6324</v>
      </c>
    </row>
    <row r="3989" spans="1:6" x14ac:dyDescent="0.3">
      <c r="A3989" t="s">
        <v>6325</v>
      </c>
      <c r="B3989" t="str" cm="1">
        <f t="array" ref="B3989">_xlfn.XLOOKUP(C3989, INDEX([2]!카테고리매핑,,2), INDEX([2]!카테고리매핑,,1), "미등록 카테고리")</f>
        <v>조미료</v>
      </c>
      <c r="C3989" t="s">
        <v>117</v>
      </c>
      <c r="D3989" t="str">
        <f>VLOOKUP(C3989, '[2]VLOOKUP 함수용 카테고리'!$A$1:$B$59, 2, 0)</f>
        <v>SAUCE_SEASONING</v>
      </c>
      <c r="E3989" t="s">
        <v>6326</v>
      </c>
      <c r="F3989" t="s">
        <v>350</v>
      </c>
    </row>
    <row r="3990" spans="1:6" x14ac:dyDescent="0.3">
      <c r="A3990" t="s">
        <v>6327</v>
      </c>
      <c r="B3990" t="str" cm="1">
        <f t="array" ref="B3990">_xlfn.XLOOKUP(C3990, INDEX([2]!카테고리매핑,,2), INDEX([2]!카테고리매핑,,1), "미등록 카테고리")</f>
        <v>육류/계란</v>
      </c>
      <c r="C3990" t="s">
        <v>428</v>
      </c>
      <c r="D3990" t="str">
        <f>VLOOKUP(C3990, '[2]VLOOKUP 함수용 카테고리'!$A$1:$B$59, 2, 0)</f>
        <v>PROCESSED_MEAT</v>
      </c>
      <c r="E3990" t="s">
        <v>943</v>
      </c>
      <c r="F3990" t="s">
        <v>1595</v>
      </c>
    </row>
    <row r="3991" spans="1:6" x14ac:dyDescent="0.3">
      <c r="A3991" t="s">
        <v>6328</v>
      </c>
      <c r="B3991" t="str" cm="1">
        <f t="array" ref="B3991">_xlfn.XLOOKUP(C3991, INDEX([2]!카테고리매핑,,2), INDEX([2]!카테고리매핑,,1), "미등록 카테고리")</f>
        <v>조미료</v>
      </c>
      <c r="C3991" t="s">
        <v>84</v>
      </c>
      <c r="D3991" t="str">
        <f>VLOOKUP(C3991, '[2]VLOOKUP 함수용 카테고리'!$A$1:$B$59, 2, 0)</f>
        <v>SAUCE_SEASONING</v>
      </c>
      <c r="E3991" t="s">
        <v>444</v>
      </c>
      <c r="F3991" t="s">
        <v>296</v>
      </c>
    </row>
    <row r="3992" spans="1:6" x14ac:dyDescent="0.3">
      <c r="A3992" t="s">
        <v>6329</v>
      </c>
      <c r="B3992" t="str" cm="1">
        <f t="array" ref="B3992">_xlfn.XLOOKUP(C3992, INDEX([2]!카테고리매핑,,2), INDEX([2]!카테고리매핑,,1), "미등록 카테고리")</f>
        <v>상온식품</v>
      </c>
      <c r="C3992" t="s">
        <v>276</v>
      </c>
      <c r="D3992" t="str">
        <f>VLOOKUP(C3992, '[2]VLOOKUP 함수용 카테고리'!$A$1:$B$59, 2, 0)</f>
        <v>DRIED_SEAFOOD</v>
      </c>
      <c r="E3992" t="s">
        <v>277</v>
      </c>
      <c r="F3992" t="s">
        <v>6330</v>
      </c>
    </row>
    <row r="3993" spans="1:6" x14ac:dyDescent="0.3">
      <c r="A3993" t="s">
        <v>6331</v>
      </c>
      <c r="B3993" t="str" cm="1">
        <f t="array" ref="B3993">_xlfn.XLOOKUP(C3993, INDEX([2]!카테고리매핑,,2), INDEX([2]!카테고리매핑,,1), "미등록 카테고리")</f>
        <v>조미료</v>
      </c>
      <c r="C3993" t="s">
        <v>127</v>
      </c>
      <c r="D3993" t="str">
        <f>VLOOKUP(C3993, '[2]VLOOKUP 함수용 카테고리'!$A$1:$B$59, 2, 0)</f>
        <v>SAUCE_SEASONING</v>
      </c>
      <c r="E3993" t="s">
        <v>6332</v>
      </c>
      <c r="F3993" t="s">
        <v>1442</v>
      </c>
    </row>
    <row r="3994" spans="1:6" x14ac:dyDescent="0.3">
      <c r="A3994" t="s">
        <v>6333</v>
      </c>
      <c r="B3994" t="str" cm="1">
        <f t="array" ref="B3994">_xlfn.XLOOKUP(C3994, INDEX([2]!카테고리매핑,,2), INDEX([2]!카테고리매핑,,1), "미등록 카테고리")</f>
        <v>간편식</v>
      </c>
      <c r="C3994" t="s">
        <v>19</v>
      </c>
      <c r="D3994" t="str">
        <f>VLOOKUP(C3994, '[2]VLOOKUP 함수용 카테고리'!$A$1:$B$59, 2, 0)</f>
        <v>FROZEN_MEAL</v>
      </c>
      <c r="E3994" t="s">
        <v>6334</v>
      </c>
      <c r="F3994" t="s">
        <v>1529</v>
      </c>
    </row>
    <row r="3995" spans="1:6" x14ac:dyDescent="0.3">
      <c r="A3995" t="s">
        <v>6335</v>
      </c>
      <c r="B3995" t="str" cm="1">
        <f t="array" ref="B3995">_xlfn.XLOOKUP(C3995, INDEX([2]!카테고리매핑,,2), INDEX([2]!카테고리매핑,,1), "미등록 카테고리")</f>
        <v>음료</v>
      </c>
      <c r="C3995" t="s">
        <v>23</v>
      </c>
      <c r="D3995" t="str">
        <f>VLOOKUP(C3995, '[2]VLOOKUP 함수용 카테고리'!$A$1:$B$59, 2, 0)</f>
        <v>BEVERAGE</v>
      </c>
      <c r="E3995" t="s">
        <v>1156</v>
      </c>
      <c r="F3995" t="s">
        <v>7887</v>
      </c>
    </row>
    <row r="3996" spans="1:6" x14ac:dyDescent="0.3">
      <c r="A3996" t="s">
        <v>6336</v>
      </c>
      <c r="B3996" t="str" cm="1">
        <f t="array" ref="B3996">_xlfn.XLOOKUP(C3996, INDEX([2]!카테고리매핑,,2), INDEX([2]!카테고리매핑,,1), "미등록 카테고리")</f>
        <v>간식류</v>
      </c>
      <c r="C3996" t="s">
        <v>38</v>
      </c>
      <c r="D3996" t="str">
        <f>VLOOKUP(C3996, '[2]VLOOKUP 함수용 카테고리'!$A$1:$B$59, 2, 0)</f>
        <v>SNACK</v>
      </c>
      <c r="E3996" t="s">
        <v>179</v>
      </c>
      <c r="F3996" t="s">
        <v>3292</v>
      </c>
    </row>
    <row r="3997" spans="1:6" x14ac:dyDescent="0.3">
      <c r="A3997" t="s">
        <v>6337</v>
      </c>
      <c r="B3997" t="str" cm="1">
        <f t="array" ref="B3997">_xlfn.XLOOKUP(C3997, INDEX([2]!카테고리매핑,,2), INDEX([2]!카테고리매핑,,1), "미등록 카테고리")</f>
        <v>간식류</v>
      </c>
      <c r="C3997" t="s">
        <v>15</v>
      </c>
      <c r="D3997" t="str">
        <f>VLOOKUP(C3997, '[2]VLOOKUP 함수용 카테고리'!$A$1:$B$59, 2, 0)</f>
        <v>BAKERY</v>
      </c>
      <c r="E3997" t="s">
        <v>1787</v>
      </c>
      <c r="F3997" t="s">
        <v>7888</v>
      </c>
    </row>
    <row r="3998" spans="1:6" x14ac:dyDescent="0.3">
      <c r="A3998" t="s">
        <v>6338</v>
      </c>
      <c r="B3998" t="str" cm="1">
        <f t="array" ref="B3998">_xlfn.XLOOKUP(C3998, INDEX([2]!카테고리매핑,,2), INDEX([2]!카테고리매핑,,1), "미등록 카테고리")</f>
        <v>유제품</v>
      </c>
      <c r="C3998" t="s">
        <v>98</v>
      </c>
      <c r="D3998" t="str">
        <f>VLOOKUP(C3998, '[2]VLOOKUP 함수용 카테고리'!$A$1:$B$59, 2, 0)</f>
        <v>DAIRY</v>
      </c>
      <c r="E3998" t="s">
        <v>1143</v>
      </c>
      <c r="F3998" t="s">
        <v>6339</v>
      </c>
    </row>
    <row r="3999" spans="1:6" x14ac:dyDescent="0.3">
      <c r="A3999" t="s">
        <v>6340</v>
      </c>
      <c r="B3999" t="str" cm="1">
        <f t="array" ref="B3999">_xlfn.XLOOKUP(C3999, INDEX([2]!카테고리매핑,,2), INDEX([2]!카테고리매핑,,1), "미등록 카테고리")</f>
        <v>간편식</v>
      </c>
      <c r="C3999" t="s">
        <v>256</v>
      </c>
      <c r="D3999" t="str">
        <f>VLOOKUP(C3999, '[2]VLOOKUP 함수용 카테고리'!$A$1:$B$59, 2, 0)</f>
        <v>RTC_MEAL</v>
      </c>
      <c r="E3999" t="s">
        <v>256</v>
      </c>
      <c r="F3999" t="s">
        <v>7889</v>
      </c>
    </row>
    <row r="4000" spans="1:6" x14ac:dyDescent="0.3">
      <c r="A4000" t="s">
        <v>6341</v>
      </c>
      <c r="B4000" t="str" cm="1">
        <f t="array" ref="B4000">_xlfn.XLOOKUP(C4000, INDEX([2]!카테고리매핑,,2), INDEX([2]!카테고리매핑,,1), "미등록 카테고리")</f>
        <v>술</v>
      </c>
      <c r="C4000" t="s">
        <v>42</v>
      </c>
      <c r="D4000" t="str">
        <f>VLOOKUP(C4000, '[2]VLOOKUP 함수용 카테고리'!$A$1:$B$59, 2, 0)</f>
        <v>ALCOHOL</v>
      </c>
      <c r="E4000" t="s">
        <v>2696</v>
      </c>
      <c r="F4000" t="s">
        <v>6342</v>
      </c>
    </row>
    <row r="4001" spans="1:6" x14ac:dyDescent="0.3">
      <c r="A4001" t="s">
        <v>6343</v>
      </c>
      <c r="B4001" t="str" cm="1">
        <f t="array" ref="B4001">_xlfn.XLOOKUP(C4001, INDEX([2]!카테고리매핑,,2), INDEX([2]!카테고리매핑,,1), "미등록 카테고리")</f>
        <v>채소/곡물류</v>
      </c>
      <c r="C4001" t="s">
        <v>7</v>
      </c>
      <c r="D4001" t="str">
        <f>VLOOKUP(C4001, '[2]VLOOKUP 함수용 카테고리'!$A$1:$B$59, 2, 0)</f>
        <v>RAW_PRODUCE</v>
      </c>
      <c r="E4001" t="s">
        <v>2633</v>
      </c>
    </row>
    <row r="4002" spans="1:6" x14ac:dyDescent="0.3">
      <c r="A4002" t="s">
        <v>6344</v>
      </c>
      <c r="B4002" t="str" cm="1">
        <f t="array" ref="B4002">_xlfn.XLOOKUP(C4002, INDEX([2]!카테고리매핑,,2), INDEX([2]!카테고리매핑,,1), "미등록 카테고리")</f>
        <v>간편식</v>
      </c>
      <c r="C4002" t="s">
        <v>167</v>
      </c>
      <c r="D4002" t="str">
        <f>VLOOKUP(C4002, '[2]VLOOKUP 함수용 카테고리'!$A$1:$B$59, 2, 0)</f>
        <v>INSTANT</v>
      </c>
      <c r="E4002" t="s">
        <v>3142</v>
      </c>
      <c r="F4002" t="s">
        <v>129</v>
      </c>
    </row>
    <row r="4003" spans="1:6" x14ac:dyDescent="0.3">
      <c r="A4003" t="s">
        <v>6345</v>
      </c>
      <c r="B4003" t="str" cm="1">
        <f t="array" ref="B4003">_xlfn.XLOOKUP(C4003, INDEX([2]!카테고리매핑,,2), INDEX([2]!카테고리매핑,,1), "미등록 카테고리")</f>
        <v>유제품</v>
      </c>
      <c r="C4003" t="s">
        <v>98</v>
      </c>
      <c r="D4003" t="str">
        <f>VLOOKUP(C4003, '[2]VLOOKUP 함수용 카테고리'!$A$1:$B$59, 2, 0)</f>
        <v>DAIRY</v>
      </c>
      <c r="E4003" t="s">
        <v>98</v>
      </c>
      <c r="F4003" t="s">
        <v>6346</v>
      </c>
    </row>
    <row r="4004" spans="1:6" x14ac:dyDescent="0.3">
      <c r="A4004" t="s">
        <v>6347</v>
      </c>
      <c r="B4004" t="str" cm="1">
        <f t="array" ref="B4004">_xlfn.XLOOKUP(C4004, INDEX([2]!카테고리매핑,,2), INDEX([2]!카테고리매핑,,1), "미등록 카테고리")</f>
        <v>술</v>
      </c>
      <c r="C4004" t="s">
        <v>411</v>
      </c>
      <c r="D4004" t="str">
        <f>VLOOKUP(C4004, '[2]VLOOKUP 함수용 카테고리'!$A$1:$B$59, 2, 0)</f>
        <v>ALCOHOL</v>
      </c>
      <c r="E4004" t="s">
        <v>6348</v>
      </c>
      <c r="F4004" t="s">
        <v>7890</v>
      </c>
    </row>
    <row r="4005" spans="1:6" x14ac:dyDescent="0.3">
      <c r="A4005" t="s">
        <v>6349</v>
      </c>
      <c r="B4005" t="str" cm="1">
        <f t="array" ref="B4005">_xlfn.XLOOKUP(C4005, INDEX([2]!카테고리매핑,,2), INDEX([2]!카테고리매핑,,1), "미등록 카테고리")</f>
        <v>조미료</v>
      </c>
      <c r="C4005" t="s">
        <v>84</v>
      </c>
      <c r="D4005" t="str">
        <f>VLOOKUP(C4005, '[2]VLOOKUP 함수용 카테고리'!$A$1:$B$59, 2, 0)</f>
        <v>SAUCE_SEASONING</v>
      </c>
      <c r="E4005" t="s">
        <v>85</v>
      </c>
      <c r="F4005" t="s">
        <v>6350</v>
      </c>
    </row>
    <row r="4006" spans="1:6" x14ac:dyDescent="0.3">
      <c r="A4006" t="s">
        <v>6351</v>
      </c>
      <c r="B4006" t="str" cm="1">
        <f t="array" ref="B4006">_xlfn.XLOOKUP(C4006, INDEX([2]!카테고리매핑,,2), INDEX([2]!카테고리매핑,,1), "미등록 카테고리")</f>
        <v>채소/곡물류</v>
      </c>
      <c r="C4006" t="s">
        <v>7</v>
      </c>
      <c r="D4006" t="str">
        <f>VLOOKUP(C4006, '[2]VLOOKUP 함수용 카테고리'!$A$1:$B$59, 2, 0)</f>
        <v>RAW_PRODUCE</v>
      </c>
      <c r="E4006" t="s">
        <v>1898</v>
      </c>
    </row>
    <row r="4007" spans="1:6" x14ac:dyDescent="0.3">
      <c r="A4007" t="s">
        <v>6353</v>
      </c>
      <c r="B4007" t="str" cm="1">
        <f t="array" ref="B4007">_xlfn.XLOOKUP(C4007, INDEX([2]!카테고리매핑,,2), INDEX([2]!카테고리매핑,,1), "미등록 카테고리")</f>
        <v>간식류</v>
      </c>
      <c r="C4007" t="s">
        <v>63</v>
      </c>
      <c r="D4007" t="str">
        <f>VLOOKUP(C4007, '[2]VLOOKUP 함수용 카테고리'!$A$1:$B$59, 2, 0)</f>
        <v>BAKERY</v>
      </c>
      <c r="E4007" t="s">
        <v>5798</v>
      </c>
      <c r="F4007" t="s">
        <v>5431</v>
      </c>
    </row>
    <row r="4008" spans="1:6" x14ac:dyDescent="0.3">
      <c r="A4008" t="s">
        <v>6354</v>
      </c>
      <c r="B4008" t="str" cm="1">
        <f t="array" ref="B4008">_xlfn.XLOOKUP(C4008, INDEX([2]!카테고리매핑,,2), INDEX([2]!카테고리매핑,,1), "미등록 카테고리")</f>
        <v>상온식품</v>
      </c>
      <c r="C4008" t="s">
        <v>276</v>
      </c>
      <c r="D4008" t="str">
        <f>VLOOKUP(C4008, '[2]VLOOKUP 함수용 카테고리'!$A$1:$B$59, 2, 0)</f>
        <v>DRIED_SEAFOOD</v>
      </c>
      <c r="E4008" t="s">
        <v>277</v>
      </c>
      <c r="F4008" t="s">
        <v>278</v>
      </c>
    </row>
    <row r="4009" spans="1:6" x14ac:dyDescent="0.3">
      <c r="A4009" t="s">
        <v>6355</v>
      </c>
      <c r="B4009" t="str" cm="1">
        <f t="array" ref="B4009">_xlfn.XLOOKUP(C4009, INDEX([2]!카테고리매핑,,2), INDEX([2]!카테고리매핑,,1), "미등록 카테고리")</f>
        <v>간식류</v>
      </c>
      <c r="C4009" t="s">
        <v>38</v>
      </c>
      <c r="D4009" t="str">
        <f>VLOOKUP(C4009, '[2]VLOOKUP 함수용 카테고리'!$A$1:$B$59, 2, 0)</f>
        <v>SNACK</v>
      </c>
      <c r="E4009" t="s">
        <v>179</v>
      </c>
      <c r="F4009" t="s">
        <v>5229</v>
      </c>
    </row>
    <row r="4010" spans="1:6" x14ac:dyDescent="0.3">
      <c r="A4010" t="s">
        <v>6356</v>
      </c>
      <c r="B4010" t="str" cm="1">
        <f t="array" ref="B4010">_xlfn.XLOOKUP(C4010, INDEX([2]!카테고리매핑,,2), INDEX([2]!카테고리매핑,,1), "미등록 카테고리")</f>
        <v>채소/곡물류</v>
      </c>
      <c r="C4010" t="s">
        <v>301</v>
      </c>
      <c r="D4010" t="str">
        <f>VLOOKUP(C4010, '[2]VLOOKUP 함수용 카테고리'!$A$1:$B$59, 2, 0)</f>
        <v>GRAIN</v>
      </c>
      <c r="E4010" t="s">
        <v>6357</v>
      </c>
    </row>
    <row r="4011" spans="1:6" x14ac:dyDescent="0.3">
      <c r="A4011" t="s">
        <v>4916</v>
      </c>
      <c r="B4011" t="str" cm="1">
        <f t="array" ref="B4011">_xlfn.XLOOKUP(C4011, INDEX([2]!카테고리매핑,,2), INDEX([2]!카테고리매핑,,1), "미등록 카테고리")</f>
        <v>미등록 카테고리</v>
      </c>
      <c r="C4011" t="s">
        <v>334</v>
      </c>
      <c r="D4011" t="str">
        <f>VLOOKUP(C4011, '[2]VLOOKUP 함수용 카테고리'!$A$1:$B$59, 2, 0)</f>
        <v>UNKNOWN</v>
      </c>
      <c r="E4011" t="s">
        <v>334</v>
      </c>
      <c r="F4011" t="s">
        <v>4917</v>
      </c>
    </row>
    <row r="4012" spans="1:6" x14ac:dyDescent="0.3">
      <c r="A4012" t="s">
        <v>6358</v>
      </c>
      <c r="B4012" t="str" cm="1">
        <f t="array" ref="B4012">_xlfn.XLOOKUP(C4012, INDEX([2]!카테고리매핑,,2), INDEX([2]!카테고리매핑,,1), "미등록 카테고리")</f>
        <v>간편식</v>
      </c>
      <c r="C4012" t="s">
        <v>19</v>
      </c>
      <c r="D4012" t="str">
        <f>VLOOKUP(C4012, '[2]VLOOKUP 함수용 카테고리'!$A$1:$B$59, 2, 0)</f>
        <v>FROZEN_MEAL</v>
      </c>
      <c r="E4012" t="s">
        <v>20</v>
      </c>
      <c r="F4012" t="s">
        <v>21</v>
      </c>
    </row>
    <row r="4013" spans="1:6" x14ac:dyDescent="0.3">
      <c r="A4013" t="s">
        <v>6359</v>
      </c>
      <c r="B4013" t="str" cm="1">
        <f t="array" ref="B4013">_xlfn.XLOOKUP(C4013, INDEX([2]!카테고리매핑,,2), INDEX([2]!카테고리매핑,,1), "미등록 카테고리")</f>
        <v>유제품</v>
      </c>
      <c r="C4013" t="s">
        <v>123</v>
      </c>
      <c r="D4013" t="str">
        <f>VLOOKUP(C4013, '[2]VLOOKUP 함수용 카테고리'!$A$1:$B$59, 2, 0)</f>
        <v>DAIRY</v>
      </c>
      <c r="E4013" t="s">
        <v>190</v>
      </c>
      <c r="F4013" t="s">
        <v>193</v>
      </c>
    </row>
    <row r="4014" spans="1:6" x14ac:dyDescent="0.3">
      <c r="A4014" t="s">
        <v>6360</v>
      </c>
      <c r="B4014" t="str" cm="1">
        <f t="array" ref="B4014">_xlfn.XLOOKUP(C4014, INDEX([2]!카테고리매핑,,2), INDEX([2]!카테고리매핑,,1), "미등록 카테고리")</f>
        <v>수산물</v>
      </c>
      <c r="C4014" t="s">
        <v>101</v>
      </c>
      <c r="D4014" t="str">
        <f>VLOOKUP(C4014, '[2]VLOOKUP 함수용 카테고리'!$A$1:$B$59, 2, 0)</f>
        <v>DRIED_SEAFOOD</v>
      </c>
      <c r="E4014" t="s">
        <v>601</v>
      </c>
      <c r="F4014" t="s">
        <v>7891</v>
      </c>
    </row>
    <row r="4015" spans="1:6" x14ac:dyDescent="0.3">
      <c r="A4015" t="s">
        <v>6361</v>
      </c>
      <c r="B4015" t="str" cm="1">
        <f t="array" ref="B4015">_xlfn.XLOOKUP(C4015, INDEX([2]!카테고리매핑,,2), INDEX([2]!카테고리매핑,,1), "미등록 카테고리")</f>
        <v>미등록 카테고리</v>
      </c>
      <c r="C4015" t="s">
        <v>334</v>
      </c>
      <c r="D4015" t="str">
        <f>VLOOKUP(C4015, '[2]VLOOKUP 함수용 카테고리'!$A$1:$B$59, 2, 0)</f>
        <v>UNKNOWN</v>
      </c>
      <c r="E4015" t="s">
        <v>334</v>
      </c>
      <c r="F4015" t="s">
        <v>629</v>
      </c>
    </row>
    <row r="4016" spans="1:6" x14ac:dyDescent="0.3">
      <c r="A4016" t="s">
        <v>6362</v>
      </c>
      <c r="B4016" t="str" cm="1">
        <f t="array" ref="B4016">_xlfn.XLOOKUP(C4016, INDEX([2]!카테고리매핑,,2), INDEX([2]!카테고리매핑,,1), "미등록 카테고리")</f>
        <v>간편식</v>
      </c>
      <c r="C4016" t="s">
        <v>131</v>
      </c>
      <c r="D4016" t="str">
        <f>VLOOKUP(C4016, '[2]VLOOKUP 함수용 카테고리'!$A$1:$B$59, 2, 0)</f>
        <v>SIMPLE_PROCESSED</v>
      </c>
      <c r="E4016" t="s">
        <v>3538</v>
      </c>
      <c r="F4016" t="s">
        <v>72</v>
      </c>
    </row>
    <row r="4017" spans="1:6" x14ac:dyDescent="0.3">
      <c r="A4017" t="s">
        <v>6363</v>
      </c>
      <c r="B4017" t="str" cm="1">
        <f t="array" ref="B4017">_xlfn.XLOOKUP(C4017, INDEX([2]!카테고리매핑,,2), INDEX([2]!카테고리매핑,,1), "미등록 카테고리")</f>
        <v>육류/계란</v>
      </c>
      <c r="C4017" t="s">
        <v>149</v>
      </c>
      <c r="D4017" t="str">
        <f>VLOOKUP(C4017, '[2]VLOOKUP 함수용 카테고리'!$A$1:$B$59, 2, 0)</f>
        <v>RAW_MEAT</v>
      </c>
      <c r="E4017" t="s">
        <v>6364</v>
      </c>
      <c r="F4017" t="s">
        <v>1510</v>
      </c>
    </row>
    <row r="4018" spans="1:6" x14ac:dyDescent="0.3">
      <c r="A4018" t="s">
        <v>6365</v>
      </c>
      <c r="B4018" t="str" cm="1">
        <f t="array" ref="B4018">_xlfn.XLOOKUP(C4018, INDEX([2]!카테고리매핑,,2), INDEX([2]!카테고리매핑,,1), "미등록 카테고리")</f>
        <v>간식류</v>
      </c>
      <c r="C4018" t="s">
        <v>15</v>
      </c>
      <c r="D4018" t="str">
        <f>VLOOKUP(C4018, '[2]VLOOKUP 함수용 카테고리'!$A$1:$B$59, 2, 0)</f>
        <v>BAKERY</v>
      </c>
      <c r="E4018" t="s">
        <v>3012</v>
      </c>
      <c r="F4018" t="s">
        <v>65</v>
      </c>
    </row>
    <row r="4019" spans="1:6" x14ac:dyDescent="0.3">
      <c r="A4019" t="s">
        <v>6366</v>
      </c>
      <c r="B4019" t="str" cm="1">
        <f t="array" ref="B4019">_xlfn.XLOOKUP(C4019, INDEX([2]!카테고리매핑,,2), INDEX([2]!카테고리매핑,,1), "미등록 카테고리")</f>
        <v>간식류</v>
      </c>
      <c r="C4019" t="s">
        <v>11</v>
      </c>
      <c r="D4019" t="str">
        <f>VLOOKUP(C4019, '[2]VLOOKUP 함수용 카테고리'!$A$1:$B$59, 2, 0)</f>
        <v>SNACK</v>
      </c>
      <c r="E4019" t="s">
        <v>371</v>
      </c>
      <c r="F4019" t="s">
        <v>6367</v>
      </c>
    </row>
    <row r="4020" spans="1:6" x14ac:dyDescent="0.3">
      <c r="A4020" t="s">
        <v>6368</v>
      </c>
      <c r="B4020" t="str" cm="1">
        <f t="array" ref="B4020">_xlfn.XLOOKUP(C4020, INDEX([2]!카테고리매핑,,2), INDEX([2]!카테고리매핑,,1), "미등록 카테고리")</f>
        <v>육류/계란</v>
      </c>
      <c r="C4020" t="s">
        <v>149</v>
      </c>
      <c r="D4020" t="str">
        <f>VLOOKUP(C4020, '[2]VLOOKUP 함수용 카테고리'!$A$1:$B$59, 2, 0)</f>
        <v>RAW_MEAT</v>
      </c>
      <c r="E4020" t="s">
        <v>1647</v>
      </c>
      <c r="F4020" t="s">
        <v>726</v>
      </c>
    </row>
    <row r="4021" spans="1:6" x14ac:dyDescent="0.3">
      <c r="A4021" t="s">
        <v>6369</v>
      </c>
      <c r="B4021" t="str" cm="1">
        <f t="array" ref="B4021">_xlfn.XLOOKUP(C4021, INDEX([2]!카테고리매핑,,2), INDEX([2]!카테고리매핑,,1), "미등록 카테고리")</f>
        <v>술</v>
      </c>
      <c r="C4021" t="s">
        <v>974</v>
      </c>
      <c r="D4021" t="str">
        <f>VLOOKUP(C4021, '[2]VLOOKUP 함수용 카테고리'!$A$1:$B$59, 2, 0)</f>
        <v>ALCOHOL</v>
      </c>
      <c r="E4021" t="s">
        <v>974</v>
      </c>
      <c r="F4021" t="s">
        <v>4577</v>
      </c>
    </row>
    <row r="4022" spans="1:6" x14ac:dyDescent="0.3">
      <c r="A4022" t="s">
        <v>6370</v>
      </c>
      <c r="B4022" t="str" cm="1">
        <f t="array" ref="B4022">_xlfn.XLOOKUP(C4022, INDEX([2]!카테고리매핑,,2), INDEX([2]!카테고리매핑,,1), "미등록 카테고리")</f>
        <v>간식류</v>
      </c>
      <c r="C4022" t="s">
        <v>11</v>
      </c>
      <c r="D4022" t="str">
        <f>VLOOKUP(C4022, '[2]VLOOKUP 함수용 카테고리'!$A$1:$B$59, 2, 0)</f>
        <v>SNACK</v>
      </c>
      <c r="E4022" t="s">
        <v>1775</v>
      </c>
      <c r="F4022" t="s">
        <v>215</v>
      </c>
    </row>
    <row r="4023" spans="1:6" x14ac:dyDescent="0.3">
      <c r="A4023" t="s">
        <v>6371</v>
      </c>
      <c r="B4023" t="str" cm="1">
        <f t="array" ref="B4023">_xlfn.XLOOKUP(C4023, INDEX([2]!카테고리매핑,,2), INDEX([2]!카테고리매핑,,1), "미등록 카테고리")</f>
        <v>과일/견과류</v>
      </c>
      <c r="C4023" t="s">
        <v>654</v>
      </c>
      <c r="D4023" t="str">
        <f>VLOOKUP(C4023, '[2]VLOOKUP 함수용 카테고리'!$A$1:$B$59, 2, 0)</f>
        <v>RAW_FRUIT</v>
      </c>
      <c r="E4023" t="s">
        <v>6372</v>
      </c>
    </row>
    <row r="4024" spans="1:6" x14ac:dyDescent="0.3">
      <c r="A4024" t="s">
        <v>6373</v>
      </c>
      <c r="B4024" t="str" cm="1">
        <f t="array" ref="B4024">_xlfn.XLOOKUP(C4024, INDEX([2]!카테고리매핑,,2), INDEX([2]!카테고리매핑,,1), "미등록 카테고리")</f>
        <v>간편식</v>
      </c>
      <c r="C4024" t="s">
        <v>131</v>
      </c>
      <c r="D4024" t="str">
        <f>VLOOKUP(C4024, '[2]VLOOKUP 함수용 카테고리'!$A$1:$B$59, 2, 0)</f>
        <v>SIMPLE_PROCESSED</v>
      </c>
      <c r="E4024" t="s">
        <v>3033</v>
      </c>
      <c r="F4024" t="s">
        <v>133</v>
      </c>
    </row>
    <row r="4025" spans="1:6" x14ac:dyDescent="0.3">
      <c r="A4025" t="s">
        <v>6374</v>
      </c>
      <c r="B4025" t="str" cm="1">
        <f t="array" ref="B4025">_xlfn.XLOOKUP(C4025, INDEX([2]!카테고리매핑,,2), INDEX([2]!카테고리매핑,,1), "미등록 카테고리")</f>
        <v>간식류</v>
      </c>
      <c r="C4025" t="s">
        <v>11</v>
      </c>
      <c r="D4025" t="str">
        <f>VLOOKUP(C4025, '[2]VLOOKUP 함수용 카테고리'!$A$1:$B$59, 2, 0)</f>
        <v>SNACK</v>
      </c>
      <c r="E4025" t="s">
        <v>6375</v>
      </c>
      <c r="F4025" t="s">
        <v>6376</v>
      </c>
    </row>
    <row r="4026" spans="1:6" x14ac:dyDescent="0.3">
      <c r="A4026" t="s">
        <v>6377</v>
      </c>
      <c r="B4026" t="str" cm="1">
        <f t="array" ref="B4026">_xlfn.XLOOKUP(C4026, INDEX([2]!카테고리매핑,,2), INDEX([2]!카테고리매핑,,1), "미등록 카테고리")</f>
        <v>수산물</v>
      </c>
      <c r="C4026" t="s">
        <v>229</v>
      </c>
      <c r="D4026" t="str">
        <f>VLOOKUP(C4026, '[2]VLOOKUP 함수용 카테고리'!$A$1:$B$59, 2, 0)</f>
        <v>RAW_SEAFOOD</v>
      </c>
      <c r="E4026" t="s">
        <v>5744</v>
      </c>
      <c r="F4026" t="s">
        <v>6378</v>
      </c>
    </row>
    <row r="4027" spans="1:6" x14ac:dyDescent="0.3">
      <c r="A4027" t="s">
        <v>6379</v>
      </c>
      <c r="B4027" t="str" cm="1">
        <f t="array" ref="B4027">_xlfn.XLOOKUP(C4027, INDEX([2]!카테고리매핑,,2), INDEX([2]!카테고리매핑,,1), "미등록 카테고리")</f>
        <v>간식류</v>
      </c>
      <c r="C4027" t="s">
        <v>38</v>
      </c>
      <c r="D4027" t="str">
        <f>VLOOKUP(C4027, '[2]VLOOKUP 함수용 카테고리'!$A$1:$B$59, 2, 0)</f>
        <v>SNACK</v>
      </c>
      <c r="E4027" t="s">
        <v>179</v>
      </c>
      <c r="F4027" t="s">
        <v>3307</v>
      </c>
    </row>
    <row r="4028" spans="1:6" x14ac:dyDescent="0.3">
      <c r="A4028" t="s">
        <v>6380</v>
      </c>
      <c r="B4028" t="str" cm="1">
        <f t="array" ref="B4028">_xlfn.XLOOKUP(C4028, INDEX([2]!카테고리매핑,,2), INDEX([2]!카테고리매핑,,1), "미등록 카테고리")</f>
        <v>간식류</v>
      </c>
      <c r="C4028" t="s">
        <v>11</v>
      </c>
      <c r="D4028" t="str">
        <f>VLOOKUP(C4028, '[2]VLOOKUP 함수용 카테고리'!$A$1:$B$59, 2, 0)</f>
        <v>SNACK</v>
      </c>
      <c r="E4028" t="s">
        <v>6381</v>
      </c>
      <c r="F4028" t="s">
        <v>2115</v>
      </c>
    </row>
    <row r="4029" spans="1:6" x14ac:dyDescent="0.3">
      <c r="A4029" t="s">
        <v>6382</v>
      </c>
      <c r="B4029" t="str" cm="1">
        <f t="array" ref="B4029">_xlfn.XLOOKUP(C4029, INDEX([2]!카테고리매핑,,2), INDEX([2]!카테고리매핑,,1), "미등록 카테고리")</f>
        <v>조미료</v>
      </c>
      <c r="C4029" t="s">
        <v>83</v>
      </c>
      <c r="D4029" t="str">
        <f>VLOOKUP(C4029, '[2]VLOOKUP 함수용 카테고리'!$A$1:$B$59, 2, 0)</f>
        <v>SAUCE_SEASONING</v>
      </c>
      <c r="E4029" t="s">
        <v>7667</v>
      </c>
      <c r="F4029" t="s">
        <v>136</v>
      </c>
    </row>
    <row r="4030" spans="1:6" x14ac:dyDescent="0.3">
      <c r="A4030" t="s">
        <v>6383</v>
      </c>
      <c r="B4030" t="str" cm="1">
        <f t="array" ref="B4030">_xlfn.XLOOKUP(C4030, INDEX([2]!카테고리매핑,,2), INDEX([2]!카테고리매핑,,1), "미등록 카테고리")</f>
        <v>간편식</v>
      </c>
      <c r="C4030" t="s">
        <v>19</v>
      </c>
      <c r="D4030" t="str">
        <f>VLOOKUP(C4030, '[2]VLOOKUP 함수용 카테고리'!$A$1:$B$59, 2, 0)</f>
        <v>FROZEN_MEAL</v>
      </c>
      <c r="E4030" t="s">
        <v>6384</v>
      </c>
      <c r="F4030" t="s">
        <v>1406</v>
      </c>
    </row>
    <row r="4031" spans="1:6" x14ac:dyDescent="0.3">
      <c r="A4031" t="s">
        <v>6385</v>
      </c>
      <c r="B4031" t="str" cm="1">
        <f t="array" ref="B4031">_xlfn.XLOOKUP(C4031, INDEX([2]!카테고리매핑,,2), INDEX([2]!카테고리매핑,,1), "미등록 카테고리")</f>
        <v>상온식품</v>
      </c>
      <c r="C4031" t="s">
        <v>835</v>
      </c>
      <c r="D4031" t="str">
        <f>VLOOKUP(C4031, '[2]VLOOKUP 함수용 카테고리'!$A$1:$B$59, 2, 0)</f>
        <v>SAUCE_SEASONING</v>
      </c>
      <c r="E4031" t="s">
        <v>2157</v>
      </c>
      <c r="F4031" t="s">
        <v>129</v>
      </c>
    </row>
    <row r="4032" spans="1:6" x14ac:dyDescent="0.3">
      <c r="A4032" t="s">
        <v>6386</v>
      </c>
      <c r="B4032" t="str" cm="1">
        <f t="array" ref="B4032">_xlfn.XLOOKUP(C4032, INDEX([2]!카테고리매핑,,2), INDEX([2]!카테고리매핑,,1), "미등록 카테고리")</f>
        <v>육류/계란</v>
      </c>
      <c r="C4032" t="s">
        <v>105</v>
      </c>
      <c r="D4032" t="str">
        <f>VLOOKUP(C4032, '[2]VLOOKUP 함수용 카테고리'!$A$1:$B$59, 2, 0)</f>
        <v>RAW_MEAT</v>
      </c>
      <c r="E4032" t="s">
        <v>2085</v>
      </c>
      <c r="F4032" t="s">
        <v>151</v>
      </c>
    </row>
    <row r="4033" spans="1:6" x14ac:dyDescent="0.3">
      <c r="A4033" t="s">
        <v>6387</v>
      </c>
      <c r="B4033" t="str" cm="1">
        <f t="array" ref="B4033">_xlfn.XLOOKUP(C4033, INDEX([2]!카테고리매핑,,2), INDEX([2]!카테고리매핑,,1), "미등록 카테고리")</f>
        <v>조미료</v>
      </c>
      <c r="C4033" t="s">
        <v>127</v>
      </c>
      <c r="D4033" t="str">
        <f>VLOOKUP(C4033, '[2]VLOOKUP 함수용 카테고리'!$A$1:$B$59, 2, 0)</f>
        <v>SAUCE_SEASONING</v>
      </c>
      <c r="E4033" t="s">
        <v>2817</v>
      </c>
      <c r="F4033" t="s">
        <v>4291</v>
      </c>
    </row>
    <row r="4034" spans="1:6" x14ac:dyDescent="0.3">
      <c r="A4034" t="s">
        <v>6388</v>
      </c>
      <c r="B4034" t="str" cm="1">
        <f t="array" ref="B4034">_xlfn.XLOOKUP(C4034, INDEX([2]!카테고리매핑,,2), INDEX([2]!카테고리매핑,,1), "미등록 카테고리")</f>
        <v>음료</v>
      </c>
      <c r="C4034" t="s">
        <v>23</v>
      </c>
      <c r="D4034" t="str">
        <f>VLOOKUP(C4034, '[2]VLOOKUP 함수용 카테고리'!$A$1:$B$59, 2, 0)</f>
        <v>BEVERAGE</v>
      </c>
      <c r="E4034" t="s">
        <v>1156</v>
      </c>
      <c r="F4034" t="s">
        <v>6389</v>
      </c>
    </row>
    <row r="4035" spans="1:6" x14ac:dyDescent="0.3">
      <c r="A4035" t="s">
        <v>6390</v>
      </c>
      <c r="B4035" t="str" cm="1">
        <f t="array" ref="B4035">_xlfn.XLOOKUP(C4035, INDEX([2]!카테고리매핑,,2), INDEX([2]!카테고리매핑,,1), "미등록 카테고리")</f>
        <v>조미료</v>
      </c>
      <c r="C4035" t="s">
        <v>127</v>
      </c>
      <c r="D4035" t="str">
        <f>VLOOKUP(C4035, '[2]VLOOKUP 함수용 카테고리'!$A$1:$B$59, 2, 0)</f>
        <v>SAUCE_SEASONING</v>
      </c>
      <c r="E4035" t="s">
        <v>781</v>
      </c>
      <c r="F4035" t="s">
        <v>129</v>
      </c>
    </row>
    <row r="4036" spans="1:6" x14ac:dyDescent="0.3">
      <c r="A4036" t="s">
        <v>6391</v>
      </c>
      <c r="B4036" t="str" cm="1">
        <f t="array" ref="B4036">_xlfn.XLOOKUP(C4036, INDEX([2]!카테고리매핑,,2), INDEX([2]!카테고리매핑,,1), "미등록 카테고리")</f>
        <v>간편식</v>
      </c>
      <c r="C4036" t="s">
        <v>167</v>
      </c>
      <c r="D4036" t="str">
        <f>VLOOKUP(C4036, '[2]VLOOKUP 함수용 카테고리'!$A$1:$B$59, 2, 0)</f>
        <v>INSTANT</v>
      </c>
      <c r="E4036" t="s">
        <v>6392</v>
      </c>
      <c r="F4036" t="s">
        <v>350</v>
      </c>
    </row>
    <row r="4037" spans="1:6" x14ac:dyDescent="0.3">
      <c r="A4037" t="s">
        <v>6393</v>
      </c>
      <c r="B4037" t="str" cm="1">
        <f t="array" ref="B4037">_xlfn.XLOOKUP(C4037, INDEX([2]!카테고리매핑,,2), INDEX([2]!카테고리매핑,,1), "미등록 카테고리")</f>
        <v>수산물</v>
      </c>
      <c r="C4037" t="s">
        <v>1673</v>
      </c>
      <c r="D4037" t="str">
        <f>VLOOKUP(C4037, '[2]VLOOKUP 함수용 카테고리'!$A$1:$B$59, 2, 0)</f>
        <v>RAW_SEAFOOD</v>
      </c>
      <c r="E4037" t="s">
        <v>1674</v>
      </c>
      <c r="F4037" t="s">
        <v>6394</v>
      </c>
    </row>
    <row r="4038" spans="1:6" x14ac:dyDescent="0.3">
      <c r="A4038" t="s">
        <v>6395</v>
      </c>
      <c r="B4038" t="str" cm="1">
        <f t="array" ref="B4038">_xlfn.XLOOKUP(C4038, INDEX([2]!카테고리매핑,,2), INDEX([2]!카테고리매핑,,1), "미등록 카테고리")</f>
        <v>간식류</v>
      </c>
      <c r="C4038" t="s">
        <v>109</v>
      </c>
      <c r="D4038" t="str">
        <f>VLOOKUP(C4038, '[2]VLOOKUP 함수용 카테고리'!$A$1:$B$59, 2, 0)</f>
        <v>SNACK</v>
      </c>
      <c r="E4038" t="s">
        <v>4864</v>
      </c>
      <c r="F4038" t="s">
        <v>6396</v>
      </c>
    </row>
    <row r="4039" spans="1:6" x14ac:dyDescent="0.3">
      <c r="A4039" t="s">
        <v>6397</v>
      </c>
      <c r="B4039" t="str" cm="1">
        <f t="array" ref="B4039">_xlfn.XLOOKUP(C4039, INDEX([2]!카테고리매핑,,2), INDEX([2]!카테고리매핑,,1), "미등록 카테고리")</f>
        <v>음료</v>
      </c>
      <c r="C4039" t="s">
        <v>23</v>
      </c>
      <c r="D4039" t="str">
        <f>VLOOKUP(C4039, '[2]VLOOKUP 함수용 카테고리'!$A$1:$B$59, 2, 0)</f>
        <v>BEVERAGE</v>
      </c>
      <c r="E4039" t="s">
        <v>1658</v>
      </c>
      <c r="F4039" t="s">
        <v>1659</v>
      </c>
    </row>
    <row r="4040" spans="1:6" x14ac:dyDescent="0.3">
      <c r="A4040" t="s">
        <v>6398</v>
      </c>
      <c r="B4040" t="str" cm="1">
        <f t="array" ref="B4040">_xlfn.XLOOKUP(C4040, INDEX([2]!카테고리매핑,,2), INDEX([2]!카테고리매핑,,1), "미등록 카테고리")</f>
        <v>간편식</v>
      </c>
      <c r="C4040" t="s">
        <v>161</v>
      </c>
      <c r="D4040" t="str">
        <f>VLOOKUP(C4040, '[2]VLOOKUP 함수용 카테고리'!$A$1:$B$59, 2, 0)</f>
        <v>RTC_MEAL</v>
      </c>
      <c r="E4040" t="s">
        <v>162</v>
      </c>
      <c r="F4040" t="s">
        <v>3487</v>
      </c>
    </row>
    <row r="4041" spans="1:6" x14ac:dyDescent="0.3">
      <c r="A4041" t="s">
        <v>6399</v>
      </c>
      <c r="B4041" t="str" cm="1">
        <f t="array" ref="B4041">_xlfn.XLOOKUP(C4041, INDEX([2]!카테고리매핑,,2), INDEX([2]!카테고리매핑,,1), "미등록 카테고리")</f>
        <v>과일/견과류</v>
      </c>
      <c r="C4041" t="s">
        <v>5029</v>
      </c>
      <c r="D4041" t="str">
        <f>VLOOKUP(C4041, '[2]VLOOKUP 함수용 카테고리'!$A$1:$B$59, 2, 0)</f>
        <v>SIMPLE_PROCESSED</v>
      </c>
      <c r="E4041" t="s">
        <v>6400</v>
      </c>
    </row>
    <row r="4042" spans="1:6" x14ac:dyDescent="0.3">
      <c r="A4042" t="s">
        <v>6401</v>
      </c>
      <c r="B4042" t="str" cm="1">
        <f t="array" ref="B4042">_xlfn.XLOOKUP(C4042, INDEX([2]!카테고리매핑,,2), INDEX([2]!카테고리매핑,,1), "미등록 카테고리")</f>
        <v>간편식</v>
      </c>
      <c r="C4042" t="s">
        <v>46</v>
      </c>
      <c r="D4042" t="str">
        <f>VLOOKUP(C4042, '[2]VLOOKUP 함수용 카테고리'!$A$1:$B$59, 2, 0)</f>
        <v>RTC_MEAL</v>
      </c>
      <c r="E4042" t="s">
        <v>46</v>
      </c>
      <c r="F4042" t="s">
        <v>1695</v>
      </c>
    </row>
    <row r="4043" spans="1:6" x14ac:dyDescent="0.3">
      <c r="A4043" t="s">
        <v>6402</v>
      </c>
      <c r="B4043" t="str" cm="1">
        <f t="array" ref="B4043">_xlfn.XLOOKUP(C4043, INDEX([2]!카테고리매핑,,2), INDEX([2]!카테고리매핑,,1), "미등록 카테고리")</f>
        <v>조미료</v>
      </c>
      <c r="C4043" t="s">
        <v>83</v>
      </c>
      <c r="D4043" t="str">
        <f>VLOOKUP(C4043, '[2]VLOOKUP 함수용 카테고리'!$A$1:$B$59, 2, 0)</f>
        <v>SAUCE_SEASONING</v>
      </c>
      <c r="E4043" t="s">
        <v>4279</v>
      </c>
      <c r="F4043" t="s">
        <v>269</v>
      </c>
    </row>
    <row r="4044" spans="1:6" x14ac:dyDescent="0.3">
      <c r="A4044" t="s">
        <v>6403</v>
      </c>
      <c r="B4044" t="str" cm="1">
        <f t="array" ref="B4044">_xlfn.XLOOKUP(C4044, INDEX([2]!카테고리매핑,,2), INDEX([2]!카테고리매핑,,1), "미등록 카테고리")</f>
        <v>술</v>
      </c>
      <c r="C4044" t="s">
        <v>42</v>
      </c>
      <c r="D4044" t="str">
        <f>VLOOKUP(C4044, '[2]VLOOKUP 함수용 카테고리'!$A$1:$B$59, 2, 0)</f>
        <v>ALCOHOL</v>
      </c>
      <c r="E4044" t="s">
        <v>347</v>
      </c>
      <c r="F4044" t="s">
        <v>6404</v>
      </c>
    </row>
    <row r="4045" spans="1:6" x14ac:dyDescent="0.3">
      <c r="A4045" t="s">
        <v>6405</v>
      </c>
      <c r="B4045" t="str" cm="1">
        <f t="array" ref="B4045">_xlfn.XLOOKUP(C4045, INDEX([2]!카테고리매핑,,2), INDEX([2]!카테고리매핑,,1), "미등록 카테고리")</f>
        <v>술</v>
      </c>
      <c r="C4045" t="s">
        <v>42</v>
      </c>
      <c r="D4045" t="str">
        <f>VLOOKUP(C4045, '[2]VLOOKUP 함수용 카테고리'!$A$1:$B$59, 2, 0)</f>
        <v>ALCOHOL</v>
      </c>
      <c r="E4045" t="s">
        <v>43</v>
      </c>
      <c r="F4045" t="s">
        <v>6406</v>
      </c>
    </row>
    <row r="4046" spans="1:6" x14ac:dyDescent="0.3">
      <c r="A4046" t="s">
        <v>6407</v>
      </c>
      <c r="B4046" t="str" cm="1">
        <f t="array" ref="B4046">_xlfn.XLOOKUP(C4046, INDEX([2]!카테고리매핑,,2), INDEX([2]!카테고리매핑,,1), "미등록 카테고리")</f>
        <v>조미료</v>
      </c>
      <c r="C4046" t="s">
        <v>117</v>
      </c>
      <c r="D4046" t="str">
        <f>VLOOKUP(C4046, '[2]VLOOKUP 함수용 카테고리'!$A$1:$B$59, 2, 0)</f>
        <v>SAUCE_SEASONING</v>
      </c>
      <c r="E4046" t="s">
        <v>6408</v>
      </c>
      <c r="F4046" t="s">
        <v>6409</v>
      </c>
    </row>
    <row r="4047" spans="1:6" x14ac:dyDescent="0.3">
      <c r="A4047" t="s">
        <v>6410</v>
      </c>
      <c r="B4047" t="str" cm="1">
        <f t="array" ref="B4047">_xlfn.XLOOKUP(C4047, INDEX([2]!카테고리매핑,,2), INDEX([2]!카테고리매핑,,1), "미등록 카테고리")</f>
        <v>육류/계란</v>
      </c>
      <c r="C4047" t="s">
        <v>149</v>
      </c>
      <c r="D4047" t="str">
        <f>VLOOKUP(C4047, '[2]VLOOKUP 함수용 카테고리'!$A$1:$B$59, 2, 0)</f>
        <v>RAW_MEAT</v>
      </c>
      <c r="E4047" t="s">
        <v>4781</v>
      </c>
      <c r="F4047" t="s">
        <v>5304</v>
      </c>
    </row>
    <row r="4048" spans="1:6" x14ac:dyDescent="0.3">
      <c r="A4048" t="s">
        <v>6411</v>
      </c>
      <c r="B4048" t="str" cm="1">
        <f t="array" ref="B4048">_xlfn.XLOOKUP(C4048, INDEX([2]!카테고리매핑,,2), INDEX([2]!카테고리매핑,,1), "미등록 카테고리")</f>
        <v>간편식</v>
      </c>
      <c r="C4048" t="s">
        <v>19</v>
      </c>
      <c r="D4048" t="str">
        <f>VLOOKUP(C4048, '[2]VLOOKUP 함수용 카테고리'!$A$1:$B$59, 2, 0)</f>
        <v>FROZEN_MEAL</v>
      </c>
      <c r="E4048" t="s">
        <v>20</v>
      </c>
      <c r="F4048" t="s">
        <v>632</v>
      </c>
    </row>
    <row r="4049" spans="1:6" x14ac:dyDescent="0.3">
      <c r="A4049" t="s">
        <v>6412</v>
      </c>
      <c r="B4049" t="str" cm="1">
        <f t="array" ref="B4049">_xlfn.XLOOKUP(C4049, INDEX([2]!카테고리매핑,,2), INDEX([2]!카테고리매핑,,1), "미등록 카테고리")</f>
        <v>상온식품</v>
      </c>
      <c r="C4049" t="s">
        <v>769</v>
      </c>
      <c r="D4049" t="str">
        <f>VLOOKUP(C4049, '[2]VLOOKUP 함수용 카테고리'!$A$1:$B$59, 2, 0)</f>
        <v>GRAIN</v>
      </c>
      <c r="E4049" t="s">
        <v>770</v>
      </c>
      <c r="F4049" t="s">
        <v>6413</v>
      </c>
    </row>
    <row r="4050" spans="1:6" x14ac:dyDescent="0.3">
      <c r="A4050" t="s">
        <v>6414</v>
      </c>
      <c r="B4050" t="str" cm="1">
        <f t="array" ref="B4050">_xlfn.XLOOKUP(C4050, INDEX([2]!카테고리매핑,,2), INDEX([2]!카테고리매핑,,1), "미등록 카테고리")</f>
        <v>육류/계란</v>
      </c>
      <c r="C4050" t="s">
        <v>34</v>
      </c>
      <c r="D4050" t="str">
        <f>VLOOKUP(C4050, '[2]VLOOKUP 함수용 카테고리'!$A$1:$B$59, 2, 0)</f>
        <v>RAW_MEAT</v>
      </c>
      <c r="E4050" t="s">
        <v>35</v>
      </c>
      <c r="F4050" t="s">
        <v>6415</v>
      </c>
    </row>
    <row r="4051" spans="1:6" x14ac:dyDescent="0.3">
      <c r="A4051" t="s">
        <v>6416</v>
      </c>
      <c r="B4051" t="str" cm="1">
        <f t="array" ref="B4051">_xlfn.XLOOKUP(C4051, INDEX([2]!카테고리매핑,,2), INDEX([2]!카테고리매핑,,1), "미등록 카테고리")</f>
        <v>유제품</v>
      </c>
      <c r="C4051" t="s">
        <v>211</v>
      </c>
      <c r="D4051" t="str">
        <f>VLOOKUP(C4051, '[2]VLOOKUP 함수용 카테고리'!$A$1:$B$59, 2, 0)</f>
        <v>DAIRY</v>
      </c>
      <c r="E4051" t="s">
        <v>211</v>
      </c>
      <c r="F4051" t="s">
        <v>1663</v>
      </c>
    </row>
    <row r="4052" spans="1:6" x14ac:dyDescent="0.3">
      <c r="A4052" t="s">
        <v>6417</v>
      </c>
      <c r="B4052" t="str" cm="1">
        <f t="array" ref="B4052">_xlfn.XLOOKUP(C4052, INDEX([2]!카테고리매핑,,2), INDEX([2]!카테고리매핑,,1), "미등록 카테고리")</f>
        <v>조미료</v>
      </c>
      <c r="C4052" t="s">
        <v>127</v>
      </c>
      <c r="D4052" t="str">
        <f>VLOOKUP(C4052, '[2]VLOOKUP 함수용 카테고리'!$A$1:$B$59, 2, 0)</f>
        <v>SAUCE_SEASONING</v>
      </c>
      <c r="E4052" t="s">
        <v>3095</v>
      </c>
      <c r="F4052" t="s">
        <v>1326</v>
      </c>
    </row>
    <row r="4053" spans="1:6" x14ac:dyDescent="0.3">
      <c r="A4053" t="s">
        <v>6418</v>
      </c>
      <c r="B4053" t="str" cm="1">
        <f t="array" ref="B4053">_xlfn.XLOOKUP(C4053, INDEX([2]!카테고리매핑,,2), INDEX([2]!카테고리매핑,,1), "미등록 카테고리")</f>
        <v>조미료</v>
      </c>
      <c r="C4053" t="s">
        <v>83</v>
      </c>
      <c r="D4053" t="str">
        <f>VLOOKUP(C4053, '[2]VLOOKUP 함수용 카테고리'!$A$1:$B$59, 2, 0)</f>
        <v>SAUCE_SEASONING</v>
      </c>
      <c r="E4053" t="s">
        <v>886</v>
      </c>
      <c r="F4053" t="s">
        <v>182</v>
      </c>
    </row>
    <row r="4054" spans="1:6" x14ac:dyDescent="0.3">
      <c r="A4054" t="s">
        <v>6419</v>
      </c>
      <c r="B4054" t="str" cm="1">
        <f t="array" ref="B4054">_xlfn.XLOOKUP(C4054, INDEX([2]!카테고리매핑,,2), INDEX([2]!카테고리매핑,,1), "미등록 카테고리")</f>
        <v>간식류</v>
      </c>
      <c r="C4054" t="s">
        <v>109</v>
      </c>
      <c r="D4054" t="str">
        <f>VLOOKUP(C4054, '[2]VLOOKUP 함수용 카테고리'!$A$1:$B$59, 2, 0)</f>
        <v>SNACK</v>
      </c>
      <c r="E4054" t="s">
        <v>933</v>
      </c>
      <c r="F4054" t="s">
        <v>1730</v>
      </c>
    </row>
    <row r="4055" spans="1:6" x14ac:dyDescent="0.3">
      <c r="A4055" t="s">
        <v>6420</v>
      </c>
      <c r="B4055" t="str" cm="1">
        <f t="array" ref="B4055">_xlfn.XLOOKUP(C4055, INDEX([2]!카테고리매핑,,2), INDEX([2]!카테고리매핑,,1), "미등록 카테고리")</f>
        <v>과일/견과류</v>
      </c>
      <c r="C4055" t="s">
        <v>5029</v>
      </c>
      <c r="D4055" t="str">
        <f>VLOOKUP(C4055, '[2]VLOOKUP 함수용 카테고리'!$A$1:$B$59, 2, 0)</f>
        <v>SIMPLE_PROCESSED</v>
      </c>
      <c r="E4055" t="s">
        <v>6400</v>
      </c>
    </row>
    <row r="4056" spans="1:6" x14ac:dyDescent="0.3">
      <c r="A4056" t="s">
        <v>6421</v>
      </c>
      <c r="B4056" t="str" cm="1">
        <f t="array" ref="B4056">_xlfn.XLOOKUP(C4056, INDEX([2]!카테고리매핑,,2), INDEX([2]!카테고리매핑,,1), "미등록 카테고리")</f>
        <v>간식류</v>
      </c>
      <c r="C4056" t="s">
        <v>63</v>
      </c>
      <c r="D4056" t="str">
        <f>VLOOKUP(C4056, '[2]VLOOKUP 함수용 카테고리'!$A$1:$B$59, 2, 0)</f>
        <v>BAKERY</v>
      </c>
      <c r="E4056" t="s">
        <v>5798</v>
      </c>
      <c r="F4056" t="s">
        <v>1552</v>
      </c>
    </row>
    <row r="4057" spans="1:6" x14ac:dyDescent="0.3">
      <c r="A4057" t="s">
        <v>6422</v>
      </c>
      <c r="B4057" t="str" cm="1">
        <f t="array" ref="B4057">_xlfn.XLOOKUP(C4057, INDEX([2]!카테고리매핑,,2), INDEX([2]!카테고리매핑,,1), "미등록 카테고리")</f>
        <v>상온식품</v>
      </c>
      <c r="C4057" t="s">
        <v>769</v>
      </c>
      <c r="D4057" t="str">
        <f>VLOOKUP(C4057, '[2]VLOOKUP 함수용 카테고리'!$A$1:$B$59, 2, 0)</f>
        <v>GRAIN</v>
      </c>
      <c r="E4057" t="s">
        <v>769</v>
      </c>
      <c r="F4057" t="s">
        <v>7892</v>
      </c>
    </row>
    <row r="4058" spans="1:6" x14ac:dyDescent="0.3">
      <c r="A4058" t="s">
        <v>6423</v>
      </c>
      <c r="B4058" t="str" cm="1">
        <f t="array" ref="B4058">_xlfn.XLOOKUP(C4058, INDEX([2]!카테고리매핑,,2), INDEX([2]!카테고리매핑,,1), "미등록 카테고리")</f>
        <v>간식류</v>
      </c>
      <c r="C4058" t="s">
        <v>63</v>
      </c>
      <c r="D4058" t="str">
        <f>VLOOKUP(C4058, '[2]VLOOKUP 함수용 카테고리'!$A$1:$B$59, 2, 0)</f>
        <v>BAKERY</v>
      </c>
      <c r="E4058" t="s">
        <v>6424</v>
      </c>
      <c r="F4058" t="s">
        <v>7893</v>
      </c>
    </row>
    <row r="4059" spans="1:6" x14ac:dyDescent="0.3">
      <c r="A4059" t="s">
        <v>6425</v>
      </c>
      <c r="B4059" t="str" cm="1">
        <f t="array" ref="B4059">_xlfn.XLOOKUP(C4059, INDEX([2]!카테고리매핑,,2), INDEX([2]!카테고리매핑,,1), "미등록 카테고리")</f>
        <v>채소/곡물류</v>
      </c>
      <c r="C4059" t="s">
        <v>7</v>
      </c>
      <c r="D4059" t="str">
        <f>VLOOKUP(C4059, '[2]VLOOKUP 함수용 카테고리'!$A$1:$B$59, 2, 0)</f>
        <v>RAW_PRODUCE</v>
      </c>
      <c r="E4059" t="s">
        <v>8</v>
      </c>
    </row>
    <row r="4060" spans="1:6" x14ac:dyDescent="0.3">
      <c r="A4060" t="s">
        <v>1298</v>
      </c>
      <c r="B4060" t="str" cm="1">
        <f t="array" ref="B4060">_xlfn.XLOOKUP(C4060, INDEX([2]!카테고리매핑,,2), INDEX([2]!카테고리매핑,,1), "미등록 카테고리")</f>
        <v>과일/견과류</v>
      </c>
      <c r="C4060" t="s">
        <v>1179</v>
      </c>
      <c r="D4060" t="str">
        <f>VLOOKUP(C4060, '[2]VLOOKUP 함수용 카테고리'!$A$1:$B$59, 2, 0)</f>
        <v>RAW_FRUIT</v>
      </c>
      <c r="E4060" t="s">
        <v>1180</v>
      </c>
      <c r="F4060" t="s">
        <v>1212</v>
      </c>
    </row>
    <row r="4061" spans="1:6" x14ac:dyDescent="0.3">
      <c r="A4061" t="s">
        <v>4108</v>
      </c>
      <c r="B4061" t="str" cm="1">
        <f t="array" ref="B4061">_xlfn.XLOOKUP(C4061, INDEX([2]!카테고리매핑,,2), INDEX([2]!카테고리매핑,,1), "미등록 카테고리")</f>
        <v>미등록 카테고리</v>
      </c>
      <c r="C4061" t="s">
        <v>334</v>
      </c>
      <c r="D4061" t="str">
        <f>VLOOKUP(C4061, '[2]VLOOKUP 함수용 카테고리'!$A$1:$B$59, 2, 0)</f>
        <v>UNKNOWN</v>
      </c>
      <c r="E4061" t="s">
        <v>334</v>
      </c>
      <c r="F4061" t="s">
        <v>7894</v>
      </c>
    </row>
    <row r="4062" spans="1:6" x14ac:dyDescent="0.3">
      <c r="A4062" t="s">
        <v>6426</v>
      </c>
      <c r="B4062" t="str" cm="1">
        <f t="array" ref="B4062">_xlfn.XLOOKUP(C4062, INDEX([2]!카테고리매핑,,2), INDEX([2]!카테고리매핑,,1), "미등록 카테고리")</f>
        <v>조미료</v>
      </c>
      <c r="C4062" t="s">
        <v>127</v>
      </c>
      <c r="D4062" t="str">
        <f>VLOOKUP(C4062, '[2]VLOOKUP 함수용 카테고리'!$A$1:$B$59, 2, 0)</f>
        <v>SAUCE_SEASONING</v>
      </c>
      <c r="E4062" t="s">
        <v>248</v>
      </c>
      <c r="F4062" t="s">
        <v>6427</v>
      </c>
    </row>
    <row r="4063" spans="1:6" x14ac:dyDescent="0.3">
      <c r="A4063" t="s">
        <v>6428</v>
      </c>
      <c r="B4063" t="str" cm="1">
        <f t="array" ref="B4063">_xlfn.XLOOKUP(C4063, INDEX([2]!카테고리매핑,,2), INDEX([2]!카테고리매핑,,1), "미등록 카테고리")</f>
        <v>유제품</v>
      </c>
      <c r="C4063" t="s">
        <v>211</v>
      </c>
      <c r="D4063" t="str">
        <f>VLOOKUP(C4063, '[2]VLOOKUP 함수용 카테고리'!$A$1:$B$59, 2, 0)</f>
        <v>DAIRY</v>
      </c>
      <c r="E4063" t="s">
        <v>211</v>
      </c>
      <c r="F4063" t="s">
        <v>3003</v>
      </c>
    </row>
    <row r="4064" spans="1:6" x14ac:dyDescent="0.3">
      <c r="A4064" t="s">
        <v>6429</v>
      </c>
      <c r="B4064" t="str" cm="1">
        <f t="array" ref="B4064">_xlfn.XLOOKUP(C4064, INDEX([2]!카테고리매핑,,2), INDEX([2]!카테고리매핑,,1), "미등록 카테고리")</f>
        <v>유제품</v>
      </c>
      <c r="C4064" t="s">
        <v>211</v>
      </c>
      <c r="D4064" t="str">
        <f>VLOOKUP(C4064, '[2]VLOOKUP 함수용 카테고리'!$A$1:$B$59, 2, 0)</f>
        <v>DAIRY</v>
      </c>
      <c r="E4064" t="s">
        <v>212</v>
      </c>
      <c r="F4064" t="s">
        <v>475</v>
      </c>
    </row>
    <row r="4065" spans="1:6" x14ac:dyDescent="0.3">
      <c r="A4065" t="s">
        <v>6430</v>
      </c>
      <c r="B4065" t="str" cm="1">
        <f t="array" ref="B4065">_xlfn.XLOOKUP(C4065, INDEX([2]!카테고리매핑,,2), INDEX([2]!카테고리매핑,,1), "미등록 카테고리")</f>
        <v>조미료</v>
      </c>
      <c r="C4065" t="s">
        <v>127</v>
      </c>
      <c r="D4065" t="str">
        <f>VLOOKUP(C4065, '[2]VLOOKUP 함수용 카테고리'!$A$1:$B$59, 2, 0)</f>
        <v>SAUCE_SEASONING</v>
      </c>
      <c r="E4065" t="s">
        <v>4529</v>
      </c>
      <c r="F4065" t="s">
        <v>6431</v>
      </c>
    </row>
    <row r="4066" spans="1:6" x14ac:dyDescent="0.3">
      <c r="A4066" t="s">
        <v>6432</v>
      </c>
      <c r="B4066" t="str" cm="1">
        <f t="array" ref="B4066">_xlfn.XLOOKUP(C4066, INDEX([2]!카테고리매핑,,2), INDEX([2]!카테고리매핑,,1), "미등록 카테고리")</f>
        <v>육류/계란</v>
      </c>
      <c r="C4066" t="s">
        <v>428</v>
      </c>
      <c r="D4066" t="str">
        <f>VLOOKUP(C4066, '[2]VLOOKUP 함수용 카테고리'!$A$1:$B$59, 2, 0)</f>
        <v>PROCESSED_MEAT</v>
      </c>
      <c r="E4066" t="s">
        <v>790</v>
      </c>
      <c r="F4066" t="s">
        <v>1141</v>
      </c>
    </row>
    <row r="4067" spans="1:6" x14ac:dyDescent="0.3">
      <c r="A4067" t="s">
        <v>6433</v>
      </c>
      <c r="B4067" t="str" cm="1">
        <f t="array" ref="B4067">_xlfn.XLOOKUP(C4067, INDEX([2]!카테고리매핑,,2), INDEX([2]!카테고리매핑,,1), "미등록 카테고리")</f>
        <v>간식류</v>
      </c>
      <c r="C4067" t="s">
        <v>38</v>
      </c>
      <c r="D4067" t="str">
        <f>VLOOKUP(C4067, '[2]VLOOKUP 함수용 카테고리'!$A$1:$B$59, 2, 0)</f>
        <v>SNACK</v>
      </c>
      <c r="E4067" t="s">
        <v>179</v>
      </c>
      <c r="F4067" t="s">
        <v>3264</v>
      </c>
    </row>
    <row r="4068" spans="1:6" x14ac:dyDescent="0.3">
      <c r="A4068" t="s">
        <v>6434</v>
      </c>
      <c r="B4068" t="str" cm="1">
        <f t="array" ref="B4068">_xlfn.XLOOKUP(C4068, INDEX([2]!카테고리매핑,,2), INDEX([2]!카테고리매핑,,1), "미등록 카테고리")</f>
        <v>간식류</v>
      </c>
      <c r="C4068" t="s">
        <v>15</v>
      </c>
      <c r="D4068" t="str">
        <f>VLOOKUP(C4068, '[2]VLOOKUP 함수용 카테고리'!$A$1:$B$59, 2, 0)</f>
        <v>BAKERY</v>
      </c>
      <c r="E4068" t="s">
        <v>200</v>
      </c>
      <c r="F4068" t="s">
        <v>6435</v>
      </c>
    </row>
    <row r="4069" spans="1:6" x14ac:dyDescent="0.3">
      <c r="A4069" t="s">
        <v>6436</v>
      </c>
      <c r="B4069" t="str" cm="1">
        <f t="array" ref="B4069">_xlfn.XLOOKUP(C4069, INDEX([2]!카테고리매핑,,2), INDEX([2]!카테고리매핑,,1), "미등록 카테고리")</f>
        <v>채소/곡물류</v>
      </c>
      <c r="C4069" t="s">
        <v>27</v>
      </c>
      <c r="D4069" t="str">
        <f>VLOOKUP(C4069, '[2]VLOOKUP 함수용 카테고리'!$A$1:$B$59, 2, 0)</f>
        <v>SIMPLE_PROCESSED</v>
      </c>
      <c r="E4069" t="s">
        <v>5560</v>
      </c>
      <c r="F4069" t="s">
        <v>29</v>
      </c>
    </row>
    <row r="4070" spans="1:6" x14ac:dyDescent="0.3">
      <c r="A4070" t="s">
        <v>6437</v>
      </c>
      <c r="B4070" t="str" cm="1">
        <f t="array" ref="B4070">_xlfn.XLOOKUP(C4070, INDEX([2]!카테고리매핑,,2), INDEX([2]!카테고리매핑,,1), "미등록 카테고리")</f>
        <v>조미료</v>
      </c>
      <c r="C4070" t="s">
        <v>127</v>
      </c>
      <c r="D4070" t="str">
        <f>VLOOKUP(C4070, '[2]VLOOKUP 함수용 카테고리'!$A$1:$B$59, 2, 0)</f>
        <v>SAUCE_SEASONING</v>
      </c>
      <c r="E4070" t="s">
        <v>4872</v>
      </c>
      <c r="F4070" t="s">
        <v>646</v>
      </c>
    </row>
    <row r="4071" spans="1:6" x14ac:dyDescent="0.3">
      <c r="A4071" t="s">
        <v>6438</v>
      </c>
      <c r="B4071" t="str" cm="1">
        <f t="array" ref="B4071">_xlfn.XLOOKUP(C4071, INDEX([2]!카테고리매핑,,2), INDEX([2]!카테고리매핑,,1), "미등록 카테고리")</f>
        <v>채소/곡물류</v>
      </c>
      <c r="C4071" t="s">
        <v>164</v>
      </c>
      <c r="D4071" t="str">
        <f>VLOOKUP(C4071, '[2]VLOOKUP 함수용 카테고리'!$A$1:$B$59, 2, 0)</f>
        <v>RAW_PRODUCE</v>
      </c>
      <c r="E4071" t="s">
        <v>1084</v>
      </c>
      <c r="F4071" t="s">
        <v>2174</v>
      </c>
    </row>
    <row r="4072" spans="1:6" x14ac:dyDescent="0.3">
      <c r="A4072" t="s">
        <v>6439</v>
      </c>
      <c r="B4072" t="str" cm="1">
        <f t="array" ref="B4072">_xlfn.XLOOKUP(C4072, INDEX([2]!카테고리매핑,,2), INDEX([2]!카테고리매핑,,1), "미등록 카테고리")</f>
        <v>조미료</v>
      </c>
      <c r="C4072" t="s">
        <v>127</v>
      </c>
      <c r="D4072" t="str">
        <f>VLOOKUP(C4072, '[2]VLOOKUP 함수용 카테고리'!$A$1:$B$59, 2, 0)</f>
        <v>SAUCE_SEASONING</v>
      </c>
      <c r="E4072" t="s">
        <v>5774</v>
      </c>
      <c r="F4072" t="s">
        <v>6440</v>
      </c>
    </row>
    <row r="4073" spans="1:6" x14ac:dyDescent="0.3">
      <c r="A4073" t="s">
        <v>6441</v>
      </c>
      <c r="B4073" t="str" cm="1">
        <f t="array" ref="B4073">_xlfn.XLOOKUP(C4073, INDEX([2]!카테고리매핑,,2), INDEX([2]!카테고리매핑,,1), "미등록 카테고리")</f>
        <v>수산물</v>
      </c>
      <c r="C4073" t="s">
        <v>140</v>
      </c>
      <c r="D4073" t="str">
        <f>VLOOKUP(C4073, '[2]VLOOKUP 함수용 카테고리'!$A$1:$B$59, 2, 0)</f>
        <v>SIMPLE_PROCESSED</v>
      </c>
      <c r="E4073" t="s">
        <v>141</v>
      </c>
      <c r="F4073" t="s">
        <v>1244</v>
      </c>
    </row>
    <row r="4074" spans="1:6" x14ac:dyDescent="0.3">
      <c r="A4074" t="s">
        <v>6442</v>
      </c>
      <c r="B4074" t="str" cm="1">
        <f t="array" ref="B4074">_xlfn.XLOOKUP(C4074, INDEX([2]!카테고리매핑,,2), INDEX([2]!카테고리매핑,,1), "미등록 카테고리")</f>
        <v>채소/곡물류</v>
      </c>
      <c r="C4074" t="s">
        <v>7</v>
      </c>
      <c r="D4074" t="str">
        <f>VLOOKUP(C4074, '[2]VLOOKUP 함수용 카테고리'!$A$1:$B$59, 2, 0)</f>
        <v>RAW_PRODUCE</v>
      </c>
      <c r="E4074" t="s">
        <v>1177</v>
      </c>
      <c r="F4074" t="s">
        <v>6443</v>
      </c>
    </row>
    <row r="4075" spans="1:6" x14ac:dyDescent="0.3">
      <c r="A4075" t="s">
        <v>6444</v>
      </c>
      <c r="B4075" t="str" cm="1">
        <f t="array" ref="B4075">_xlfn.XLOOKUP(C4075, INDEX([2]!카테고리매핑,,2), INDEX([2]!카테고리매핑,,1), "미등록 카테고리")</f>
        <v>육류/계란</v>
      </c>
      <c r="C4075" t="s">
        <v>105</v>
      </c>
      <c r="D4075" t="str">
        <f>VLOOKUP(C4075, '[2]VLOOKUP 함수용 카테고리'!$A$1:$B$59, 2, 0)</f>
        <v>RAW_MEAT</v>
      </c>
      <c r="E4075" t="s">
        <v>524</v>
      </c>
      <c r="F4075" t="s">
        <v>177</v>
      </c>
    </row>
    <row r="4076" spans="1:6" x14ac:dyDescent="0.3">
      <c r="A4076" t="s">
        <v>6445</v>
      </c>
      <c r="B4076" t="str" cm="1">
        <f t="array" ref="B4076">_xlfn.XLOOKUP(C4076, INDEX([2]!카테고리매핑,,2), INDEX([2]!카테고리매핑,,1), "미등록 카테고리")</f>
        <v>음료</v>
      </c>
      <c r="C4076" t="s">
        <v>23</v>
      </c>
      <c r="D4076" t="str">
        <f>VLOOKUP(C4076, '[2]VLOOKUP 함수용 카테고리'!$A$1:$B$59, 2, 0)</f>
        <v>BEVERAGE</v>
      </c>
      <c r="E4076" t="s">
        <v>355</v>
      </c>
      <c r="F4076" t="s">
        <v>6446</v>
      </c>
    </row>
    <row r="4077" spans="1:6" x14ac:dyDescent="0.3">
      <c r="A4077" t="s">
        <v>6447</v>
      </c>
      <c r="B4077" t="str" cm="1">
        <f t="array" ref="B4077">_xlfn.XLOOKUP(C4077, INDEX([2]!카테고리매핑,,2), INDEX([2]!카테고리매핑,,1), "미등록 카테고리")</f>
        <v>조미료</v>
      </c>
      <c r="C4077" t="s">
        <v>83</v>
      </c>
      <c r="D4077" t="str">
        <f>VLOOKUP(C4077, '[2]VLOOKUP 함수용 카테고리'!$A$1:$B$59, 2, 0)</f>
        <v>SAUCE_SEASONING</v>
      </c>
      <c r="E4077" t="s">
        <v>1372</v>
      </c>
      <c r="F4077" t="s">
        <v>1136</v>
      </c>
    </row>
    <row r="4078" spans="1:6" x14ac:dyDescent="0.3">
      <c r="A4078" t="s">
        <v>6448</v>
      </c>
      <c r="B4078" t="str" cm="1">
        <f t="array" ref="B4078">_xlfn.XLOOKUP(C4078, INDEX([2]!카테고리매핑,,2), INDEX([2]!카테고리매핑,,1), "미등록 카테고리")</f>
        <v>간식류</v>
      </c>
      <c r="C4078" t="s">
        <v>38</v>
      </c>
      <c r="D4078" t="str">
        <f>VLOOKUP(C4078, '[2]VLOOKUP 함수용 카테고리'!$A$1:$B$59, 2, 0)</f>
        <v>SNACK</v>
      </c>
      <c r="E4078" t="s">
        <v>39</v>
      </c>
      <c r="F4078" t="s">
        <v>6449</v>
      </c>
    </row>
    <row r="4079" spans="1:6" x14ac:dyDescent="0.3">
      <c r="A4079" t="s">
        <v>6450</v>
      </c>
      <c r="B4079" t="str" cm="1">
        <f t="array" ref="B4079">_xlfn.XLOOKUP(C4079, INDEX([2]!카테고리매핑,,2), INDEX([2]!카테고리매핑,,1), "미등록 카테고리")</f>
        <v>채소/곡물류</v>
      </c>
      <c r="C4079" t="s">
        <v>301</v>
      </c>
      <c r="D4079" t="str">
        <f>VLOOKUP(C4079, '[2]VLOOKUP 함수용 카테고리'!$A$1:$B$59, 2, 0)</f>
        <v>GRAIN</v>
      </c>
      <c r="E4079" t="s">
        <v>999</v>
      </c>
      <c r="F4079" t="s">
        <v>2059</v>
      </c>
    </row>
    <row r="4080" spans="1:6" x14ac:dyDescent="0.3">
      <c r="A4080" t="s">
        <v>6451</v>
      </c>
      <c r="B4080" t="str" cm="1">
        <f t="array" ref="B4080">_xlfn.XLOOKUP(C4080, INDEX([2]!카테고리매핑,,2), INDEX([2]!카테고리매핑,,1), "미등록 카테고리")</f>
        <v>간식류</v>
      </c>
      <c r="C4080" t="s">
        <v>11</v>
      </c>
      <c r="D4080" t="str">
        <f>VLOOKUP(C4080, '[2]VLOOKUP 함수용 카테고리'!$A$1:$B$59, 2, 0)</f>
        <v>SNACK</v>
      </c>
      <c r="E4080" t="s">
        <v>12</v>
      </c>
      <c r="F4080" t="s">
        <v>13</v>
      </c>
    </row>
    <row r="4081" spans="1:6" x14ac:dyDescent="0.3">
      <c r="A4081" t="s">
        <v>6452</v>
      </c>
      <c r="B4081" t="str" cm="1">
        <f t="array" ref="B4081">_xlfn.XLOOKUP(C4081, INDEX([2]!카테고리매핑,,2), INDEX([2]!카테고리매핑,,1), "미등록 카테고리")</f>
        <v>조미료</v>
      </c>
      <c r="C4081" t="s">
        <v>127</v>
      </c>
      <c r="D4081" t="str">
        <f>VLOOKUP(C4081, '[2]VLOOKUP 함수용 카테고리'!$A$1:$B$59, 2, 0)</f>
        <v>SAUCE_SEASONING</v>
      </c>
      <c r="E4081" t="s">
        <v>6453</v>
      </c>
      <c r="F4081" t="s">
        <v>615</v>
      </c>
    </row>
    <row r="4082" spans="1:6" x14ac:dyDescent="0.3">
      <c r="A4082" t="s">
        <v>6454</v>
      </c>
      <c r="B4082" t="str" cm="1">
        <f t="array" ref="B4082">_xlfn.XLOOKUP(C4082, INDEX([2]!카테고리매핑,,2), INDEX([2]!카테고리매핑,,1), "미등록 카테고리")</f>
        <v>간식류</v>
      </c>
      <c r="C4082" t="s">
        <v>15</v>
      </c>
      <c r="D4082" t="str">
        <f>VLOOKUP(C4082, '[2]VLOOKUP 함수용 카테고리'!$A$1:$B$59, 2, 0)</f>
        <v>BAKERY</v>
      </c>
      <c r="E4082" t="s">
        <v>1787</v>
      </c>
      <c r="F4082" t="s">
        <v>1788</v>
      </c>
    </row>
    <row r="4083" spans="1:6" x14ac:dyDescent="0.3">
      <c r="A4083" t="s">
        <v>6455</v>
      </c>
      <c r="B4083" t="str" cm="1">
        <f t="array" ref="B4083">_xlfn.XLOOKUP(C4083, INDEX([2]!카테고리매핑,,2), INDEX([2]!카테고리매핑,,1), "미등록 카테고리")</f>
        <v>간편식</v>
      </c>
      <c r="C4083" t="s">
        <v>46</v>
      </c>
      <c r="D4083" t="str">
        <f>VLOOKUP(C4083, '[2]VLOOKUP 함수용 카테고리'!$A$1:$B$59, 2, 0)</f>
        <v>RTC_MEAL</v>
      </c>
      <c r="E4083" t="s">
        <v>46</v>
      </c>
      <c r="F4083" t="s">
        <v>36</v>
      </c>
    </row>
    <row r="4084" spans="1:6" x14ac:dyDescent="0.3">
      <c r="A4084" t="s">
        <v>6456</v>
      </c>
      <c r="B4084" t="str" cm="1">
        <f t="array" ref="B4084">_xlfn.XLOOKUP(C4084, INDEX([2]!카테고리매핑,,2), INDEX([2]!카테고리매핑,,1), "미등록 카테고리")</f>
        <v>간식류</v>
      </c>
      <c r="C4084" t="s">
        <v>11</v>
      </c>
      <c r="D4084" t="str">
        <f>VLOOKUP(C4084, '[2]VLOOKUP 함수용 카테고리'!$A$1:$B$59, 2, 0)</f>
        <v>SNACK</v>
      </c>
      <c r="E4084" t="s">
        <v>6457</v>
      </c>
      <c r="F4084" t="s">
        <v>6458</v>
      </c>
    </row>
    <row r="4085" spans="1:6" x14ac:dyDescent="0.3">
      <c r="A4085" t="s">
        <v>6459</v>
      </c>
      <c r="B4085" t="str" cm="1">
        <f t="array" ref="B4085">_xlfn.XLOOKUP(C4085, INDEX([2]!카테고리매핑,,2), INDEX([2]!카테고리매핑,,1), "미등록 카테고리")</f>
        <v>수산물</v>
      </c>
      <c r="C4085" t="s">
        <v>101</v>
      </c>
      <c r="D4085" t="str">
        <f>VLOOKUP(C4085, '[2]VLOOKUP 함수용 카테고리'!$A$1:$B$59, 2, 0)</f>
        <v>DRIED_SEAFOOD</v>
      </c>
      <c r="E4085" t="s">
        <v>601</v>
      </c>
      <c r="F4085" t="s">
        <v>1065</v>
      </c>
    </row>
    <row r="4086" spans="1:6" x14ac:dyDescent="0.3">
      <c r="A4086" t="s">
        <v>6460</v>
      </c>
      <c r="B4086" t="str" cm="1">
        <f t="array" ref="B4086">_xlfn.XLOOKUP(C4086, INDEX([2]!카테고리매핑,,2), INDEX([2]!카테고리매핑,,1), "미등록 카테고리")</f>
        <v>간식류</v>
      </c>
      <c r="C4086" t="s">
        <v>38</v>
      </c>
      <c r="D4086" t="str">
        <f>VLOOKUP(C4086, '[2]VLOOKUP 함수용 카테고리'!$A$1:$B$59, 2, 0)</f>
        <v>SNACK</v>
      </c>
      <c r="E4086" t="s">
        <v>2017</v>
      </c>
      <c r="F4086" t="s">
        <v>734</v>
      </c>
    </row>
    <row r="4087" spans="1:6" x14ac:dyDescent="0.3">
      <c r="A4087" t="s">
        <v>6461</v>
      </c>
      <c r="B4087" t="str" cm="1">
        <f t="array" ref="B4087">_xlfn.XLOOKUP(C4087, INDEX([2]!카테고리매핑,,2), INDEX([2]!카테고리매핑,,1), "미등록 카테고리")</f>
        <v>간식류</v>
      </c>
      <c r="C4087" t="s">
        <v>15</v>
      </c>
      <c r="D4087" t="str">
        <f>VLOOKUP(C4087, '[2]VLOOKUP 함수용 카테고리'!$A$1:$B$59, 2, 0)</f>
        <v>BAKERY</v>
      </c>
      <c r="E4087" t="s">
        <v>53</v>
      </c>
      <c r="F4087" t="s">
        <v>1369</v>
      </c>
    </row>
    <row r="4088" spans="1:6" x14ac:dyDescent="0.3">
      <c r="A4088" t="s">
        <v>6462</v>
      </c>
      <c r="B4088" t="str" cm="1">
        <f t="array" ref="B4088">_xlfn.XLOOKUP(C4088, INDEX([2]!카테고리매핑,,2), INDEX([2]!카테고리매핑,,1), "미등록 카테고리")</f>
        <v>간식류</v>
      </c>
      <c r="C4088" t="s">
        <v>11</v>
      </c>
      <c r="D4088" t="str">
        <f>VLOOKUP(C4088, '[2]VLOOKUP 함수용 카테고리'!$A$1:$B$59, 2, 0)</f>
        <v>SNACK</v>
      </c>
      <c r="E4088" t="s">
        <v>4517</v>
      </c>
      <c r="F4088" t="s">
        <v>13</v>
      </c>
    </row>
    <row r="4089" spans="1:6" x14ac:dyDescent="0.3">
      <c r="A4089" t="s">
        <v>6463</v>
      </c>
      <c r="B4089" t="str" cm="1">
        <f t="array" ref="B4089">_xlfn.XLOOKUP(C4089, INDEX([2]!카테고리매핑,,2), INDEX([2]!카테고리매핑,,1), "미등록 카테고리")</f>
        <v>음료</v>
      </c>
      <c r="C4089" t="s">
        <v>23</v>
      </c>
      <c r="D4089" t="str">
        <f>VLOOKUP(C4089, '[2]VLOOKUP 함수용 카테고리'!$A$1:$B$59, 2, 0)</f>
        <v>BEVERAGE</v>
      </c>
      <c r="E4089" t="s">
        <v>355</v>
      </c>
      <c r="F4089" t="s">
        <v>356</v>
      </c>
    </row>
    <row r="4090" spans="1:6" x14ac:dyDescent="0.3">
      <c r="A4090" t="s">
        <v>6464</v>
      </c>
      <c r="B4090" t="str" cm="1">
        <f t="array" ref="B4090">_xlfn.XLOOKUP(C4090, INDEX([2]!카테고리매핑,,2), INDEX([2]!카테고리매핑,,1), "미등록 카테고리")</f>
        <v>조미료</v>
      </c>
      <c r="C4090" t="s">
        <v>84</v>
      </c>
      <c r="D4090" t="str">
        <f>VLOOKUP(C4090, '[2]VLOOKUP 함수용 카테고리'!$A$1:$B$59, 2, 0)</f>
        <v>SAUCE_SEASONING</v>
      </c>
      <c r="E4090" t="s">
        <v>85</v>
      </c>
      <c r="F4090" t="s">
        <v>4574</v>
      </c>
    </row>
    <row r="4091" spans="1:6" x14ac:dyDescent="0.3">
      <c r="A4091" t="s">
        <v>6465</v>
      </c>
      <c r="B4091" t="str" cm="1">
        <f t="array" ref="B4091">_xlfn.XLOOKUP(C4091, INDEX([2]!카테고리매핑,,2), INDEX([2]!카테고리매핑,,1), "미등록 카테고리")</f>
        <v>유제품</v>
      </c>
      <c r="C4091" t="s">
        <v>211</v>
      </c>
      <c r="D4091" t="str">
        <f>VLOOKUP(C4091, '[2]VLOOKUP 함수용 카테고리'!$A$1:$B$59, 2, 0)</f>
        <v>DAIRY</v>
      </c>
      <c r="E4091" t="s">
        <v>211</v>
      </c>
      <c r="F4091" t="s">
        <v>2603</v>
      </c>
    </row>
    <row r="4092" spans="1:6" x14ac:dyDescent="0.3">
      <c r="A4092" t="s">
        <v>6466</v>
      </c>
      <c r="B4092" t="str" cm="1">
        <f t="array" ref="B4092">_xlfn.XLOOKUP(C4092, INDEX([2]!카테고리매핑,,2), INDEX([2]!카테고리매핑,,1), "미등록 카테고리")</f>
        <v>간식류</v>
      </c>
      <c r="C4092" t="s">
        <v>63</v>
      </c>
      <c r="D4092" t="str">
        <f>VLOOKUP(C4092, '[2]VLOOKUP 함수용 카테고리'!$A$1:$B$59, 2, 0)</f>
        <v>BAKERY</v>
      </c>
      <c r="E4092" t="s">
        <v>226</v>
      </c>
      <c r="F4092" t="s">
        <v>1019</v>
      </c>
    </row>
    <row r="4093" spans="1:6" x14ac:dyDescent="0.3">
      <c r="A4093" t="s">
        <v>6467</v>
      </c>
      <c r="B4093" t="str" cm="1">
        <f t="array" ref="B4093">_xlfn.XLOOKUP(C4093, INDEX([2]!카테고리매핑,,2), INDEX([2]!카테고리매핑,,1), "미등록 카테고리")</f>
        <v>수산물</v>
      </c>
      <c r="C4093" t="s">
        <v>203</v>
      </c>
      <c r="D4093" t="str">
        <f>VLOOKUP(C4093, '[2]VLOOKUP 함수용 카테고리'!$A$1:$B$59, 2, 0)</f>
        <v>RAW_SEAFOOD</v>
      </c>
      <c r="E4093" t="s">
        <v>1801</v>
      </c>
      <c r="F4093" t="s">
        <v>1399</v>
      </c>
    </row>
    <row r="4094" spans="1:6" x14ac:dyDescent="0.3">
      <c r="A4094" t="s">
        <v>6468</v>
      </c>
      <c r="B4094" t="str" cm="1">
        <f t="array" ref="B4094">_xlfn.XLOOKUP(C4094, INDEX([2]!카테고리매핑,,2), INDEX([2]!카테고리매핑,,1), "미등록 카테고리")</f>
        <v>채소/곡물류</v>
      </c>
      <c r="C4094" t="s">
        <v>301</v>
      </c>
      <c r="D4094" t="str">
        <f>VLOOKUP(C4094, '[2]VLOOKUP 함수용 카테고리'!$A$1:$B$59, 2, 0)</f>
        <v>GRAIN</v>
      </c>
      <c r="E4094" t="s">
        <v>611</v>
      </c>
      <c r="F4094" t="s">
        <v>7895</v>
      </c>
    </row>
    <row r="4095" spans="1:6" x14ac:dyDescent="0.3">
      <c r="A4095" t="s">
        <v>6469</v>
      </c>
      <c r="B4095" t="str" cm="1">
        <f t="array" ref="B4095">_xlfn.XLOOKUP(C4095, INDEX([2]!카테고리매핑,,2), INDEX([2]!카테고리매핑,,1), "미등록 카테고리")</f>
        <v>간편식</v>
      </c>
      <c r="C4095" t="s">
        <v>131</v>
      </c>
      <c r="D4095" t="str">
        <f>VLOOKUP(C4095, '[2]VLOOKUP 함수용 카테고리'!$A$1:$B$59, 2, 0)</f>
        <v>SIMPLE_PROCESSED</v>
      </c>
      <c r="E4095" t="s">
        <v>2239</v>
      </c>
      <c r="F4095" t="s">
        <v>133</v>
      </c>
    </row>
    <row r="4096" spans="1:6" x14ac:dyDescent="0.3">
      <c r="A4096" t="s">
        <v>6470</v>
      </c>
      <c r="B4096" t="str" cm="1">
        <f t="array" ref="B4096">_xlfn.XLOOKUP(C4096, INDEX([2]!카테고리매핑,,2), INDEX([2]!카테고리매핑,,1), "미등록 카테고리")</f>
        <v>육류/계란</v>
      </c>
      <c r="C4096" t="s">
        <v>149</v>
      </c>
      <c r="D4096" t="str">
        <f>VLOOKUP(C4096, '[2]VLOOKUP 함수용 카테고리'!$A$1:$B$59, 2, 0)</f>
        <v>RAW_MEAT</v>
      </c>
      <c r="E4096" t="s">
        <v>1448</v>
      </c>
      <c r="F4096" t="s">
        <v>1340</v>
      </c>
    </row>
    <row r="4097" spans="1:6" x14ac:dyDescent="0.3">
      <c r="A4097" t="s">
        <v>6471</v>
      </c>
      <c r="B4097" t="str" cm="1">
        <f t="array" ref="B4097">_xlfn.XLOOKUP(C4097, INDEX([2]!카테고리매핑,,2), INDEX([2]!카테고리매핑,,1), "미등록 카테고리")</f>
        <v>간편식</v>
      </c>
      <c r="C4097" t="s">
        <v>256</v>
      </c>
      <c r="D4097" t="str">
        <f>VLOOKUP(C4097, '[2]VLOOKUP 함수용 카테고리'!$A$1:$B$59, 2, 0)</f>
        <v>RTC_MEAL</v>
      </c>
      <c r="E4097" t="s">
        <v>256</v>
      </c>
      <c r="F4097" t="s">
        <v>1969</v>
      </c>
    </row>
    <row r="4098" spans="1:6" x14ac:dyDescent="0.3">
      <c r="A4098" t="s">
        <v>6472</v>
      </c>
      <c r="B4098" t="str" cm="1">
        <f t="array" ref="B4098">_xlfn.XLOOKUP(C4098, INDEX([2]!카테고리매핑,,2), INDEX([2]!카테고리매핑,,1), "미등록 카테고리")</f>
        <v>간식류</v>
      </c>
      <c r="C4098" t="s">
        <v>109</v>
      </c>
      <c r="D4098" t="str">
        <f>VLOOKUP(C4098, '[2]VLOOKUP 함수용 카테고리'!$A$1:$B$59, 2, 0)</f>
        <v>SNACK</v>
      </c>
      <c r="E4098" t="s">
        <v>6473</v>
      </c>
      <c r="F4098" t="s">
        <v>6474</v>
      </c>
    </row>
    <row r="4099" spans="1:6" x14ac:dyDescent="0.3">
      <c r="A4099" t="s">
        <v>6475</v>
      </c>
      <c r="B4099" t="str" cm="1">
        <f t="array" ref="B4099">_xlfn.XLOOKUP(C4099, INDEX([2]!카테고리매핑,,2), INDEX([2]!카테고리매핑,,1), "미등록 카테고리")</f>
        <v>과일/견과류</v>
      </c>
      <c r="C4099" t="s">
        <v>654</v>
      </c>
      <c r="D4099" t="str">
        <f>VLOOKUP(C4099, '[2]VLOOKUP 함수용 카테고리'!$A$1:$B$59, 2, 0)</f>
        <v>RAW_FRUIT</v>
      </c>
      <c r="E4099" t="s">
        <v>5459</v>
      </c>
      <c r="F4099" t="s">
        <v>6476</v>
      </c>
    </row>
    <row r="4100" spans="1:6" x14ac:dyDescent="0.3">
      <c r="A4100" t="s">
        <v>6477</v>
      </c>
      <c r="B4100" t="str" cm="1">
        <f t="array" ref="B4100">_xlfn.XLOOKUP(C4100, INDEX([2]!카테고리매핑,,2), INDEX([2]!카테고리매핑,,1), "미등록 카테고리")</f>
        <v>간편식</v>
      </c>
      <c r="C4100" t="s">
        <v>256</v>
      </c>
      <c r="D4100" t="str">
        <f>VLOOKUP(C4100, '[2]VLOOKUP 함수용 카테고리'!$A$1:$B$59, 2, 0)</f>
        <v>RTC_MEAL</v>
      </c>
      <c r="E4100" t="s">
        <v>256</v>
      </c>
      <c r="F4100" t="s">
        <v>6478</v>
      </c>
    </row>
    <row r="4101" spans="1:6" x14ac:dyDescent="0.3">
      <c r="A4101" t="s">
        <v>6479</v>
      </c>
      <c r="B4101" t="str" cm="1">
        <f t="array" ref="B4101">_xlfn.XLOOKUP(C4101, INDEX([2]!카테고리매핑,,2), INDEX([2]!카테고리매핑,,1), "미등록 카테고리")</f>
        <v>술</v>
      </c>
      <c r="C4101" t="s">
        <v>56</v>
      </c>
      <c r="D4101" t="str">
        <f>VLOOKUP(C4101, '[2]VLOOKUP 함수용 카테고리'!$A$1:$B$59, 2, 0)</f>
        <v>ALCOHOL</v>
      </c>
      <c r="E4101" t="s">
        <v>57</v>
      </c>
      <c r="F4101" t="s">
        <v>6480</v>
      </c>
    </row>
    <row r="4102" spans="1:6" x14ac:dyDescent="0.3">
      <c r="A4102" t="s">
        <v>6481</v>
      </c>
      <c r="B4102" t="str" cm="1">
        <f t="array" ref="B4102">_xlfn.XLOOKUP(C4102, INDEX([2]!카테고리매핑,,2), INDEX([2]!카테고리매핑,,1), "미등록 카테고리")</f>
        <v>조미료</v>
      </c>
      <c r="C4102" t="s">
        <v>127</v>
      </c>
      <c r="D4102" t="str">
        <f>VLOOKUP(C4102, '[2]VLOOKUP 함수용 카테고리'!$A$1:$B$59, 2, 0)</f>
        <v>SAUCE_SEASONING</v>
      </c>
      <c r="E4102" t="s">
        <v>2817</v>
      </c>
      <c r="F4102" t="s">
        <v>1264</v>
      </c>
    </row>
    <row r="4103" spans="1:6" x14ac:dyDescent="0.3">
      <c r="A4103" t="s">
        <v>6482</v>
      </c>
      <c r="B4103" t="str" cm="1">
        <f t="array" ref="B4103">_xlfn.XLOOKUP(C4103, INDEX([2]!카테고리매핑,,2), INDEX([2]!카테고리매핑,,1), "미등록 카테고리")</f>
        <v>음료</v>
      </c>
      <c r="C4103" t="s">
        <v>708</v>
      </c>
      <c r="D4103" t="str">
        <f>VLOOKUP(C4103, '[2]VLOOKUP 함수용 카테고리'!$A$1:$B$59, 2, 0)</f>
        <v>BEVERAGE</v>
      </c>
      <c r="E4103" t="s">
        <v>708</v>
      </c>
      <c r="F4103" t="s">
        <v>1890</v>
      </c>
    </row>
    <row r="4104" spans="1:6" x14ac:dyDescent="0.3">
      <c r="A4104" t="s">
        <v>6483</v>
      </c>
      <c r="B4104" t="str" cm="1">
        <f t="array" ref="B4104">_xlfn.XLOOKUP(C4104, INDEX([2]!카테고리매핑,,2), INDEX([2]!카테고리매핑,,1), "미등록 카테고리")</f>
        <v>육류/계란</v>
      </c>
      <c r="C4104" t="s">
        <v>34</v>
      </c>
      <c r="D4104" t="str">
        <f>VLOOKUP(C4104, '[2]VLOOKUP 함수용 카테고리'!$A$1:$B$59, 2, 0)</f>
        <v>RAW_MEAT</v>
      </c>
      <c r="E4104" t="s">
        <v>35</v>
      </c>
      <c r="F4104" t="s">
        <v>1141</v>
      </c>
    </row>
    <row r="4105" spans="1:6" x14ac:dyDescent="0.3">
      <c r="A4105" t="s">
        <v>6484</v>
      </c>
      <c r="B4105" t="str" cm="1">
        <f t="array" ref="B4105">_xlfn.XLOOKUP(C4105, INDEX([2]!카테고리매핑,,2), INDEX([2]!카테고리매핑,,1), "미등록 카테고리")</f>
        <v>술</v>
      </c>
      <c r="C4105" t="s">
        <v>42</v>
      </c>
      <c r="D4105" t="str">
        <f>VLOOKUP(C4105, '[2]VLOOKUP 함수용 카테고리'!$A$1:$B$59, 2, 0)</f>
        <v>ALCOHOL</v>
      </c>
      <c r="E4105" t="s">
        <v>347</v>
      </c>
      <c r="F4105" t="s">
        <v>7896</v>
      </c>
    </row>
    <row r="4106" spans="1:6" x14ac:dyDescent="0.3">
      <c r="A4106" t="s">
        <v>6485</v>
      </c>
      <c r="B4106" t="str" cm="1">
        <f t="array" ref="B4106">_xlfn.XLOOKUP(C4106, INDEX([2]!카테고리매핑,,2), INDEX([2]!카테고리매핑,,1), "미등록 카테고리")</f>
        <v>간식류</v>
      </c>
      <c r="C4106" t="s">
        <v>11</v>
      </c>
      <c r="D4106" t="str">
        <f>VLOOKUP(C4106, '[2]VLOOKUP 함수용 카테고리'!$A$1:$B$59, 2, 0)</f>
        <v>SNACK</v>
      </c>
      <c r="E4106" t="s">
        <v>6486</v>
      </c>
      <c r="F4106" t="s">
        <v>6367</v>
      </c>
    </row>
    <row r="4107" spans="1:6" x14ac:dyDescent="0.3">
      <c r="A4107" t="s">
        <v>6487</v>
      </c>
      <c r="B4107" t="str" cm="1">
        <f t="array" ref="B4107">_xlfn.XLOOKUP(C4107, INDEX([2]!카테고리매핑,,2), INDEX([2]!카테고리매핑,,1), "미등록 카테고리")</f>
        <v>간식류</v>
      </c>
      <c r="C4107" t="s">
        <v>15</v>
      </c>
      <c r="D4107" t="str">
        <f>VLOOKUP(C4107, '[2]VLOOKUP 함수용 카테고리'!$A$1:$B$59, 2, 0)</f>
        <v>BAKERY</v>
      </c>
      <c r="E4107" t="s">
        <v>898</v>
      </c>
      <c r="F4107" t="s">
        <v>4120</v>
      </c>
    </row>
    <row r="4108" spans="1:6" x14ac:dyDescent="0.3">
      <c r="A4108" t="s">
        <v>6488</v>
      </c>
      <c r="B4108" t="str" cm="1">
        <f t="array" ref="B4108">_xlfn.XLOOKUP(C4108, INDEX([2]!카테고리매핑,,2), INDEX([2]!카테고리매핑,,1), "미등록 카테고리")</f>
        <v>간편식</v>
      </c>
      <c r="C4108" t="s">
        <v>46</v>
      </c>
      <c r="D4108" t="str">
        <f>VLOOKUP(C4108, '[2]VLOOKUP 함수용 카테고리'!$A$1:$B$59, 2, 0)</f>
        <v>RTC_MEAL</v>
      </c>
      <c r="E4108" t="s">
        <v>46</v>
      </c>
      <c r="F4108" t="s">
        <v>6489</v>
      </c>
    </row>
    <row r="4109" spans="1:6" x14ac:dyDescent="0.3">
      <c r="A4109" t="s">
        <v>6490</v>
      </c>
      <c r="B4109" t="str" cm="1">
        <f t="array" ref="B4109">_xlfn.XLOOKUP(C4109, INDEX([2]!카테고리매핑,,2), INDEX([2]!카테고리매핑,,1), "미등록 카테고리")</f>
        <v>간식류</v>
      </c>
      <c r="C4109" t="s">
        <v>63</v>
      </c>
      <c r="D4109" t="str">
        <f>VLOOKUP(C4109, '[2]VLOOKUP 함수용 카테고리'!$A$1:$B$59, 2, 0)</f>
        <v>BAKERY</v>
      </c>
      <c r="E4109" t="s">
        <v>3512</v>
      </c>
      <c r="F4109" t="s">
        <v>3713</v>
      </c>
    </row>
    <row r="4110" spans="1:6" x14ac:dyDescent="0.3">
      <c r="A4110" t="s">
        <v>6491</v>
      </c>
      <c r="B4110" t="str" cm="1">
        <f t="array" ref="B4110">_xlfn.XLOOKUP(C4110, INDEX([2]!카테고리매핑,,2), INDEX([2]!카테고리매핑,,1), "미등록 카테고리")</f>
        <v>음료</v>
      </c>
      <c r="C4110" t="s">
        <v>242</v>
      </c>
      <c r="D4110" t="str">
        <f>VLOOKUP(C4110, '[2]VLOOKUP 함수용 카테고리'!$A$1:$B$59, 2, 0)</f>
        <v>BEVERAGE</v>
      </c>
      <c r="E4110" t="s">
        <v>493</v>
      </c>
      <c r="F4110" t="s">
        <v>494</v>
      </c>
    </row>
    <row r="4111" spans="1:6" x14ac:dyDescent="0.3">
      <c r="A4111" t="s">
        <v>6492</v>
      </c>
      <c r="B4111" t="str" cm="1">
        <f t="array" ref="B4111">_xlfn.XLOOKUP(C4111, INDEX([2]!카테고리매핑,,2), INDEX([2]!카테고리매핑,,1), "미등록 카테고리")</f>
        <v>수산물</v>
      </c>
      <c r="C4111" t="s">
        <v>229</v>
      </c>
      <c r="D4111" t="str">
        <f>VLOOKUP(C4111, '[2]VLOOKUP 함수용 카테고리'!$A$1:$B$59, 2, 0)</f>
        <v>RAW_SEAFOOD</v>
      </c>
      <c r="E4111" t="s">
        <v>230</v>
      </c>
      <c r="F4111" t="s">
        <v>6493</v>
      </c>
    </row>
    <row r="4112" spans="1:6" x14ac:dyDescent="0.3">
      <c r="A4112" t="s">
        <v>6494</v>
      </c>
      <c r="B4112" t="str" cm="1">
        <f t="array" ref="B4112">_xlfn.XLOOKUP(C4112, INDEX([2]!카테고리매핑,,2), INDEX([2]!카테고리매핑,,1), "미등록 카테고리")</f>
        <v>채소/곡물류</v>
      </c>
      <c r="C4112" t="s">
        <v>207</v>
      </c>
      <c r="D4112" t="str">
        <f>VLOOKUP(C4112, '[2]VLOOKUP 함수용 카테고리'!$A$1:$B$59, 2, 0)</f>
        <v>GRAIN</v>
      </c>
      <c r="E4112" t="s">
        <v>2588</v>
      </c>
      <c r="F4112" t="s">
        <v>6495</v>
      </c>
    </row>
    <row r="4113" spans="1:6" x14ac:dyDescent="0.3">
      <c r="A4113" t="s">
        <v>6496</v>
      </c>
      <c r="B4113" t="str" cm="1">
        <f t="array" ref="B4113">_xlfn.XLOOKUP(C4113, INDEX([2]!카테고리매핑,,2), INDEX([2]!카테고리매핑,,1), "미등록 카테고리")</f>
        <v>간편식</v>
      </c>
      <c r="C4113" t="s">
        <v>256</v>
      </c>
      <c r="D4113" t="str">
        <f>VLOOKUP(C4113, '[2]VLOOKUP 함수용 카테고리'!$A$1:$B$59, 2, 0)</f>
        <v>RTC_MEAL</v>
      </c>
      <c r="E4113" t="s">
        <v>256</v>
      </c>
      <c r="F4113" t="s">
        <v>6497</v>
      </c>
    </row>
    <row r="4114" spans="1:6" x14ac:dyDescent="0.3">
      <c r="A4114" t="s">
        <v>6498</v>
      </c>
      <c r="B4114" t="str" cm="1">
        <f t="array" ref="B4114">_xlfn.XLOOKUP(C4114, INDEX([2]!카테고리매핑,,2), INDEX([2]!카테고리매핑,,1), "미등록 카테고리")</f>
        <v>과일/견과류</v>
      </c>
      <c r="C4114" t="s">
        <v>654</v>
      </c>
      <c r="D4114" t="str">
        <f>VLOOKUP(C4114, '[2]VLOOKUP 함수용 카테고리'!$A$1:$B$59, 2, 0)</f>
        <v>RAW_FRUIT</v>
      </c>
      <c r="E4114" t="s">
        <v>728</v>
      </c>
      <c r="F4114" t="s">
        <v>4524</v>
      </c>
    </row>
    <row r="4115" spans="1:6" x14ac:dyDescent="0.3">
      <c r="A4115" t="s">
        <v>6499</v>
      </c>
      <c r="B4115" t="str" cm="1">
        <f t="array" ref="B4115">_xlfn.XLOOKUP(C4115, INDEX([2]!카테고리매핑,,2), INDEX([2]!카테고리매핑,,1), "미등록 카테고리")</f>
        <v>수산물</v>
      </c>
      <c r="C4115" t="s">
        <v>101</v>
      </c>
      <c r="D4115" t="str">
        <f>VLOOKUP(C4115, '[2]VLOOKUP 함수용 카테고리'!$A$1:$B$59, 2, 0)</f>
        <v>DRIED_SEAFOOD</v>
      </c>
      <c r="E4115" t="s">
        <v>693</v>
      </c>
      <c r="F4115" t="s">
        <v>1761</v>
      </c>
    </row>
    <row r="4116" spans="1:6" x14ac:dyDescent="0.3">
      <c r="A4116" t="s">
        <v>6500</v>
      </c>
      <c r="B4116" t="str" cm="1">
        <f t="array" ref="B4116">_xlfn.XLOOKUP(C4116, INDEX([2]!카테고리매핑,,2), INDEX([2]!카테고리매핑,,1), "미등록 카테고리")</f>
        <v>육류/계란</v>
      </c>
      <c r="C4116" t="s">
        <v>34</v>
      </c>
      <c r="D4116" t="str">
        <f>VLOOKUP(C4116, '[2]VLOOKUP 함수용 카테고리'!$A$1:$B$59, 2, 0)</f>
        <v>RAW_MEAT</v>
      </c>
      <c r="E4116" t="s">
        <v>35</v>
      </c>
      <c r="F4116" t="s">
        <v>151</v>
      </c>
    </row>
    <row r="4117" spans="1:6" x14ac:dyDescent="0.3">
      <c r="A4117" t="s">
        <v>6501</v>
      </c>
      <c r="B4117" t="str" cm="1">
        <f t="array" ref="B4117">_xlfn.XLOOKUP(C4117, INDEX([2]!카테고리매핑,,2), INDEX([2]!카테고리매핑,,1), "미등록 카테고리")</f>
        <v>채소/곡물류</v>
      </c>
      <c r="C4117" t="s">
        <v>7</v>
      </c>
      <c r="D4117" t="str">
        <f>VLOOKUP(C4117, '[2]VLOOKUP 함수용 카테고리'!$A$1:$B$59, 2, 0)</f>
        <v>RAW_PRODUCE</v>
      </c>
      <c r="E4117" t="s">
        <v>716</v>
      </c>
      <c r="F4117" t="s">
        <v>406</v>
      </c>
    </row>
    <row r="4118" spans="1:6" x14ac:dyDescent="0.3">
      <c r="A4118" t="s">
        <v>7897</v>
      </c>
      <c r="B4118" t="str" cm="1">
        <f t="array" ref="B4118">_xlfn.XLOOKUP(C4118, INDEX([2]!카테고리매핑,,2), INDEX([2]!카테고리매핑,,1), "미등록 카테고리")</f>
        <v>수산물</v>
      </c>
      <c r="C4118" t="s">
        <v>203</v>
      </c>
      <c r="D4118" t="str">
        <f>VLOOKUP(C4118, '[2]VLOOKUP 함수용 카테고리'!$A$1:$B$59, 2, 0)</f>
        <v>RAW_SEAFOOD</v>
      </c>
      <c r="E4118" t="s">
        <v>1801</v>
      </c>
      <c r="F4118" t="s">
        <v>7794</v>
      </c>
    </row>
    <row r="4119" spans="1:6" x14ac:dyDescent="0.3">
      <c r="A4119" t="s">
        <v>6502</v>
      </c>
      <c r="B4119" t="str" cm="1">
        <f t="array" ref="B4119">_xlfn.XLOOKUP(C4119, INDEX([2]!카테고리매핑,,2), INDEX([2]!카테고리매핑,,1), "미등록 카테고리")</f>
        <v>상온식품</v>
      </c>
      <c r="C4119" t="s">
        <v>769</v>
      </c>
      <c r="D4119" t="str">
        <f>VLOOKUP(C4119, '[2]VLOOKUP 함수용 카테고리'!$A$1:$B$59, 2, 0)</f>
        <v>GRAIN</v>
      </c>
      <c r="E4119" t="s">
        <v>770</v>
      </c>
      <c r="F4119" t="s">
        <v>6187</v>
      </c>
    </row>
    <row r="4120" spans="1:6" x14ac:dyDescent="0.3">
      <c r="A4120" t="s">
        <v>6503</v>
      </c>
      <c r="B4120" t="str" cm="1">
        <f t="array" ref="B4120">_xlfn.XLOOKUP(C4120, INDEX([2]!카테고리매핑,,2), INDEX([2]!카테고리매핑,,1), "미등록 카테고리")</f>
        <v>간편식</v>
      </c>
      <c r="C4120" t="s">
        <v>46</v>
      </c>
      <c r="D4120" t="str">
        <f>VLOOKUP(C4120, '[2]VLOOKUP 함수용 카테고리'!$A$1:$B$59, 2, 0)</f>
        <v>RTC_MEAL</v>
      </c>
      <c r="E4120" t="s">
        <v>46</v>
      </c>
      <c r="F4120" t="s">
        <v>6504</v>
      </c>
    </row>
    <row r="4121" spans="1:6" x14ac:dyDescent="0.3">
      <c r="A4121" t="s">
        <v>6505</v>
      </c>
      <c r="B4121" t="str" cm="1">
        <f t="array" ref="B4121">_xlfn.XLOOKUP(C4121, INDEX([2]!카테고리매핑,,2), INDEX([2]!카테고리매핑,,1), "미등록 카테고리")</f>
        <v>술</v>
      </c>
      <c r="C4121" t="s">
        <v>56</v>
      </c>
      <c r="D4121" t="str">
        <f>VLOOKUP(C4121, '[2]VLOOKUP 함수용 카테고리'!$A$1:$B$59, 2, 0)</f>
        <v>ALCOHOL</v>
      </c>
      <c r="E4121" t="s">
        <v>57</v>
      </c>
      <c r="F4121" t="s">
        <v>7898</v>
      </c>
    </row>
    <row r="4122" spans="1:6" x14ac:dyDescent="0.3">
      <c r="A4122" t="s">
        <v>6506</v>
      </c>
      <c r="B4122" t="str" cm="1">
        <f t="array" ref="B4122">_xlfn.XLOOKUP(C4122, INDEX([2]!카테고리매핑,,2), INDEX([2]!카테고리매핑,,1), "미등록 카테고리")</f>
        <v>간편식</v>
      </c>
      <c r="C4122" t="s">
        <v>131</v>
      </c>
      <c r="D4122" t="str">
        <f>VLOOKUP(C4122, '[2]VLOOKUP 함수용 카테고리'!$A$1:$B$59, 2, 0)</f>
        <v>SIMPLE_PROCESSED</v>
      </c>
      <c r="E4122" t="s">
        <v>132</v>
      </c>
      <c r="F4122" t="s">
        <v>303</v>
      </c>
    </row>
    <row r="4123" spans="1:6" x14ac:dyDescent="0.3">
      <c r="A4123" t="s">
        <v>6507</v>
      </c>
      <c r="B4123" t="str" cm="1">
        <f t="array" ref="B4123">_xlfn.XLOOKUP(C4123, INDEX([2]!카테고리매핑,,2), INDEX([2]!카테고리매핑,,1), "미등록 카테고리")</f>
        <v>조미료</v>
      </c>
      <c r="C4123" t="s">
        <v>127</v>
      </c>
      <c r="D4123" t="str">
        <f>VLOOKUP(C4123, '[2]VLOOKUP 함수용 카테고리'!$A$1:$B$59, 2, 0)</f>
        <v>SAUCE_SEASONING</v>
      </c>
      <c r="E4123" t="s">
        <v>1251</v>
      </c>
      <c r="F4123" t="s">
        <v>6508</v>
      </c>
    </row>
    <row r="4124" spans="1:6" x14ac:dyDescent="0.3">
      <c r="A4124" t="s">
        <v>6509</v>
      </c>
      <c r="B4124" t="str" cm="1">
        <f t="array" ref="B4124">_xlfn.XLOOKUP(C4124, INDEX([2]!카테고리매핑,,2), INDEX([2]!카테고리매핑,,1), "미등록 카테고리")</f>
        <v>간식류</v>
      </c>
      <c r="C4124" t="s">
        <v>63</v>
      </c>
      <c r="D4124" t="str">
        <f>VLOOKUP(C4124, '[2]VLOOKUP 함수용 카테고리'!$A$1:$B$59, 2, 0)</f>
        <v>BAKERY</v>
      </c>
      <c r="E4124" t="s">
        <v>496</v>
      </c>
      <c r="F4124" t="s">
        <v>1352</v>
      </c>
    </row>
    <row r="4125" spans="1:6" x14ac:dyDescent="0.3">
      <c r="A4125" t="s">
        <v>6510</v>
      </c>
      <c r="B4125" t="str" cm="1">
        <f t="array" ref="B4125">_xlfn.XLOOKUP(C4125, INDEX([2]!카테고리매핑,,2), INDEX([2]!카테고리매핑,,1), "미등록 카테고리")</f>
        <v>간식류</v>
      </c>
      <c r="C4125" t="s">
        <v>38</v>
      </c>
      <c r="D4125" t="str">
        <f>VLOOKUP(C4125, '[2]VLOOKUP 함수용 카테고리'!$A$1:$B$59, 2, 0)</f>
        <v>SNACK</v>
      </c>
      <c r="E4125" t="s">
        <v>179</v>
      </c>
      <c r="F4125" t="s">
        <v>6511</v>
      </c>
    </row>
    <row r="4126" spans="1:6" x14ac:dyDescent="0.3">
      <c r="A4126" t="s">
        <v>6512</v>
      </c>
      <c r="B4126" t="str" cm="1">
        <f t="array" ref="B4126">_xlfn.XLOOKUP(C4126, INDEX([2]!카테고리매핑,,2), INDEX([2]!카테고리매핑,,1), "미등록 카테고리")</f>
        <v>간식류</v>
      </c>
      <c r="C4126" t="s">
        <v>11</v>
      </c>
      <c r="D4126" t="str">
        <f>VLOOKUP(C4126, '[2]VLOOKUP 함수용 카테고리'!$A$1:$B$59, 2, 0)</f>
        <v>SNACK</v>
      </c>
      <c r="E4126" t="s">
        <v>371</v>
      </c>
      <c r="F4126" t="s">
        <v>7899</v>
      </c>
    </row>
    <row r="4127" spans="1:6" x14ac:dyDescent="0.3">
      <c r="A4127" t="s">
        <v>6513</v>
      </c>
      <c r="B4127" t="str" cm="1">
        <f t="array" ref="B4127">_xlfn.XLOOKUP(C4127, INDEX([2]!카테고리매핑,,2), INDEX([2]!카테고리매핑,,1), "미등록 카테고리")</f>
        <v>수산물</v>
      </c>
      <c r="C4127" t="s">
        <v>101</v>
      </c>
      <c r="D4127" t="str">
        <f>VLOOKUP(C4127, '[2]VLOOKUP 함수용 카테고리'!$A$1:$B$59, 2, 0)</f>
        <v>DRIED_SEAFOOD</v>
      </c>
      <c r="E4127" t="s">
        <v>601</v>
      </c>
      <c r="F4127" t="s">
        <v>856</v>
      </c>
    </row>
    <row r="4128" spans="1:6" x14ac:dyDescent="0.3">
      <c r="A4128" t="s">
        <v>6514</v>
      </c>
      <c r="B4128" t="str" cm="1">
        <f t="array" ref="B4128">_xlfn.XLOOKUP(C4128, INDEX([2]!카테고리매핑,,2), INDEX([2]!카테고리매핑,,1), "미등록 카테고리")</f>
        <v>조미료</v>
      </c>
      <c r="C4128" t="s">
        <v>117</v>
      </c>
      <c r="D4128" t="str">
        <f>VLOOKUP(C4128, '[2]VLOOKUP 함수용 카테고리'!$A$1:$B$59, 2, 0)</f>
        <v>SAUCE_SEASONING</v>
      </c>
      <c r="E4128" t="s">
        <v>2135</v>
      </c>
      <c r="F4128" t="s">
        <v>350</v>
      </c>
    </row>
    <row r="4129" spans="1:6" x14ac:dyDescent="0.3">
      <c r="A4129" t="s">
        <v>6515</v>
      </c>
      <c r="B4129" t="str" cm="1">
        <f t="array" ref="B4129">_xlfn.XLOOKUP(C4129, INDEX([2]!카테고리매핑,,2), INDEX([2]!카테고리매핑,,1), "미등록 카테고리")</f>
        <v>육류/계란</v>
      </c>
      <c r="C4129" t="s">
        <v>428</v>
      </c>
      <c r="D4129" t="str">
        <f>VLOOKUP(C4129, '[2]VLOOKUP 함수용 카테고리'!$A$1:$B$59, 2, 0)</f>
        <v>PROCESSED_MEAT</v>
      </c>
      <c r="E4129" t="s">
        <v>429</v>
      </c>
      <c r="F4129" t="s">
        <v>6516</v>
      </c>
    </row>
    <row r="4130" spans="1:6" x14ac:dyDescent="0.3">
      <c r="A4130" t="s">
        <v>6517</v>
      </c>
      <c r="B4130" t="str" cm="1">
        <f t="array" ref="B4130">_xlfn.XLOOKUP(C4130, INDEX([2]!카테고리매핑,,2), INDEX([2]!카테고리매핑,,1), "미등록 카테고리")</f>
        <v>유제품</v>
      </c>
      <c r="C4130" t="s">
        <v>123</v>
      </c>
      <c r="D4130" t="str">
        <f>VLOOKUP(C4130, '[2]VLOOKUP 함수용 카테고리'!$A$1:$B$59, 2, 0)</f>
        <v>DAIRY</v>
      </c>
      <c r="E4130" t="s">
        <v>190</v>
      </c>
      <c r="F4130" t="s">
        <v>2435</v>
      </c>
    </row>
    <row r="4131" spans="1:6" x14ac:dyDescent="0.3">
      <c r="A4131" t="s">
        <v>6518</v>
      </c>
      <c r="B4131" t="str" cm="1">
        <f t="array" ref="B4131">_xlfn.XLOOKUP(C4131, INDEX([2]!카테고리매핑,,2), INDEX([2]!카테고리매핑,,1), "미등록 카테고리")</f>
        <v>간편식</v>
      </c>
      <c r="C4131" t="s">
        <v>19</v>
      </c>
      <c r="D4131" t="str">
        <f>VLOOKUP(C4131, '[2]VLOOKUP 함수용 카테고리'!$A$1:$B$59, 2, 0)</f>
        <v>FROZEN_MEAL</v>
      </c>
      <c r="E4131" t="s">
        <v>6519</v>
      </c>
      <c r="F4131" t="s">
        <v>350</v>
      </c>
    </row>
    <row r="4132" spans="1:6" x14ac:dyDescent="0.3">
      <c r="A4132" t="s">
        <v>6520</v>
      </c>
      <c r="B4132" t="str" cm="1">
        <f t="array" ref="B4132">_xlfn.XLOOKUP(C4132, INDEX([2]!카테고리매핑,,2), INDEX([2]!카테고리매핑,,1), "미등록 카테고리")</f>
        <v>유제품</v>
      </c>
      <c r="C4132" t="s">
        <v>211</v>
      </c>
      <c r="D4132" t="str">
        <f>VLOOKUP(C4132, '[2]VLOOKUP 함수용 카테고리'!$A$1:$B$59, 2, 0)</f>
        <v>DAIRY</v>
      </c>
      <c r="E4132" t="s">
        <v>211</v>
      </c>
      <c r="F4132" t="s">
        <v>475</v>
      </c>
    </row>
    <row r="4133" spans="1:6" x14ac:dyDescent="0.3">
      <c r="A4133" t="s">
        <v>6521</v>
      </c>
      <c r="B4133" t="str" cm="1">
        <f t="array" ref="B4133">_xlfn.XLOOKUP(C4133, INDEX([2]!카테고리매핑,,2), INDEX([2]!카테고리매핑,,1), "미등록 카테고리")</f>
        <v>과일/견과류</v>
      </c>
      <c r="C4133" t="s">
        <v>654</v>
      </c>
      <c r="D4133" t="str">
        <f>VLOOKUP(C4133, '[2]VLOOKUP 함수용 카테고리'!$A$1:$B$59, 2, 0)</f>
        <v>RAW_FRUIT</v>
      </c>
      <c r="E4133" t="s">
        <v>6522</v>
      </c>
      <c r="F4133" t="s">
        <v>6523</v>
      </c>
    </row>
    <row r="4134" spans="1:6" x14ac:dyDescent="0.3">
      <c r="A4134" t="s">
        <v>2866</v>
      </c>
      <c r="B4134" t="str" cm="1">
        <f t="array" ref="B4134">_xlfn.XLOOKUP(C4134, INDEX([2]!카테고리매핑,,2), INDEX([2]!카테고리매핑,,1), "미등록 카테고리")</f>
        <v>간식류</v>
      </c>
      <c r="C4134" t="s">
        <v>38</v>
      </c>
      <c r="D4134" t="str">
        <f>VLOOKUP(C4134, '[2]VLOOKUP 함수용 카테고리'!$A$1:$B$59, 2, 0)</f>
        <v>SNACK</v>
      </c>
      <c r="E4134" t="s">
        <v>6524</v>
      </c>
      <c r="F4134" t="s">
        <v>54</v>
      </c>
    </row>
    <row r="4135" spans="1:6" x14ac:dyDescent="0.3">
      <c r="A4135" t="s">
        <v>6525</v>
      </c>
      <c r="B4135" t="str" cm="1">
        <f t="array" ref="B4135">_xlfn.XLOOKUP(C4135, INDEX([2]!카테고리매핑,,2), INDEX([2]!카테고리매핑,,1), "미등록 카테고리")</f>
        <v>유제품</v>
      </c>
      <c r="C4135" t="s">
        <v>123</v>
      </c>
      <c r="D4135" t="str">
        <f>VLOOKUP(C4135, '[2]VLOOKUP 함수용 카테고리'!$A$1:$B$59, 2, 0)</f>
        <v>DAIRY</v>
      </c>
      <c r="E4135" t="s">
        <v>4687</v>
      </c>
      <c r="F4135" t="s">
        <v>7900</v>
      </c>
    </row>
    <row r="4136" spans="1:6" x14ac:dyDescent="0.3">
      <c r="A4136" t="s">
        <v>6526</v>
      </c>
      <c r="B4136" t="str" cm="1">
        <f t="array" ref="B4136">_xlfn.XLOOKUP(C4136, INDEX([2]!카테고리매핑,,2), INDEX([2]!카테고리매핑,,1), "미등록 카테고리")</f>
        <v>상온식품</v>
      </c>
      <c r="C4136" t="s">
        <v>835</v>
      </c>
      <c r="D4136" t="str">
        <f>VLOOKUP(C4136, '[2]VLOOKUP 함수용 카테고리'!$A$1:$B$59, 2, 0)</f>
        <v>SAUCE_SEASONING</v>
      </c>
      <c r="E4136" t="s">
        <v>6527</v>
      </c>
      <c r="F4136" t="s">
        <v>6528</v>
      </c>
    </row>
    <row r="4137" spans="1:6" x14ac:dyDescent="0.3">
      <c r="A4137" t="s">
        <v>6529</v>
      </c>
      <c r="B4137" t="str" cm="1">
        <f t="array" ref="B4137">_xlfn.XLOOKUP(C4137, INDEX([2]!카테고리매핑,,2), INDEX([2]!카테고리매핑,,1), "미등록 카테고리")</f>
        <v>간편식</v>
      </c>
      <c r="C4137" t="s">
        <v>46</v>
      </c>
      <c r="D4137" t="str">
        <f>VLOOKUP(C4137, '[2]VLOOKUP 함수용 카테고리'!$A$1:$B$59, 2, 0)</f>
        <v>RTC_MEAL</v>
      </c>
      <c r="E4137" t="s">
        <v>46</v>
      </c>
      <c r="F4137" t="s">
        <v>711</v>
      </c>
    </row>
    <row r="4138" spans="1:6" x14ac:dyDescent="0.3">
      <c r="A4138" t="s">
        <v>6530</v>
      </c>
      <c r="B4138" t="str" cm="1">
        <f t="array" ref="B4138">_xlfn.XLOOKUP(C4138, INDEX([2]!카테고리매핑,,2), INDEX([2]!카테고리매핑,,1), "미등록 카테고리")</f>
        <v>수산물</v>
      </c>
      <c r="C4138" t="s">
        <v>1397</v>
      </c>
      <c r="D4138" t="str">
        <f>VLOOKUP(C4138, '[2]VLOOKUP 함수용 카테고리'!$A$1:$B$59, 2, 0)</f>
        <v>RAW_SEAFOOD</v>
      </c>
      <c r="E4138" t="s">
        <v>2607</v>
      </c>
      <c r="F4138" t="s">
        <v>151</v>
      </c>
    </row>
    <row r="4139" spans="1:6" x14ac:dyDescent="0.3">
      <c r="A4139" t="s">
        <v>6531</v>
      </c>
      <c r="B4139" t="str" cm="1">
        <f t="array" ref="B4139">_xlfn.XLOOKUP(C4139, INDEX([2]!카테고리매핑,,2), INDEX([2]!카테고리매핑,,1), "미등록 카테고리")</f>
        <v>조미료</v>
      </c>
      <c r="C4139" t="s">
        <v>127</v>
      </c>
      <c r="D4139" t="str">
        <f>VLOOKUP(C4139, '[2]VLOOKUP 함수용 카테고리'!$A$1:$B$59, 2, 0)</f>
        <v>SAUCE_SEASONING</v>
      </c>
      <c r="E4139" t="s">
        <v>6532</v>
      </c>
      <c r="F4139" t="s">
        <v>646</v>
      </c>
    </row>
    <row r="4140" spans="1:6" x14ac:dyDescent="0.3">
      <c r="A4140" t="s">
        <v>6533</v>
      </c>
      <c r="B4140" t="str" cm="1">
        <f t="array" ref="B4140">_xlfn.XLOOKUP(C4140, INDEX([2]!카테고리매핑,,2), INDEX([2]!카테고리매핑,,1), "미등록 카테고리")</f>
        <v>조미료</v>
      </c>
      <c r="C4140" t="s">
        <v>83</v>
      </c>
      <c r="D4140" t="str">
        <f>VLOOKUP(C4140, '[2]VLOOKUP 함수용 카테고리'!$A$1:$B$59, 2, 0)</f>
        <v>SAUCE_SEASONING</v>
      </c>
      <c r="E4140" t="s">
        <v>2242</v>
      </c>
      <c r="F4140" t="s">
        <v>6534</v>
      </c>
    </row>
    <row r="4141" spans="1:6" x14ac:dyDescent="0.3">
      <c r="A4141" t="s">
        <v>6535</v>
      </c>
      <c r="B4141" t="str" cm="1">
        <f t="array" ref="B4141">_xlfn.XLOOKUP(C4141, INDEX([2]!카테고리매핑,,2), INDEX([2]!카테고리매핑,,1), "미등록 카테고리")</f>
        <v>육류/계란</v>
      </c>
      <c r="C4141" t="s">
        <v>298</v>
      </c>
      <c r="D4141" t="str">
        <f>VLOOKUP(C4141, '[2]VLOOKUP 함수용 카테고리'!$A$1:$B$59, 2, 0)</f>
        <v>RAW_MEAT</v>
      </c>
      <c r="E4141" t="s">
        <v>298</v>
      </c>
      <c r="F4141" t="s">
        <v>7689</v>
      </c>
    </row>
    <row r="4142" spans="1:6" x14ac:dyDescent="0.3">
      <c r="A4142" t="s">
        <v>6536</v>
      </c>
      <c r="B4142" t="str" cm="1">
        <f t="array" ref="B4142">_xlfn.XLOOKUP(C4142, INDEX([2]!카테고리매핑,,2), INDEX([2]!카테고리매핑,,1), "미등록 카테고리")</f>
        <v>조미료</v>
      </c>
      <c r="C4142" t="s">
        <v>127</v>
      </c>
      <c r="D4142" t="str">
        <f>VLOOKUP(C4142, '[2]VLOOKUP 함수용 카테고리'!$A$1:$B$59, 2, 0)</f>
        <v>SAUCE_SEASONING</v>
      </c>
      <c r="E4142" t="s">
        <v>4960</v>
      </c>
      <c r="F4142" t="s">
        <v>6537</v>
      </c>
    </row>
    <row r="4143" spans="1:6" x14ac:dyDescent="0.3">
      <c r="A4143" t="s">
        <v>6538</v>
      </c>
      <c r="B4143" t="str" cm="1">
        <f t="array" ref="B4143">_xlfn.XLOOKUP(C4143, INDEX([2]!카테고리매핑,,2), INDEX([2]!카테고리매핑,,1), "미등록 카테고리")</f>
        <v>간식류</v>
      </c>
      <c r="C4143" t="s">
        <v>38</v>
      </c>
      <c r="D4143" t="str">
        <f>VLOOKUP(C4143, '[2]VLOOKUP 함수용 카테고리'!$A$1:$B$59, 2, 0)</f>
        <v>SNACK</v>
      </c>
      <c r="E4143" t="s">
        <v>179</v>
      </c>
      <c r="F4143" t="s">
        <v>3264</v>
      </c>
    </row>
    <row r="4144" spans="1:6" x14ac:dyDescent="0.3">
      <c r="A4144" t="s">
        <v>6539</v>
      </c>
      <c r="B4144" t="str" cm="1">
        <f t="array" ref="B4144">_xlfn.XLOOKUP(C4144, INDEX([2]!카테고리매핑,,2), INDEX([2]!카테고리매핑,,1), "미등록 카테고리")</f>
        <v>간식류</v>
      </c>
      <c r="C4144" t="s">
        <v>11</v>
      </c>
      <c r="D4144" t="str">
        <f>VLOOKUP(C4144, '[2]VLOOKUP 함수용 카테고리'!$A$1:$B$59, 2, 0)</f>
        <v>SNACK</v>
      </c>
      <c r="E4144" t="s">
        <v>6540</v>
      </c>
      <c r="F4144" t="s">
        <v>54</v>
      </c>
    </row>
    <row r="4145" spans="1:6" x14ac:dyDescent="0.3">
      <c r="A4145" t="s">
        <v>6541</v>
      </c>
      <c r="B4145" t="str" cm="1">
        <f t="array" ref="B4145">_xlfn.XLOOKUP(C4145, INDEX([2]!카테고리매핑,,2), INDEX([2]!카테고리매핑,,1), "미등록 카테고리")</f>
        <v>음료</v>
      </c>
      <c r="C4145" t="s">
        <v>708</v>
      </c>
      <c r="D4145" t="str">
        <f>VLOOKUP(C4145, '[2]VLOOKUP 함수용 카테고리'!$A$1:$B$59, 2, 0)</f>
        <v>BEVERAGE</v>
      </c>
      <c r="E4145" t="s">
        <v>708</v>
      </c>
      <c r="F4145" t="s">
        <v>2677</v>
      </c>
    </row>
    <row r="4146" spans="1:6" x14ac:dyDescent="0.3">
      <c r="A4146" t="s">
        <v>6542</v>
      </c>
      <c r="B4146" t="str" cm="1">
        <f t="array" ref="B4146">_xlfn.XLOOKUP(C4146, INDEX([2]!카테고리매핑,,2), INDEX([2]!카테고리매핑,,1), "미등록 카테고리")</f>
        <v>음료</v>
      </c>
      <c r="C4146" t="s">
        <v>242</v>
      </c>
      <c r="D4146" t="str">
        <f>VLOOKUP(C4146, '[2]VLOOKUP 함수용 카테고리'!$A$1:$B$59, 2, 0)</f>
        <v>BEVERAGE</v>
      </c>
      <c r="E4146" t="s">
        <v>6543</v>
      </c>
      <c r="F4146" t="s">
        <v>1698</v>
      </c>
    </row>
    <row r="4147" spans="1:6" x14ac:dyDescent="0.3">
      <c r="A4147" t="s">
        <v>4338</v>
      </c>
      <c r="B4147" t="str" cm="1">
        <f t="array" ref="B4147">_xlfn.XLOOKUP(C4147, INDEX([2]!카테고리매핑,,2), INDEX([2]!카테고리매핑,,1), "미등록 카테고리")</f>
        <v>미등록 카테고리</v>
      </c>
      <c r="C4147" t="s">
        <v>334</v>
      </c>
      <c r="D4147" t="str">
        <f>VLOOKUP(C4147, '[2]VLOOKUP 함수용 카테고리'!$A$1:$B$59, 2, 0)</f>
        <v>UNKNOWN</v>
      </c>
      <c r="E4147" t="s">
        <v>334</v>
      </c>
      <c r="F4147" t="s">
        <v>7901</v>
      </c>
    </row>
    <row r="4148" spans="1:6" x14ac:dyDescent="0.3">
      <c r="A4148" t="s">
        <v>6544</v>
      </c>
      <c r="B4148" t="str" cm="1">
        <f t="array" ref="B4148">_xlfn.XLOOKUP(C4148, INDEX([2]!카테고리매핑,,2), INDEX([2]!카테고리매핑,,1), "미등록 카테고리")</f>
        <v>상온식품</v>
      </c>
      <c r="C4148" t="s">
        <v>769</v>
      </c>
      <c r="D4148" t="str">
        <f>VLOOKUP(C4148, '[2]VLOOKUP 함수용 카테고리'!$A$1:$B$59, 2, 0)</f>
        <v>GRAIN</v>
      </c>
      <c r="E4148" t="s">
        <v>769</v>
      </c>
      <c r="F4148" t="s">
        <v>7902</v>
      </c>
    </row>
    <row r="4149" spans="1:6" x14ac:dyDescent="0.3">
      <c r="A4149" t="s">
        <v>6545</v>
      </c>
      <c r="B4149" t="str" cm="1">
        <f t="array" ref="B4149">_xlfn.XLOOKUP(C4149, INDEX([2]!카테고리매핑,,2), INDEX([2]!카테고리매핑,,1), "미등록 카테고리")</f>
        <v>채소/곡물류</v>
      </c>
      <c r="C4149" t="s">
        <v>27</v>
      </c>
      <c r="D4149" t="str">
        <f>VLOOKUP(C4149, '[2]VLOOKUP 함수용 카테고리'!$A$1:$B$59, 2, 0)</f>
        <v>SIMPLE_PROCESSED</v>
      </c>
      <c r="E4149" t="s">
        <v>28</v>
      </c>
      <c r="F4149" t="s">
        <v>6546</v>
      </c>
    </row>
    <row r="4150" spans="1:6" x14ac:dyDescent="0.3">
      <c r="A4150" t="s">
        <v>6547</v>
      </c>
      <c r="B4150" t="str" cm="1">
        <f t="array" ref="B4150">_xlfn.XLOOKUP(C4150, INDEX([2]!카테고리매핑,,2), INDEX([2]!카테고리매핑,,1), "미등록 카테고리")</f>
        <v>육류/계란</v>
      </c>
      <c r="C4150" t="s">
        <v>149</v>
      </c>
      <c r="D4150" t="str">
        <f>VLOOKUP(C4150, '[2]VLOOKUP 함수용 카테고리'!$A$1:$B$59, 2, 0)</f>
        <v>RAW_MEAT</v>
      </c>
      <c r="E4150" t="s">
        <v>1630</v>
      </c>
      <c r="F4150" t="s">
        <v>1340</v>
      </c>
    </row>
    <row r="4151" spans="1:6" x14ac:dyDescent="0.3">
      <c r="A4151" t="s">
        <v>6548</v>
      </c>
      <c r="B4151" t="str" cm="1">
        <f t="array" ref="B4151">_xlfn.XLOOKUP(C4151, INDEX([2]!카테고리매핑,,2), INDEX([2]!카테고리매핑,,1), "미등록 카테고리")</f>
        <v>간편식</v>
      </c>
      <c r="C4151" t="s">
        <v>46</v>
      </c>
      <c r="D4151" t="str">
        <f>VLOOKUP(C4151, '[2]VLOOKUP 함수용 카테고리'!$A$1:$B$59, 2, 0)</f>
        <v>RTC_MEAL</v>
      </c>
      <c r="E4151" t="s">
        <v>46</v>
      </c>
      <c r="F4151" t="s">
        <v>129</v>
      </c>
    </row>
    <row r="4152" spans="1:6" x14ac:dyDescent="0.3">
      <c r="A4152" t="s">
        <v>6549</v>
      </c>
      <c r="B4152" t="str" cm="1">
        <f t="array" ref="B4152">_xlfn.XLOOKUP(C4152, INDEX([2]!카테고리매핑,,2), INDEX([2]!카테고리매핑,,1), "미등록 카테고리")</f>
        <v>간편식</v>
      </c>
      <c r="C4152" t="s">
        <v>19</v>
      </c>
      <c r="D4152" t="str">
        <f>VLOOKUP(C4152, '[2]VLOOKUP 함수용 카테고리'!$A$1:$B$59, 2, 0)</f>
        <v>FROZEN_MEAL</v>
      </c>
      <c r="E4152" t="s">
        <v>5972</v>
      </c>
      <c r="F4152" t="s">
        <v>541</v>
      </c>
    </row>
    <row r="4153" spans="1:6" x14ac:dyDescent="0.3">
      <c r="A4153" t="s">
        <v>6550</v>
      </c>
      <c r="B4153" t="str" cm="1">
        <f t="array" ref="B4153">_xlfn.XLOOKUP(C4153, INDEX([2]!카테고리매핑,,2), INDEX([2]!카테고리매핑,,1), "미등록 카테고리")</f>
        <v>유제품</v>
      </c>
      <c r="C4153" t="s">
        <v>211</v>
      </c>
      <c r="D4153" t="str">
        <f>VLOOKUP(C4153, '[2]VLOOKUP 함수용 카테고리'!$A$1:$B$59, 2, 0)</f>
        <v>DAIRY</v>
      </c>
      <c r="E4153" t="s">
        <v>211</v>
      </c>
      <c r="F4153" t="s">
        <v>6551</v>
      </c>
    </row>
    <row r="4154" spans="1:6" x14ac:dyDescent="0.3">
      <c r="A4154" t="s">
        <v>6552</v>
      </c>
      <c r="B4154" t="str" cm="1">
        <f t="array" ref="B4154">_xlfn.XLOOKUP(C4154, INDEX([2]!카테고리매핑,,2), INDEX([2]!카테고리매핑,,1), "미등록 카테고리")</f>
        <v>음료</v>
      </c>
      <c r="C4154" t="s">
        <v>23</v>
      </c>
      <c r="D4154" t="str">
        <f>VLOOKUP(C4154, '[2]VLOOKUP 함수용 카테고리'!$A$1:$B$59, 2, 0)</f>
        <v>BEVERAGE</v>
      </c>
      <c r="E4154" t="s">
        <v>74</v>
      </c>
      <c r="F4154" t="s">
        <v>65</v>
      </c>
    </row>
    <row r="4155" spans="1:6" x14ac:dyDescent="0.3">
      <c r="A4155" t="s">
        <v>6553</v>
      </c>
      <c r="B4155" t="str" cm="1">
        <f t="array" ref="B4155">_xlfn.XLOOKUP(C4155, INDEX([2]!카테고리매핑,,2), INDEX([2]!카테고리매핑,,1), "미등록 카테고리")</f>
        <v>간편식</v>
      </c>
      <c r="C4155" t="s">
        <v>46</v>
      </c>
      <c r="D4155" t="str">
        <f>VLOOKUP(C4155, '[2]VLOOKUP 함수용 카테고리'!$A$1:$B$59, 2, 0)</f>
        <v>RTC_MEAL</v>
      </c>
      <c r="E4155" t="s">
        <v>46</v>
      </c>
      <c r="F4155" t="s">
        <v>2518</v>
      </c>
    </row>
    <row r="4156" spans="1:6" x14ac:dyDescent="0.3">
      <c r="A4156" t="s">
        <v>6554</v>
      </c>
      <c r="B4156" t="str" cm="1">
        <f t="array" ref="B4156">_xlfn.XLOOKUP(C4156, INDEX([2]!카테고리매핑,,2), INDEX([2]!카테고리매핑,,1), "미등록 카테고리")</f>
        <v>간편식</v>
      </c>
      <c r="C4156" t="s">
        <v>19</v>
      </c>
      <c r="D4156" t="str">
        <f>VLOOKUP(C4156, '[2]VLOOKUP 함수용 카테고리'!$A$1:$B$59, 2, 0)</f>
        <v>FROZEN_MEAL</v>
      </c>
      <c r="E4156" t="s">
        <v>5954</v>
      </c>
      <c r="F4156" t="s">
        <v>6555</v>
      </c>
    </row>
    <row r="4157" spans="1:6" x14ac:dyDescent="0.3">
      <c r="A4157" t="s">
        <v>6556</v>
      </c>
      <c r="B4157" t="str" cm="1">
        <f t="array" ref="B4157">_xlfn.XLOOKUP(C4157, INDEX([2]!카테고리매핑,,2), INDEX([2]!카테고리매핑,,1), "미등록 카테고리")</f>
        <v>과일/견과류</v>
      </c>
      <c r="C4157" t="s">
        <v>654</v>
      </c>
      <c r="D4157" t="str">
        <f>VLOOKUP(C4157, '[2]VLOOKUP 함수용 카테고리'!$A$1:$B$59, 2, 0)</f>
        <v>RAW_FRUIT</v>
      </c>
      <c r="E4157" t="s">
        <v>5459</v>
      </c>
      <c r="F4157" t="s">
        <v>6557</v>
      </c>
    </row>
    <row r="4158" spans="1:6" x14ac:dyDescent="0.3">
      <c r="A4158" t="s">
        <v>6558</v>
      </c>
      <c r="B4158" t="str" cm="1">
        <f t="array" ref="B4158">_xlfn.XLOOKUP(C4158, INDEX([2]!카테고리매핑,,2), INDEX([2]!카테고리매핑,,1), "미등록 카테고리")</f>
        <v>간편식</v>
      </c>
      <c r="C4158" t="s">
        <v>256</v>
      </c>
      <c r="D4158" t="str">
        <f>VLOOKUP(C4158, '[2]VLOOKUP 함수용 카테고리'!$A$1:$B$59, 2, 0)</f>
        <v>RTC_MEAL</v>
      </c>
      <c r="E4158" t="s">
        <v>256</v>
      </c>
      <c r="F4158" t="s">
        <v>7903</v>
      </c>
    </row>
    <row r="4159" spans="1:6" x14ac:dyDescent="0.3">
      <c r="A4159" t="s">
        <v>6559</v>
      </c>
      <c r="B4159" t="str" cm="1">
        <f t="array" ref="B4159">_xlfn.XLOOKUP(C4159, INDEX([2]!카테고리매핑,,2), INDEX([2]!카테고리매핑,,1), "미등록 카테고리")</f>
        <v>유제품</v>
      </c>
      <c r="C4159" t="s">
        <v>123</v>
      </c>
      <c r="D4159" t="str">
        <f>VLOOKUP(C4159, '[2]VLOOKUP 함수용 카테고리'!$A$1:$B$59, 2, 0)</f>
        <v>DAIRY</v>
      </c>
      <c r="E4159" t="s">
        <v>4687</v>
      </c>
      <c r="F4159" t="s">
        <v>7900</v>
      </c>
    </row>
    <row r="4160" spans="1:6" x14ac:dyDescent="0.3">
      <c r="A4160" t="s">
        <v>6560</v>
      </c>
      <c r="B4160" t="str" cm="1">
        <f t="array" ref="B4160">_xlfn.XLOOKUP(C4160, INDEX([2]!카테고리매핑,,2), INDEX([2]!카테고리매핑,,1), "미등록 카테고리")</f>
        <v>상온식품</v>
      </c>
      <c r="C4160" t="s">
        <v>769</v>
      </c>
      <c r="D4160" t="str">
        <f>VLOOKUP(C4160, '[2]VLOOKUP 함수용 카테고리'!$A$1:$B$59, 2, 0)</f>
        <v>GRAIN</v>
      </c>
      <c r="E4160" t="s">
        <v>769</v>
      </c>
      <c r="F4160" t="s">
        <v>32</v>
      </c>
    </row>
    <row r="4161" spans="1:6" x14ac:dyDescent="0.3">
      <c r="A4161" t="s">
        <v>6561</v>
      </c>
      <c r="B4161" t="str" cm="1">
        <f t="array" ref="B4161">_xlfn.XLOOKUP(C4161, INDEX([2]!카테고리매핑,,2), INDEX([2]!카테고리매핑,,1), "미등록 카테고리")</f>
        <v>조미료</v>
      </c>
      <c r="C4161" t="s">
        <v>84</v>
      </c>
      <c r="D4161" t="str">
        <f>VLOOKUP(C4161, '[2]VLOOKUP 함수용 카테고리'!$A$1:$B$59, 2, 0)</f>
        <v>SAUCE_SEASONING</v>
      </c>
      <c r="E4161" t="s">
        <v>85</v>
      </c>
      <c r="F4161" t="s">
        <v>7904</v>
      </c>
    </row>
    <row r="4162" spans="1:6" x14ac:dyDescent="0.3">
      <c r="A4162" t="s">
        <v>6562</v>
      </c>
      <c r="B4162" t="str" cm="1">
        <f t="array" ref="B4162">_xlfn.XLOOKUP(C4162, INDEX([2]!카테고리매핑,,2), INDEX([2]!카테고리매핑,,1), "미등록 카테고리")</f>
        <v>육류/계란</v>
      </c>
      <c r="C4162" t="s">
        <v>428</v>
      </c>
      <c r="D4162" t="str">
        <f>VLOOKUP(C4162, '[2]VLOOKUP 함수용 카테고리'!$A$1:$B$59, 2, 0)</f>
        <v>PROCESSED_MEAT</v>
      </c>
      <c r="E4162" t="s">
        <v>776</v>
      </c>
      <c r="F4162" t="s">
        <v>1141</v>
      </c>
    </row>
    <row r="4163" spans="1:6" x14ac:dyDescent="0.3">
      <c r="A4163" t="s">
        <v>6563</v>
      </c>
      <c r="B4163" t="str" cm="1">
        <f t="array" ref="B4163">_xlfn.XLOOKUP(C4163, INDEX([2]!카테고리매핑,,2), INDEX([2]!카테고리매핑,,1), "미등록 카테고리")</f>
        <v>간식류</v>
      </c>
      <c r="C4163" t="s">
        <v>63</v>
      </c>
      <c r="D4163" t="str">
        <f>VLOOKUP(C4163, '[2]VLOOKUP 함수용 카테고리'!$A$1:$B$59, 2, 0)</f>
        <v>BAKERY</v>
      </c>
      <c r="E4163" t="s">
        <v>6564</v>
      </c>
      <c r="F4163" t="s">
        <v>7905</v>
      </c>
    </row>
    <row r="4164" spans="1:6" x14ac:dyDescent="0.3">
      <c r="A4164" t="s">
        <v>6565</v>
      </c>
      <c r="B4164" t="str" cm="1">
        <f t="array" ref="B4164">_xlfn.XLOOKUP(C4164, INDEX([2]!카테고리매핑,,2), INDEX([2]!카테고리매핑,,1), "미등록 카테고리")</f>
        <v>간편식</v>
      </c>
      <c r="C4164" t="s">
        <v>19</v>
      </c>
      <c r="D4164" t="str">
        <f>VLOOKUP(C4164, '[2]VLOOKUP 함수용 카테고리'!$A$1:$B$59, 2, 0)</f>
        <v>FROZEN_MEAL</v>
      </c>
      <c r="E4164" t="s">
        <v>1430</v>
      </c>
      <c r="F4164" t="s">
        <v>6566</v>
      </c>
    </row>
    <row r="4165" spans="1:6" x14ac:dyDescent="0.3">
      <c r="A4165" t="s">
        <v>5458</v>
      </c>
      <c r="B4165" t="str" cm="1">
        <f t="array" ref="B4165">_xlfn.XLOOKUP(C4165, INDEX([2]!카테고리매핑,,2), INDEX([2]!카테고리매핑,,1), "미등록 카테고리")</f>
        <v>과일/견과류</v>
      </c>
      <c r="C4165" t="s">
        <v>654</v>
      </c>
      <c r="D4165" t="str">
        <f>VLOOKUP(C4165, '[2]VLOOKUP 함수용 카테고리'!$A$1:$B$59, 2, 0)</f>
        <v>RAW_FRUIT</v>
      </c>
      <c r="E4165" t="s">
        <v>5459</v>
      </c>
      <c r="F4165" t="s">
        <v>5456</v>
      </c>
    </row>
    <row r="4166" spans="1:6" x14ac:dyDescent="0.3">
      <c r="A4166" t="s">
        <v>6567</v>
      </c>
      <c r="B4166" t="str" cm="1">
        <f t="array" ref="B4166">_xlfn.XLOOKUP(C4166, INDEX([2]!카테고리매핑,,2), INDEX([2]!카테고리매핑,,1), "미등록 카테고리")</f>
        <v>간편식</v>
      </c>
      <c r="C4166" t="s">
        <v>131</v>
      </c>
      <c r="D4166" t="str">
        <f>VLOOKUP(C4166, '[2]VLOOKUP 함수용 카테고리'!$A$1:$B$59, 2, 0)</f>
        <v>SIMPLE_PROCESSED</v>
      </c>
      <c r="E4166" t="s">
        <v>678</v>
      </c>
      <c r="F4166" t="s">
        <v>6568</v>
      </c>
    </row>
    <row r="4167" spans="1:6" x14ac:dyDescent="0.3">
      <c r="A4167" t="s">
        <v>6569</v>
      </c>
      <c r="B4167" t="str" cm="1">
        <f t="array" ref="B4167">_xlfn.XLOOKUP(C4167, INDEX([2]!카테고리매핑,,2), INDEX([2]!카테고리매핑,,1), "미등록 카테고리")</f>
        <v>조미료</v>
      </c>
      <c r="C4167" t="s">
        <v>83</v>
      </c>
      <c r="D4167" t="str">
        <f>VLOOKUP(C4167, '[2]VLOOKUP 함수용 카테고리'!$A$1:$B$59, 2, 0)</f>
        <v>SAUCE_SEASONING</v>
      </c>
      <c r="E4167" t="s">
        <v>1036</v>
      </c>
      <c r="F4167" t="s">
        <v>182</v>
      </c>
    </row>
    <row r="4168" spans="1:6" x14ac:dyDescent="0.3">
      <c r="A4168" t="s">
        <v>6570</v>
      </c>
      <c r="B4168" t="str" cm="1">
        <f t="array" ref="B4168">_xlfn.XLOOKUP(C4168, INDEX([2]!카테고리매핑,,2), INDEX([2]!카테고리매핑,,1), "미등록 카테고리")</f>
        <v>간편식</v>
      </c>
      <c r="C4168" t="s">
        <v>46</v>
      </c>
      <c r="D4168" t="str">
        <f>VLOOKUP(C4168, '[2]VLOOKUP 함수용 카테고리'!$A$1:$B$59, 2, 0)</f>
        <v>RTC_MEAL</v>
      </c>
      <c r="E4168" t="s">
        <v>46</v>
      </c>
      <c r="F4168" t="s">
        <v>2363</v>
      </c>
    </row>
    <row r="4169" spans="1:6" x14ac:dyDescent="0.3">
      <c r="A4169" t="s">
        <v>6571</v>
      </c>
      <c r="B4169" t="str" cm="1">
        <f t="array" ref="B4169">_xlfn.XLOOKUP(C4169, INDEX([2]!카테고리매핑,,2), INDEX([2]!카테고리매핑,,1), "미등록 카테고리")</f>
        <v>간식류</v>
      </c>
      <c r="C4169" t="s">
        <v>15</v>
      </c>
      <c r="D4169" t="str">
        <f>VLOOKUP(C4169, '[2]VLOOKUP 함수용 카테고리'!$A$1:$B$59, 2, 0)</f>
        <v>BAKERY</v>
      </c>
      <c r="E4169" t="s">
        <v>2600</v>
      </c>
    </row>
    <row r="4170" spans="1:6" x14ac:dyDescent="0.3">
      <c r="A4170" t="s">
        <v>6572</v>
      </c>
      <c r="B4170" t="str" cm="1">
        <f t="array" ref="B4170">_xlfn.XLOOKUP(C4170, INDEX([2]!카테고리매핑,,2), INDEX([2]!카테고리매핑,,1), "미등록 카테고리")</f>
        <v>채소/곡물류</v>
      </c>
      <c r="C4170" t="s">
        <v>301</v>
      </c>
      <c r="D4170" t="str">
        <f>VLOOKUP(C4170, '[2]VLOOKUP 함수용 카테고리'!$A$1:$B$59, 2, 0)</f>
        <v>GRAIN</v>
      </c>
      <c r="E4170" t="s">
        <v>611</v>
      </c>
    </row>
    <row r="4171" spans="1:6" x14ac:dyDescent="0.3">
      <c r="A4171" t="s">
        <v>6573</v>
      </c>
      <c r="B4171" t="str" cm="1">
        <f t="array" ref="B4171">_xlfn.XLOOKUP(C4171, INDEX([2]!카테고리매핑,,2), INDEX([2]!카테고리매핑,,1), "미등록 카테고리")</f>
        <v>상온식품</v>
      </c>
      <c r="C4171" t="s">
        <v>1104</v>
      </c>
      <c r="D4171" t="str">
        <f>VLOOKUP(C4171, '[2]VLOOKUP 함수용 카테고리'!$A$1:$B$59, 2, 0)</f>
        <v>CANNED</v>
      </c>
      <c r="E4171" t="s">
        <v>1105</v>
      </c>
      <c r="F4171" t="s">
        <v>1106</v>
      </c>
    </row>
    <row r="4172" spans="1:6" x14ac:dyDescent="0.3">
      <c r="A4172" t="s">
        <v>6574</v>
      </c>
      <c r="B4172" t="str" cm="1">
        <f t="array" ref="B4172">_xlfn.XLOOKUP(C4172, INDEX([2]!카테고리매핑,,2), INDEX([2]!카테고리매핑,,1), "미등록 카테고리")</f>
        <v>채소/곡물류</v>
      </c>
      <c r="C4172" t="s">
        <v>301</v>
      </c>
      <c r="D4172" t="str">
        <f>VLOOKUP(C4172, '[2]VLOOKUP 함수용 카테고리'!$A$1:$B$59, 2, 0)</f>
        <v>GRAIN</v>
      </c>
      <c r="E4172" t="s">
        <v>1737</v>
      </c>
    </row>
    <row r="4173" spans="1:6" x14ac:dyDescent="0.3">
      <c r="A4173" t="s">
        <v>6575</v>
      </c>
      <c r="B4173" t="str" cm="1">
        <f t="array" ref="B4173">_xlfn.XLOOKUP(C4173, INDEX([2]!카테고리매핑,,2), INDEX([2]!카테고리매핑,,1), "미등록 카테고리")</f>
        <v>간편식</v>
      </c>
      <c r="C4173" t="s">
        <v>46</v>
      </c>
      <c r="D4173" t="str">
        <f>VLOOKUP(C4173, '[2]VLOOKUP 함수용 카테고리'!$A$1:$B$59, 2, 0)</f>
        <v>RTC_MEAL</v>
      </c>
      <c r="E4173" t="s">
        <v>46</v>
      </c>
      <c r="F4173" t="s">
        <v>6576</v>
      </c>
    </row>
    <row r="4174" spans="1:6" x14ac:dyDescent="0.3">
      <c r="A4174" t="s">
        <v>6577</v>
      </c>
      <c r="B4174" t="str" cm="1">
        <f t="array" ref="B4174">_xlfn.XLOOKUP(C4174, INDEX([2]!카테고리매핑,,2), INDEX([2]!카테고리매핑,,1), "미등록 카테고리")</f>
        <v>간식류</v>
      </c>
      <c r="C4174" t="s">
        <v>11</v>
      </c>
      <c r="D4174" t="str">
        <f>VLOOKUP(C4174, '[2]VLOOKUP 함수용 카테고리'!$A$1:$B$59, 2, 0)</f>
        <v>SNACK</v>
      </c>
      <c r="E4174" t="s">
        <v>881</v>
      </c>
      <c r="F4174" t="s">
        <v>2115</v>
      </c>
    </row>
    <row r="4175" spans="1:6" x14ac:dyDescent="0.3">
      <c r="A4175" t="s">
        <v>6578</v>
      </c>
      <c r="B4175" t="str" cm="1">
        <f t="array" ref="B4175">_xlfn.XLOOKUP(C4175, INDEX([2]!카테고리매핑,,2), INDEX([2]!카테고리매핑,,1), "미등록 카테고리")</f>
        <v>간편식</v>
      </c>
      <c r="C4175" t="s">
        <v>131</v>
      </c>
      <c r="D4175" t="str">
        <f>VLOOKUP(C4175, '[2]VLOOKUP 함수용 카테고리'!$A$1:$B$59, 2, 0)</f>
        <v>SIMPLE_PROCESSED</v>
      </c>
      <c r="E4175" t="s">
        <v>132</v>
      </c>
      <c r="F4175" t="s">
        <v>133</v>
      </c>
    </row>
    <row r="4176" spans="1:6" x14ac:dyDescent="0.3">
      <c r="A4176" t="s">
        <v>6579</v>
      </c>
      <c r="B4176" t="str" cm="1">
        <f t="array" ref="B4176">_xlfn.XLOOKUP(C4176, INDEX([2]!카테고리매핑,,2), INDEX([2]!카테고리매핑,,1), "미등록 카테고리")</f>
        <v>조미료</v>
      </c>
      <c r="C4176" t="s">
        <v>117</v>
      </c>
      <c r="D4176" t="str">
        <f>VLOOKUP(C4176, '[2]VLOOKUP 함수용 카테고리'!$A$1:$B$59, 2, 0)</f>
        <v>SAUCE_SEASONING</v>
      </c>
      <c r="E4176" t="s">
        <v>6580</v>
      </c>
      <c r="F4176" t="s">
        <v>5587</v>
      </c>
    </row>
    <row r="4177" spans="1:6" x14ac:dyDescent="0.3">
      <c r="A4177" t="s">
        <v>6581</v>
      </c>
      <c r="B4177" t="str" cm="1">
        <f t="array" ref="B4177">_xlfn.XLOOKUP(C4177, INDEX([2]!카테고리매핑,,2), INDEX([2]!카테고리매핑,,1), "미등록 카테고리")</f>
        <v>간편식</v>
      </c>
      <c r="C4177" t="s">
        <v>46</v>
      </c>
      <c r="D4177" t="str">
        <f>VLOOKUP(C4177, '[2]VLOOKUP 함수용 카테고리'!$A$1:$B$59, 2, 0)</f>
        <v>RTC_MEAL</v>
      </c>
      <c r="E4177" t="s">
        <v>46</v>
      </c>
      <c r="F4177" t="s">
        <v>6582</v>
      </c>
    </row>
    <row r="4178" spans="1:6" x14ac:dyDescent="0.3">
      <c r="A4178" t="s">
        <v>6583</v>
      </c>
      <c r="B4178" t="str" cm="1">
        <f t="array" ref="B4178">_xlfn.XLOOKUP(C4178, INDEX([2]!카테고리매핑,,2), INDEX([2]!카테고리매핑,,1), "미등록 카테고리")</f>
        <v>간식류</v>
      </c>
      <c r="C4178" t="s">
        <v>15</v>
      </c>
      <c r="D4178" t="str">
        <f>VLOOKUP(C4178, '[2]VLOOKUP 함수용 카테고리'!$A$1:$B$59, 2, 0)</f>
        <v>BAKERY</v>
      </c>
      <c r="E4178" t="s">
        <v>200</v>
      </c>
      <c r="F4178" t="s">
        <v>6256</v>
      </c>
    </row>
    <row r="4179" spans="1:6" x14ac:dyDescent="0.3">
      <c r="A4179" t="s">
        <v>6584</v>
      </c>
      <c r="B4179" t="str" cm="1">
        <f t="array" ref="B4179">_xlfn.XLOOKUP(C4179, INDEX([2]!카테고리매핑,,2), INDEX([2]!카테고리매핑,,1), "미등록 카테고리")</f>
        <v>과일/견과류</v>
      </c>
      <c r="C4179" t="s">
        <v>654</v>
      </c>
      <c r="D4179" t="str">
        <f>VLOOKUP(C4179, '[2]VLOOKUP 함수용 카테고리'!$A$1:$B$59, 2, 0)</f>
        <v>RAW_FRUIT</v>
      </c>
      <c r="E4179" t="s">
        <v>1201</v>
      </c>
    </row>
    <row r="4180" spans="1:6" x14ac:dyDescent="0.3">
      <c r="A4180" t="s">
        <v>6585</v>
      </c>
      <c r="B4180" t="str" cm="1">
        <f t="array" ref="B4180">_xlfn.XLOOKUP(C4180, INDEX([2]!카테고리매핑,,2), INDEX([2]!카테고리매핑,,1), "미등록 카테고리")</f>
        <v>간식류</v>
      </c>
      <c r="C4180" t="s">
        <v>38</v>
      </c>
      <c r="D4180" t="str">
        <f>VLOOKUP(C4180, '[2]VLOOKUP 함수용 카테고리'!$A$1:$B$59, 2, 0)</f>
        <v>SNACK</v>
      </c>
      <c r="E4180" t="s">
        <v>179</v>
      </c>
      <c r="F4180" t="s">
        <v>6586</v>
      </c>
    </row>
    <row r="4181" spans="1:6" x14ac:dyDescent="0.3">
      <c r="A4181" t="s">
        <v>6587</v>
      </c>
      <c r="B4181" t="str" cm="1">
        <f t="array" ref="B4181">_xlfn.XLOOKUP(C4181, INDEX([2]!카테고리매핑,,2), INDEX([2]!카테고리매핑,,1), "미등록 카테고리")</f>
        <v>조미료</v>
      </c>
      <c r="C4181" t="s">
        <v>127</v>
      </c>
      <c r="D4181" t="str">
        <f>VLOOKUP(C4181, '[2]VLOOKUP 함수용 카테고리'!$A$1:$B$59, 2, 0)</f>
        <v>SAUCE_SEASONING</v>
      </c>
      <c r="E4181" t="s">
        <v>349</v>
      </c>
      <c r="F4181" t="s">
        <v>182</v>
      </c>
    </row>
    <row r="4182" spans="1:6" x14ac:dyDescent="0.3">
      <c r="A4182" t="s">
        <v>6588</v>
      </c>
      <c r="B4182" t="str" cm="1">
        <f t="array" ref="B4182">_xlfn.XLOOKUP(C4182, INDEX([2]!카테고리매핑,,2), INDEX([2]!카테고리매핑,,1), "미등록 카테고리")</f>
        <v>조미료</v>
      </c>
      <c r="C4182" t="s">
        <v>127</v>
      </c>
      <c r="D4182" t="str">
        <f>VLOOKUP(C4182, '[2]VLOOKUP 함수용 카테고리'!$A$1:$B$59, 2, 0)</f>
        <v>SAUCE_SEASONING</v>
      </c>
      <c r="E4182" t="s">
        <v>6589</v>
      </c>
      <c r="F4182" t="s">
        <v>6590</v>
      </c>
    </row>
    <row r="4183" spans="1:6" x14ac:dyDescent="0.3">
      <c r="A4183" t="s">
        <v>6591</v>
      </c>
      <c r="B4183" t="str" cm="1">
        <f t="array" ref="B4183">_xlfn.XLOOKUP(C4183, INDEX([2]!카테고리매핑,,2), INDEX([2]!카테고리매핑,,1), "미등록 카테고리")</f>
        <v>상온식품</v>
      </c>
      <c r="C4183" t="s">
        <v>276</v>
      </c>
      <c r="D4183" t="str">
        <f>VLOOKUP(C4183, '[2]VLOOKUP 함수용 카테고리'!$A$1:$B$59, 2, 0)</f>
        <v>DRIED_SEAFOOD</v>
      </c>
      <c r="E4183" t="s">
        <v>277</v>
      </c>
      <c r="F4183" t="s">
        <v>704</v>
      </c>
    </row>
    <row r="4184" spans="1:6" x14ac:dyDescent="0.3">
      <c r="A4184" t="s">
        <v>6592</v>
      </c>
      <c r="B4184" t="str" cm="1">
        <f t="array" ref="B4184">_xlfn.XLOOKUP(C4184, INDEX([2]!카테고리매핑,,2), INDEX([2]!카테고리매핑,,1), "미등록 카테고리")</f>
        <v>간편식</v>
      </c>
      <c r="C4184" t="s">
        <v>256</v>
      </c>
      <c r="D4184" t="str">
        <f>VLOOKUP(C4184, '[2]VLOOKUP 함수용 카테고리'!$A$1:$B$59, 2, 0)</f>
        <v>RTC_MEAL</v>
      </c>
      <c r="E4184" t="s">
        <v>256</v>
      </c>
      <c r="F4184" t="s">
        <v>129</v>
      </c>
    </row>
    <row r="4185" spans="1:6" x14ac:dyDescent="0.3">
      <c r="A4185" t="s">
        <v>6593</v>
      </c>
      <c r="B4185" t="str" cm="1">
        <f t="array" ref="B4185">_xlfn.XLOOKUP(C4185, INDEX([2]!카테고리매핑,,2), INDEX([2]!카테고리매핑,,1), "미등록 카테고리")</f>
        <v>육류/계란</v>
      </c>
      <c r="C4185" t="s">
        <v>870</v>
      </c>
      <c r="D4185" t="str">
        <f>VLOOKUP(C4185, '[2]VLOOKUP 함수용 카테고리'!$A$1:$B$59, 2, 0)</f>
        <v>RAW_MEAT</v>
      </c>
      <c r="E4185" t="s">
        <v>6594</v>
      </c>
      <c r="F4185" t="s">
        <v>872</v>
      </c>
    </row>
    <row r="4186" spans="1:6" x14ac:dyDescent="0.3">
      <c r="A4186" t="s">
        <v>6595</v>
      </c>
      <c r="B4186" t="str" cm="1">
        <f t="array" ref="B4186">_xlfn.XLOOKUP(C4186, INDEX([2]!카테고리매핑,,2), INDEX([2]!카테고리매핑,,1), "미등록 카테고리")</f>
        <v>음료</v>
      </c>
      <c r="C4186" t="s">
        <v>23</v>
      </c>
      <c r="D4186" t="str">
        <f>VLOOKUP(C4186, '[2]VLOOKUP 함수용 카테고리'!$A$1:$B$59, 2, 0)</f>
        <v>BEVERAGE</v>
      </c>
      <c r="E4186" t="s">
        <v>24</v>
      </c>
      <c r="F4186" t="s">
        <v>5367</v>
      </c>
    </row>
    <row r="4187" spans="1:6" x14ac:dyDescent="0.3">
      <c r="A4187" t="s">
        <v>6596</v>
      </c>
      <c r="B4187" t="str" cm="1">
        <f t="array" ref="B4187">_xlfn.XLOOKUP(C4187, INDEX([2]!카테고리매핑,,2), INDEX([2]!카테고리매핑,,1), "미등록 카테고리")</f>
        <v>육류/계란</v>
      </c>
      <c r="C4187" t="s">
        <v>298</v>
      </c>
      <c r="D4187" t="str">
        <f>VLOOKUP(C4187, '[2]VLOOKUP 함수용 카테고리'!$A$1:$B$59, 2, 0)</f>
        <v>RAW_MEAT</v>
      </c>
      <c r="E4187" t="s">
        <v>298</v>
      </c>
    </row>
    <row r="4188" spans="1:6" x14ac:dyDescent="0.3">
      <c r="A4188" t="s">
        <v>6597</v>
      </c>
      <c r="B4188" t="str" cm="1">
        <f t="array" ref="B4188">_xlfn.XLOOKUP(C4188, INDEX([2]!카테고리매핑,,2), INDEX([2]!카테고리매핑,,1), "미등록 카테고리")</f>
        <v>간식류</v>
      </c>
      <c r="C4188" t="s">
        <v>15</v>
      </c>
      <c r="D4188" t="str">
        <f>VLOOKUP(C4188, '[2]VLOOKUP 함수용 카테고리'!$A$1:$B$59, 2, 0)</f>
        <v>BAKERY</v>
      </c>
      <c r="E4188" t="s">
        <v>200</v>
      </c>
      <c r="F4188" t="s">
        <v>3359</v>
      </c>
    </row>
    <row r="4189" spans="1:6" x14ac:dyDescent="0.3">
      <c r="A4189" t="s">
        <v>6598</v>
      </c>
      <c r="B4189" t="str" cm="1">
        <f t="array" ref="B4189">_xlfn.XLOOKUP(C4189, INDEX([2]!카테고리매핑,,2), INDEX([2]!카테고리매핑,,1), "미등록 카테고리")</f>
        <v>간편식</v>
      </c>
      <c r="C4189" t="s">
        <v>19</v>
      </c>
      <c r="D4189" t="str">
        <f>VLOOKUP(C4189, '[2]VLOOKUP 함수용 카테고리'!$A$1:$B$59, 2, 0)</f>
        <v>FROZEN_MEAL</v>
      </c>
      <c r="E4189" t="s">
        <v>763</v>
      </c>
      <c r="F4189" t="s">
        <v>632</v>
      </c>
    </row>
    <row r="4190" spans="1:6" x14ac:dyDescent="0.3">
      <c r="A4190" t="s">
        <v>6599</v>
      </c>
      <c r="B4190" t="str" cm="1">
        <f t="array" ref="B4190">_xlfn.XLOOKUP(C4190, INDEX([2]!카테고리매핑,,2), INDEX([2]!카테고리매핑,,1), "미등록 카테고리")</f>
        <v>간식류</v>
      </c>
      <c r="C4190" t="s">
        <v>15</v>
      </c>
      <c r="D4190" t="str">
        <f>VLOOKUP(C4190, '[2]VLOOKUP 함수용 카테고리'!$A$1:$B$59, 2, 0)</f>
        <v>BAKERY</v>
      </c>
      <c r="E4190" t="s">
        <v>499</v>
      </c>
      <c r="F4190" t="s">
        <v>500</v>
      </c>
    </row>
    <row r="4191" spans="1:6" x14ac:dyDescent="0.3">
      <c r="A4191" t="s">
        <v>6600</v>
      </c>
      <c r="B4191" t="str" cm="1">
        <f t="array" ref="B4191">_xlfn.XLOOKUP(C4191, INDEX([2]!카테고리매핑,,2), INDEX([2]!카테고리매핑,,1), "미등록 카테고리")</f>
        <v>음료</v>
      </c>
      <c r="C4191" t="s">
        <v>23</v>
      </c>
      <c r="D4191" t="str">
        <f>VLOOKUP(C4191, '[2]VLOOKUP 함수용 카테고리'!$A$1:$B$59, 2, 0)</f>
        <v>BEVERAGE</v>
      </c>
      <c r="E4191" t="s">
        <v>1156</v>
      </c>
      <c r="F4191" t="s">
        <v>353</v>
      </c>
    </row>
    <row r="4192" spans="1:6" x14ac:dyDescent="0.3">
      <c r="A4192" t="s">
        <v>6601</v>
      </c>
      <c r="B4192" t="str" cm="1">
        <f t="array" ref="B4192">_xlfn.XLOOKUP(C4192, INDEX([2]!카테고리매핑,,2), INDEX([2]!카테고리매핑,,1), "미등록 카테고리")</f>
        <v>채소/곡물류</v>
      </c>
      <c r="C4192" t="s">
        <v>7</v>
      </c>
      <c r="D4192" t="str">
        <f>VLOOKUP(C4192, '[2]VLOOKUP 함수용 카테고리'!$A$1:$B$59, 2, 0)</f>
        <v>RAW_PRODUCE</v>
      </c>
      <c r="E4192" t="s">
        <v>50</v>
      </c>
      <c r="F4192" t="s">
        <v>29</v>
      </c>
    </row>
    <row r="4193" spans="1:6" x14ac:dyDescent="0.3">
      <c r="A4193" t="s">
        <v>6602</v>
      </c>
      <c r="B4193" t="str" cm="1">
        <f t="array" ref="B4193">_xlfn.XLOOKUP(C4193, INDEX([2]!카테고리매핑,,2), INDEX([2]!카테고리매핑,,1), "미등록 카테고리")</f>
        <v>미등록 카테고리</v>
      </c>
      <c r="C4193" t="s">
        <v>334</v>
      </c>
      <c r="D4193" t="str">
        <f>VLOOKUP(C4193, '[2]VLOOKUP 함수용 카테고리'!$A$1:$B$59, 2, 0)</f>
        <v>UNKNOWN</v>
      </c>
      <c r="E4193" t="s">
        <v>334</v>
      </c>
      <c r="F4193" t="s">
        <v>1026</v>
      </c>
    </row>
    <row r="4194" spans="1:6" x14ac:dyDescent="0.3">
      <c r="A4194" t="s">
        <v>6603</v>
      </c>
      <c r="B4194" t="str" cm="1">
        <f t="array" ref="B4194">_xlfn.XLOOKUP(C4194, INDEX([2]!카테고리매핑,,2), INDEX([2]!카테고리매핑,,1), "미등록 카테고리")</f>
        <v>과일/견과류</v>
      </c>
      <c r="C4194" t="s">
        <v>654</v>
      </c>
      <c r="D4194" t="str">
        <f>VLOOKUP(C4194, '[2]VLOOKUP 함수용 카테고리'!$A$1:$B$59, 2, 0)</f>
        <v>RAW_FRUIT</v>
      </c>
      <c r="E4194" t="s">
        <v>728</v>
      </c>
      <c r="F4194" t="s">
        <v>6604</v>
      </c>
    </row>
    <row r="4195" spans="1:6" x14ac:dyDescent="0.3">
      <c r="A4195" t="s">
        <v>6605</v>
      </c>
      <c r="B4195" t="str" cm="1">
        <f t="array" ref="B4195">_xlfn.XLOOKUP(C4195, INDEX([2]!카테고리매핑,,2), INDEX([2]!카테고리매핑,,1), "미등록 카테고리")</f>
        <v>수산물</v>
      </c>
      <c r="C4195" t="s">
        <v>101</v>
      </c>
      <c r="D4195" t="str">
        <f>VLOOKUP(C4195, '[2]VLOOKUP 함수용 카테고리'!$A$1:$B$59, 2, 0)</f>
        <v>DRIED_SEAFOOD</v>
      </c>
      <c r="E4195" t="s">
        <v>693</v>
      </c>
      <c r="F4195" t="s">
        <v>7906</v>
      </c>
    </row>
    <row r="4196" spans="1:6" x14ac:dyDescent="0.3">
      <c r="A4196" t="s">
        <v>6606</v>
      </c>
      <c r="B4196" t="str" cm="1">
        <f t="array" ref="B4196">_xlfn.XLOOKUP(C4196, INDEX([2]!카테고리매핑,,2), INDEX([2]!카테고리매핑,,1), "미등록 카테고리")</f>
        <v>음료</v>
      </c>
      <c r="C4196" t="s">
        <v>23</v>
      </c>
      <c r="D4196" t="str">
        <f>VLOOKUP(C4196, '[2]VLOOKUP 함수용 카테고리'!$A$1:$B$59, 2, 0)</f>
        <v>BEVERAGE</v>
      </c>
      <c r="E4196" t="s">
        <v>1156</v>
      </c>
      <c r="F4196" t="s">
        <v>353</v>
      </c>
    </row>
    <row r="4197" spans="1:6" x14ac:dyDescent="0.3">
      <c r="A4197" t="s">
        <v>6607</v>
      </c>
      <c r="B4197" t="str" cm="1">
        <f t="array" ref="B4197">_xlfn.XLOOKUP(C4197, INDEX([2]!카테고리매핑,,2), INDEX([2]!카테고리매핑,,1), "미등록 카테고리")</f>
        <v>간편식</v>
      </c>
      <c r="C4197" t="s">
        <v>167</v>
      </c>
      <c r="D4197" t="str">
        <f>VLOOKUP(C4197, '[2]VLOOKUP 함수용 카테고리'!$A$1:$B$59, 2, 0)</f>
        <v>INSTANT</v>
      </c>
      <c r="E4197" t="s">
        <v>3142</v>
      </c>
      <c r="F4197" t="s">
        <v>129</v>
      </c>
    </row>
    <row r="4198" spans="1:6" x14ac:dyDescent="0.3">
      <c r="A4198" t="s">
        <v>6608</v>
      </c>
      <c r="B4198" t="str" cm="1">
        <f t="array" ref="B4198">_xlfn.XLOOKUP(C4198, INDEX([2]!카테고리매핑,,2), INDEX([2]!카테고리매핑,,1), "미등록 카테고리")</f>
        <v>간식류</v>
      </c>
      <c r="C4198" t="s">
        <v>15</v>
      </c>
      <c r="D4198" t="str">
        <f>VLOOKUP(C4198, '[2]VLOOKUP 함수용 카테고리'!$A$1:$B$59, 2, 0)</f>
        <v>BAKERY</v>
      </c>
      <c r="E4198" t="s">
        <v>2600</v>
      </c>
      <c r="F4198" t="s">
        <v>6609</v>
      </c>
    </row>
    <row r="4199" spans="1:6" x14ac:dyDescent="0.3">
      <c r="A4199" t="s">
        <v>6610</v>
      </c>
      <c r="B4199" t="str" cm="1">
        <f t="array" ref="B4199">_xlfn.XLOOKUP(C4199, INDEX([2]!카테고리매핑,,2), INDEX([2]!카테고리매핑,,1), "미등록 카테고리")</f>
        <v>간식류</v>
      </c>
      <c r="C4199" t="s">
        <v>11</v>
      </c>
      <c r="D4199" t="str">
        <f>VLOOKUP(C4199, '[2]VLOOKUP 함수용 카테고리'!$A$1:$B$59, 2, 0)</f>
        <v>SNACK</v>
      </c>
      <c r="E4199" t="s">
        <v>6457</v>
      </c>
      <c r="F4199" t="s">
        <v>6611</v>
      </c>
    </row>
    <row r="4200" spans="1:6" x14ac:dyDescent="0.3">
      <c r="A4200" t="s">
        <v>6612</v>
      </c>
      <c r="B4200" t="str" cm="1">
        <f t="array" ref="B4200">_xlfn.XLOOKUP(C4200, INDEX([2]!카테고리매핑,,2), INDEX([2]!카테고리매핑,,1), "미등록 카테고리")</f>
        <v>간편식</v>
      </c>
      <c r="C4200" t="s">
        <v>131</v>
      </c>
      <c r="D4200" t="str">
        <f>VLOOKUP(C4200, '[2]VLOOKUP 함수용 카테고리'!$A$1:$B$59, 2, 0)</f>
        <v>SIMPLE_PROCESSED</v>
      </c>
      <c r="E4200" t="s">
        <v>2993</v>
      </c>
      <c r="F4200" t="s">
        <v>156</v>
      </c>
    </row>
    <row r="4201" spans="1:6" x14ac:dyDescent="0.3">
      <c r="A4201" t="s">
        <v>6613</v>
      </c>
      <c r="B4201" t="str" cm="1">
        <f t="array" ref="B4201">_xlfn.XLOOKUP(C4201, INDEX([2]!카테고리매핑,,2), INDEX([2]!카테고리매핑,,1), "미등록 카테고리")</f>
        <v>간편식</v>
      </c>
      <c r="C4201" t="s">
        <v>161</v>
      </c>
      <c r="D4201" t="str">
        <f>VLOOKUP(C4201, '[2]VLOOKUP 함수용 카테고리'!$A$1:$B$59, 2, 0)</f>
        <v>RTC_MEAL</v>
      </c>
      <c r="E4201" t="s">
        <v>162</v>
      </c>
    </row>
    <row r="4202" spans="1:6" x14ac:dyDescent="0.3">
      <c r="A4202" t="s">
        <v>6614</v>
      </c>
      <c r="B4202" t="str" cm="1">
        <f t="array" ref="B4202">_xlfn.XLOOKUP(C4202, INDEX([2]!카테고리매핑,,2), INDEX([2]!카테고리매핑,,1), "미등록 카테고리")</f>
        <v>음료</v>
      </c>
      <c r="C4202" t="s">
        <v>23</v>
      </c>
      <c r="D4202" t="str">
        <f>VLOOKUP(C4202, '[2]VLOOKUP 함수용 카테고리'!$A$1:$B$59, 2, 0)</f>
        <v>BEVERAGE</v>
      </c>
      <c r="E4202" t="s">
        <v>288</v>
      </c>
      <c r="F4202" t="s">
        <v>1882</v>
      </c>
    </row>
    <row r="4203" spans="1:6" x14ac:dyDescent="0.3">
      <c r="A4203" t="s">
        <v>6615</v>
      </c>
      <c r="B4203" t="str" cm="1">
        <f t="array" ref="B4203">_xlfn.XLOOKUP(C4203, INDEX([2]!카테고리매핑,,2), INDEX([2]!카테고리매핑,,1), "미등록 카테고리")</f>
        <v>음료</v>
      </c>
      <c r="C4203" t="s">
        <v>242</v>
      </c>
      <c r="D4203" t="str">
        <f>VLOOKUP(C4203, '[2]VLOOKUP 함수용 카테고리'!$A$1:$B$59, 2, 0)</f>
        <v>BEVERAGE</v>
      </c>
      <c r="E4203" t="s">
        <v>6543</v>
      </c>
      <c r="F4203" t="s">
        <v>1188</v>
      </c>
    </row>
    <row r="4204" spans="1:6" x14ac:dyDescent="0.3">
      <c r="A4204" t="s">
        <v>6616</v>
      </c>
      <c r="B4204" t="str" cm="1">
        <f t="array" ref="B4204">_xlfn.XLOOKUP(C4204, INDEX([2]!카테고리매핑,,2), INDEX([2]!카테고리매핑,,1), "미등록 카테고리")</f>
        <v>조미료</v>
      </c>
      <c r="C4204" t="s">
        <v>558</v>
      </c>
      <c r="D4204" t="str">
        <f>VLOOKUP(C4204, '[2]VLOOKUP 함수용 카테고리'!$A$1:$B$59, 2, 0)</f>
        <v>SAUCE_SEASONING</v>
      </c>
      <c r="E4204" t="s">
        <v>559</v>
      </c>
      <c r="F4204" t="s">
        <v>6617</v>
      </c>
    </row>
    <row r="4205" spans="1:6" x14ac:dyDescent="0.3">
      <c r="A4205" t="s">
        <v>6618</v>
      </c>
      <c r="B4205" t="str" cm="1">
        <f t="array" ref="B4205">_xlfn.XLOOKUP(C4205, INDEX([2]!카테고리매핑,,2), INDEX([2]!카테고리매핑,,1), "미등록 카테고리")</f>
        <v>조미료</v>
      </c>
      <c r="C4205" t="s">
        <v>84</v>
      </c>
      <c r="D4205" t="str">
        <f>VLOOKUP(C4205, '[2]VLOOKUP 함수용 카테고리'!$A$1:$B$59, 2, 0)</f>
        <v>SAUCE_SEASONING</v>
      </c>
      <c r="E4205" t="s">
        <v>2451</v>
      </c>
      <c r="F4205" t="s">
        <v>646</v>
      </c>
    </row>
    <row r="4206" spans="1:6" x14ac:dyDescent="0.3">
      <c r="A4206" t="s">
        <v>1200</v>
      </c>
      <c r="B4206" t="str" cm="1">
        <f t="array" ref="B4206">_xlfn.XLOOKUP(C4206, INDEX([2]!카테고리매핑,,2), INDEX([2]!카테고리매핑,,1), "미등록 카테고리")</f>
        <v>과일/견과류</v>
      </c>
      <c r="C4206" t="s">
        <v>654</v>
      </c>
      <c r="D4206" t="str">
        <f>VLOOKUP(C4206, '[2]VLOOKUP 함수용 카테고리'!$A$1:$B$59, 2, 0)</f>
        <v>RAW_FRUIT</v>
      </c>
      <c r="E4206" t="s">
        <v>1201</v>
      </c>
      <c r="F4206" t="s">
        <v>1202</v>
      </c>
    </row>
    <row r="4207" spans="1:6" x14ac:dyDescent="0.3">
      <c r="A4207" t="s">
        <v>6619</v>
      </c>
      <c r="B4207" t="str" cm="1">
        <f t="array" ref="B4207">_xlfn.XLOOKUP(C4207, INDEX([2]!카테고리매핑,,2), INDEX([2]!카테고리매핑,,1), "미등록 카테고리")</f>
        <v>간편식</v>
      </c>
      <c r="C4207" t="s">
        <v>158</v>
      </c>
      <c r="D4207" t="str">
        <f>VLOOKUP(C4207, '[2]VLOOKUP 함수용 카테고리'!$A$1:$B$59, 2, 0)</f>
        <v>INSTANT</v>
      </c>
      <c r="E4207" t="s">
        <v>2111</v>
      </c>
      <c r="F4207" t="s">
        <v>129</v>
      </c>
    </row>
    <row r="4208" spans="1:6" x14ac:dyDescent="0.3">
      <c r="A4208" t="s">
        <v>6620</v>
      </c>
      <c r="B4208" t="str" cm="1">
        <f t="array" ref="B4208">_xlfn.XLOOKUP(C4208, INDEX([2]!카테고리매핑,,2), INDEX([2]!카테고리매핑,,1), "미등록 카테고리")</f>
        <v>간식류</v>
      </c>
      <c r="C4208" t="s">
        <v>38</v>
      </c>
      <c r="D4208" t="str">
        <f>VLOOKUP(C4208, '[2]VLOOKUP 함수용 카테고리'!$A$1:$B$59, 2, 0)</f>
        <v>SNACK</v>
      </c>
      <c r="E4208" t="s">
        <v>179</v>
      </c>
      <c r="F4208" t="s">
        <v>6621</v>
      </c>
    </row>
    <row r="4209" spans="1:6" x14ac:dyDescent="0.3">
      <c r="A4209" t="s">
        <v>6622</v>
      </c>
      <c r="B4209" t="str" cm="1">
        <f t="array" ref="B4209">_xlfn.XLOOKUP(C4209, INDEX([2]!카테고리매핑,,2), INDEX([2]!카테고리매핑,,1), "미등록 카테고리")</f>
        <v>조미료</v>
      </c>
      <c r="C4209" t="s">
        <v>84</v>
      </c>
      <c r="D4209" t="str">
        <f>VLOOKUP(C4209, '[2]VLOOKUP 함수용 카테고리'!$A$1:$B$59, 2, 0)</f>
        <v>SAUCE_SEASONING</v>
      </c>
      <c r="E4209" t="s">
        <v>85</v>
      </c>
      <c r="F4209" t="s">
        <v>7907</v>
      </c>
    </row>
    <row r="4210" spans="1:6" x14ac:dyDescent="0.3">
      <c r="A4210" t="s">
        <v>6623</v>
      </c>
      <c r="B4210" t="str" cm="1">
        <f t="array" ref="B4210">_xlfn.XLOOKUP(C4210, INDEX([2]!카테고리매핑,,2), INDEX([2]!카테고리매핑,,1), "미등록 카테고리")</f>
        <v>유제품</v>
      </c>
      <c r="C4210" t="s">
        <v>123</v>
      </c>
      <c r="D4210" t="str">
        <f>VLOOKUP(C4210, '[2]VLOOKUP 함수용 카테고리'!$A$1:$B$59, 2, 0)</f>
        <v>DAIRY</v>
      </c>
      <c r="E4210" t="s">
        <v>239</v>
      </c>
      <c r="F4210" t="s">
        <v>240</v>
      </c>
    </row>
    <row r="4211" spans="1:6" x14ac:dyDescent="0.3">
      <c r="A4211" t="s">
        <v>6624</v>
      </c>
      <c r="B4211" t="str" cm="1">
        <f t="array" ref="B4211">_xlfn.XLOOKUP(C4211, INDEX([2]!카테고리매핑,,2), INDEX([2]!카테고리매핑,,1), "미등록 카테고리")</f>
        <v>간식류</v>
      </c>
      <c r="C4211" t="s">
        <v>15</v>
      </c>
      <c r="D4211" t="str">
        <f>VLOOKUP(C4211, '[2]VLOOKUP 함수용 카테고리'!$A$1:$B$59, 2, 0)</f>
        <v>BAKERY</v>
      </c>
      <c r="E4211" t="s">
        <v>53</v>
      </c>
      <c r="F4211" t="s">
        <v>54</v>
      </c>
    </row>
    <row r="4212" spans="1:6" x14ac:dyDescent="0.3">
      <c r="A4212" t="s">
        <v>6625</v>
      </c>
      <c r="B4212" t="str" cm="1">
        <f t="array" ref="B4212">_xlfn.XLOOKUP(C4212, INDEX([2]!카테고리매핑,,2), INDEX([2]!카테고리매핑,,1), "미등록 카테고리")</f>
        <v>간식류</v>
      </c>
      <c r="C4212" t="s">
        <v>15</v>
      </c>
      <c r="D4212" t="str">
        <f>VLOOKUP(C4212, '[2]VLOOKUP 함수용 카테고리'!$A$1:$B$59, 2, 0)</f>
        <v>BAKERY</v>
      </c>
      <c r="E4212" t="s">
        <v>1118</v>
      </c>
      <c r="F4212" t="s">
        <v>17</v>
      </c>
    </row>
    <row r="4213" spans="1:6" x14ac:dyDescent="0.3">
      <c r="A4213" t="s">
        <v>6626</v>
      </c>
      <c r="B4213" t="str" cm="1">
        <f t="array" ref="B4213">_xlfn.XLOOKUP(C4213, INDEX([2]!카테고리매핑,,2), INDEX([2]!카테고리매핑,,1), "미등록 카테고리")</f>
        <v>간편식</v>
      </c>
      <c r="C4213" t="s">
        <v>46</v>
      </c>
      <c r="D4213" t="str">
        <f>VLOOKUP(C4213, '[2]VLOOKUP 함수용 카테고리'!$A$1:$B$59, 2, 0)</f>
        <v>RTC_MEAL</v>
      </c>
      <c r="E4213" t="s">
        <v>46</v>
      </c>
      <c r="F4213" t="s">
        <v>2404</v>
      </c>
    </row>
    <row r="4214" spans="1:6" x14ac:dyDescent="0.3">
      <c r="A4214" t="s">
        <v>6627</v>
      </c>
      <c r="B4214" t="str" cm="1">
        <f t="array" ref="B4214">_xlfn.XLOOKUP(C4214, INDEX([2]!카테고리매핑,,2), INDEX([2]!카테고리매핑,,1), "미등록 카테고리")</f>
        <v>육류/계란</v>
      </c>
      <c r="C4214" t="s">
        <v>149</v>
      </c>
      <c r="D4214" t="str">
        <f>VLOOKUP(C4214, '[2]VLOOKUP 함수용 카테고리'!$A$1:$B$59, 2, 0)</f>
        <v>RAW_MEAT</v>
      </c>
      <c r="E4214" t="s">
        <v>6628</v>
      </c>
      <c r="F4214" t="s">
        <v>72</v>
      </c>
    </row>
    <row r="4215" spans="1:6" x14ac:dyDescent="0.3">
      <c r="A4215" t="s">
        <v>6629</v>
      </c>
      <c r="B4215" t="str" cm="1">
        <f t="array" ref="B4215">_xlfn.XLOOKUP(C4215, INDEX([2]!카테고리매핑,,2), INDEX([2]!카테고리매핑,,1), "미등록 카테고리")</f>
        <v>간편식</v>
      </c>
      <c r="C4215" t="s">
        <v>131</v>
      </c>
      <c r="D4215" t="str">
        <f>VLOOKUP(C4215, '[2]VLOOKUP 함수용 카테고리'!$A$1:$B$59, 2, 0)</f>
        <v>SIMPLE_PROCESSED</v>
      </c>
      <c r="E4215" t="s">
        <v>1067</v>
      </c>
      <c r="F4215" t="s">
        <v>7908</v>
      </c>
    </row>
    <row r="4216" spans="1:6" x14ac:dyDescent="0.3">
      <c r="A4216" t="s">
        <v>6630</v>
      </c>
      <c r="B4216" t="str" cm="1">
        <f t="array" ref="B4216">_xlfn.XLOOKUP(C4216, INDEX([2]!카테고리매핑,,2), INDEX([2]!카테고리매핑,,1), "미등록 카테고리")</f>
        <v>간편식</v>
      </c>
      <c r="C4216" t="s">
        <v>46</v>
      </c>
      <c r="D4216" t="str">
        <f>VLOOKUP(C4216, '[2]VLOOKUP 함수용 카테고리'!$A$1:$B$59, 2, 0)</f>
        <v>RTC_MEAL</v>
      </c>
      <c r="E4216" t="s">
        <v>46</v>
      </c>
      <c r="F4216" t="s">
        <v>646</v>
      </c>
    </row>
    <row r="4217" spans="1:6" x14ac:dyDescent="0.3">
      <c r="A4217" t="s">
        <v>6631</v>
      </c>
      <c r="B4217" t="str" cm="1">
        <f t="array" ref="B4217">_xlfn.XLOOKUP(C4217, INDEX([2]!카테고리매핑,,2), INDEX([2]!카테고리매핑,,1), "미등록 카테고리")</f>
        <v>음료</v>
      </c>
      <c r="C4217" t="s">
        <v>242</v>
      </c>
      <c r="D4217" t="str">
        <f>VLOOKUP(C4217, '[2]VLOOKUP 함수용 카테고리'!$A$1:$B$59, 2, 0)</f>
        <v>BEVERAGE</v>
      </c>
      <c r="E4217" t="s">
        <v>6632</v>
      </c>
      <c r="F4217" t="s">
        <v>6633</v>
      </c>
    </row>
    <row r="4218" spans="1:6" x14ac:dyDescent="0.3">
      <c r="A4218" t="s">
        <v>6634</v>
      </c>
      <c r="B4218" t="str" cm="1">
        <f t="array" ref="B4218">_xlfn.XLOOKUP(C4218, INDEX([2]!카테고리매핑,,2), INDEX([2]!카테고리매핑,,1), "미등록 카테고리")</f>
        <v>간편식</v>
      </c>
      <c r="C4218" t="s">
        <v>131</v>
      </c>
      <c r="D4218" t="str">
        <f>VLOOKUP(C4218, '[2]VLOOKUP 함수용 카테고리'!$A$1:$B$59, 2, 0)</f>
        <v>SIMPLE_PROCESSED</v>
      </c>
      <c r="E4218" t="s">
        <v>132</v>
      </c>
      <c r="F4218" t="s">
        <v>3481</v>
      </c>
    </row>
    <row r="4219" spans="1:6" x14ac:dyDescent="0.3">
      <c r="A4219" t="s">
        <v>6635</v>
      </c>
      <c r="B4219" t="str" cm="1">
        <f t="array" ref="B4219">_xlfn.XLOOKUP(C4219, INDEX([2]!카테고리매핑,,2), INDEX([2]!카테고리매핑,,1), "미등록 카테고리")</f>
        <v>수산물</v>
      </c>
      <c r="C4219" t="s">
        <v>203</v>
      </c>
      <c r="D4219" t="str">
        <f>VLOOKUP(C4219, '[2]VLOOKUP 함수용 카테고리'!$A$1:$B$59, 2, 0)</f>
        <v>RAW_SEAFOOD</v>
      </c>
      <c r="E4219" t="s">
        <v>1801</v>
      </c>
      <c r="F4219" t="s">
        <v>1802</v>
      </c>
    </row>
    <row r="4220" spans="1:6" x14ac:dyDescent="0.3">
      <c r="A4220" t="s">
        <v>6636</v>
      </c>
      <c r="B4220" t="str" cm="1">
        <f t="array" ref="B4220">_xlfn.XLOOKUP(C4220, INDEX([2]!카테고리매핑,,2), INDEX([2]!카테고리매핑,,1), "미등록 카테고리")</f>
        <v>수산물</v>
      </c>
      <c r="C4220" t="s">
        <v>183</v>
      </c>
      <c r="D4220" t="str">
        <f>VLOOKUP(C4220, '[2]VLOOKUP 함수용 카테고리'!$A$1:$B$59, 2, 0)</f>
        <v>DRIED_SEAFOOD</v>
      </c>
      <c r="E4220" t="s">
        <v>466</v>
      </c>
      <c r="F4220" t="s">
        <v>350</v>
      </c>
    </row>
    <row r="4221" spans="1:6" x14ac:dyDescent="0.3">
      <c r="A4221" t="s">
        <v>6637</v>
      </c>
      <c r="B4221" t="str" cm="1">
        <f t="array" ref="B4221">_xlfn.XLOOKUP(C4221, INDEX([2]!카테고리매핑,,2), INDEX([2]!카테고리매핑,,1), "미등록 카테고리")</f>
        <v>간편식</v>
      </c>
      <c r="C4221" t="s">
        <v>167</v>
      </c>
      <c r="D4221" t="str">
        <f>VLOOKUP(C4221, '[2]VLOOKUP 함수용 카테고리'!$A$1:$B$59, 2, 0)</f>
        <v>INSTANT</v>
      </c>
      <c r="E4221" t="s">
        <v>1949</v>
      </c>
      <c r="F4221" t="s">
        <v>7679</v>
      </c>
    </row>
    <row r="4222" spans="1:6" x14ac:dyDescent="0.3">
      <c r="A4222" t="s">
        <v>5829</v>
      </c>
      <c r="B4222" t="str" cm="1">
        <f t="array" ref="B4222">_xlfn.XLOOKUP(C4222, INDEX([2]!카테고리매핑,,2), INDEX([2]!카테고리매핑,,1), "미등록 카테고리")</f>
        <v>간편식</v>
      </c>
      <c r="C4222" t="s">
        <v>131</v>
      </c>
      <c r="D4222" t="str">
        <f>VLOOKUP(C4222, '[2]VLOOKUP 함수용 카테고리'!$A$1:$B$59, 2, 0)</f>
        <v>SIMPLE_PROCESSED</v>
      </c>
      <c r="E4222" t="s">
        <v>132</v>
      </c>
      <c r="F4222" t="s">
        <v>133</v>
      </c>
    </row>
    <row r="4223" spans="1:6" x14ac:dyDescent="0.3">
      <c r="A4223" t="s">
        <v>6638</v>
      </c>
      <c r="B4223" t="str" cm="1">
        <f t="array" ref="B4223">_xlfn.XLOOKUP(C4223, INDEX([2]!카테고리매핑,,2), INDEX([2]!카테고리매핑,,1), "미등록 카테고리")</f>
        <v>유제품</v>
      </c>
      <c r="C4223" t="s">
        <v>123</v>
      </c>
      <c r="D4223" t="str">
        <f>VLOOKUP(C4223, '[2]VLOOKUP 함수용 카테고리'!$A$1:$B$59, 2, 0)</f>
        <v>DAIRY</v>
      </c>
      <c r="E4223" t="s">
        <v>949</v>
      </c>
      <c r="F4223" t="s">
        <v>4792</v>
      </c>
    </row>
    <row r="4224" spans="1:6" x14ac:dyDescent="0.3">
      <c r="A4224" t="s">
        <v>6639</v>
      </c>
      <c r="B4224" t="str" cm="1">
        <f t="array" ref="B4224">_xlfn.XLOOKUP(C4224, INDEX([2]!카테고리매핑,,2), INDEX([2]!카테고리매핑,,1), "미등록 카테고리")</f>
        <v>조미료</v>
      </c>
      <c r="C4224" t="s">
        <v>127</v>
      </c>
      <c r="D4224" t="str">
        <f>VLOOKUP(C4224, '[2]VLOOKUP 함수용 카테고리'!$A$1:$B$59, 2, 0)</f>
        <v>SAUCE_SEASONING</v>
      </c>
      <c r="E4224" t="s">
        <v>1941</v>
      </c>
      <c r="F4224" t="s">
        <v>538</v>
      </c>
    </row>
    <row r="4225" spans="1:6" x14ac:dyDescent="0.3">
      <c r="A4225" t="s">
        <v>6640</v>
      </c>
      <c r="B4225" t="str" cm="1">
        <f t="array" ref="B4225">_xlfn.XLOOKUP(C4225, INDEX([2]!카테고리매핑,,2), INDEX([2]!카테고리매핑,,1), "미등록 카테고리")</f>
        <v>간편식</v>
      </c>
      <c r="C4225" t="s">
        <v>19</v>
      </c>
      <c r="D4225" t="str">
        <f>VLOOKUP(C4225, '[2]VLOOKUP 함수용 카테고리'!$A$1:$B$59, 2, 0)</f>
        <v>FROZEN_MEAL</v>
      </c>
      <c r="E4225" t="s">
        <v>6641</v>
      </c>
      <c r="F4225" t="s">
        <v>538</v>
      </c>
    </row>
    <row r="4226" spans="1:6" x14ac:dyDescent="0.3">
      <c r="A4226" t="s">
        <v>6642</v>
      </c>
      <c r="B4226" t="str" cm="1">
        <f t="array" ref="B4226">_xlfn.XLOOKUP(C4226, INDEX([2]!카테고리매핑,,2), INDEX([2]!카테고리매핑,,1), "미등록 카테고리")</f>
        <v>채소/곡물류</v>
      </c>
      <c r="C4226" t="s">
        <v>164</v>
      </c>
      <c r="D4226" t="str">
        <f>VLOOKUP(C4226, '[2]VLOOKUP 함수용 카테고리'!$A$1:$B$59, 2, 0)</f>
        <v>RAW_PRODUCE</v>
      </c>
      <c r="E4226" t="s">
        <v>165</v>
      </c>
    </row>
    <row r="4227" spans="1:6" x14ac:dyDescent="0.3">
      <c r="A4227" t="s">
        <v>6643</v>
      </c>
      <c r="B4227" t="str" cm="1">
        <f t="array" ref="B4227">_xlfn.XLOOKUP(C4227, INDEX([2]!카테고리매핑,,2), INDEX([2]!카테고리매핑,,1), "미등록 카테고리")</f>
        <v>간식류</v>
      </c>
      <c r="C4227" t="s">
        <v>109</v>
      </c>
      <c r="D4227" t="str">
        <f>VLOOKUP(C4227, '[2]VLOOKUP 함수용 카테고리'!$A$1:$B$59, 2, 0)</f>
        <v>SNACK</v>
      </c>
      <c r="E4227" t="s">
        <v>933</v>
      </c>
      <c r="F4227" t="s">
        <v>6644</v>
      </c>
    </row>
    <row r="4228" spans="1:6" x14ac:dyDescent="0.3">
      <c r="A4228" t="s">
        <v>6645</v>
      </c>
      <c r="B4228" t="str" cm="1">
        <f t="array" ref="B4228">_xlfn.XLOOKUP(C4228, INDEX([2]!카테고리매핑,,2), INDEX([2]!카테고리매핑,,1), "미등록 카테고리")</f>
        <v>상온식품</v>
      </c>
      <c r="C4228" t="s">
        <v>835</v>
      </c>
      <c r="D4228" t="str">
        <f>VLOOKUP(C4228, '[2]VLOOKUP 함수용 카테고리'!$A$1:$B$59, 2, 0)</f>
        <v>SAUCE_SEASONING</v>
      </c>
      <c r="E4228" t="s">
        <v>7657</v>
      </c>
      <c r="F4228" t="s">
        <v>7909</v>
      </c>
    </row>
    <row r="4229" spans="1:6" x14ac:dyDescent="0.3">
      <c r="A4229" t="s">
        <v>6646</v>
      </c>
      <c r="B4229" t="str" cm="1">
        <f t="array" ref="B4229">_xlfn.XLOOKUP(C4229, INDEX([2]!카테고리매핑,,2), INDEX([2]!카테고리매핑,,1), "미등록 카테고리")</f>
        <v>미등록 카테고리</v>
      </c>
      <c r="C4229" t="s">
        <v>334</v>
      </c>
      <c r="D4229" t="str">
        <f>VLOOKUP(C4229, '[2]VLOOKUP 함수용 카테고리'!$A$1:$B$59, 2, 0)</f>
        <v>UNKNOWN</v>
      </c>
      <c r="E4229" t="s">
        <v>334</v>
      </c>
      <c r="F4229" t="s">
        <v>6647</v>
      </c>
    </row>
    <row r="4230" spans="1:6" x14ac:dyDescent="0.3">
      <c r="A4230" t="s">
        <v>6648</v>
      </c>
      <c r="B4230" t="str" cm="1">
        <f t="array" ref="B4230">_xlfn.XLOOKUP(C4230, INDEX([2]!카테고리매핑,,2), INDEX([2]!카테고리매핑,,1), "미등록 카테고리")</f>
        <v>간편식</v>
      </c>
      <c r="C4230" t="s">
        <v>19</v>
      </c>
      <c r="D4230" t="str">
        <f>VLOOKUP(C4230, '[2]VLOOKUP 함수용 카테고리'!$A$1:$B$59, 2, 0)</f>
        <v>FROZEN_MEAL</v>
      </c>
      <c r="E4230" t="s">
        <v>1854</v>
      </c>
      <c r="F4230" t="s">
        <v>36</v>
      </c>
    </row>
    <row r="4231" spans="1:6" x14ac:dyDescent="0.3">
      <c r="A4231" t="s">
        <v>6649</v>
      </c>
      <c r="B4231" t="str" cm="1">
        <f t="array" ref="B4231">_xlfn.XLOOKUP(C4231, INDEX([2]!카테고리매핑,,2), INDEX([2]!카테고리매핑,,1), "미등록 카테고리")</f>
        <v>미등록 카테고리</v>
      </c>
      <c r="C4231" t="s">
        <v>334</v>
      </c>
      <c r="D4231" t="str">
        <f>VLOOKUP(C4231, '[2]VLOOKUP 함수용 카테고리'!$A$1:$B$59, 2, 0)</f>
        <v>UNKNOWN</v>
      </c>
      <c r="E4231" t="s">
        <v>334</v>
      </c>
      <c r="F4231" t="s">
        <v>812</v>
      </c>
    </row>
    <row r="4232" spans="1:6" x14ac:dyDescent="0.3">
      <c r="A4232" t="s">
        <v>6650</v>
      </c>
      <c r="B4232" t="str" cm="1">
        <f t="array" ref="B4232">_xlfn.XLOOKUP(C4232, INDEX([2]!카테고리매핑,,2), INDEX([2]!카테고리매핑,,1), "미등록 카테고리")</f>
        <v>육류/계란</v>
      </c>
      <c r="C4232" t="s">
        <v>298</v>
      </c>
      <c r="D4232" t="str">
        <f>VLOOKUP(C4232, '[2]VLOOKUP 함수용 카테고리'!$A$1:$B$59, 2, 0)</f>
        <v>RAW_MEAT</v>
      </c>
      <c r="E4232" t="s">
        <v>751</v>
      </c>
      <c r="F4232" t="s">
        <v>72</v>
      </c>
    </row>
    <row r="4233" spans="1:6" x14ac:dyDescent="0.3">
      <c r="A4233" t="s">
        <v>6651</v>
      </c>
      <c r="B4233" t="str" cm="1">
        <f t="array" ref="B4233">_xlfn.XLOOKUP(C4233, INDEX([2]!카테고리매핑,,2), INDEX([2]!카테고리매핑,,1), "미등록 카테고리")</f>
        <v>상온식품</v>
      </c>
      <c r="C4233" t="s">
        <v>769</v>
      </c>
      <c r="D4233" t="str">
        <f>VLOOKUP(C4233, '[2]VLOOKUP 함수용 카테고리'!$A$1:$B$59, 2, 0)</f>
        <v>GRAIN</v>
      </c>
      <c r="E4233" t="s">
        <v>770</v>
      </c>
      <c r="F4233" t="s">
        <v>7910</v>
      </c>
    </row>
    <row r="4234" spans="1:6" x14ac:dyDescent="0.3">
      <c r="A4234" t="s">
        <v>6652</v>
      </c>
      <c r="B4234" t="str" cm="1">
        <f t="array" ref="B4234">_xlfn.XLOOKUP(C4234, INDEX([2]!카테고리매핑,,2), INDEX([2]!카테고리매핑,,1), "미등록 카테고리")</f>
        <v>채소/곡물류</v>
      </c>
      <c r="C4234" t="s">
        <v>164</v>
      </c>
      <c r="D4234" t="str">
        <f>VLOOKUP(C4234, '[2]VLOOKUP 함수용 카테고리'!$A$1:$B$59, 2, 0)</f>
        <v>RAW_PRODUCE</v>
      </c>
      <c r="E4234" t="s">
        <v>195</v>
      </c>
    </row>
    <row r="4235" spans="1:6" x14ac:dyDescent="0.3">
      <c r="A4235" t="s">
        <v>6653</v>
      </c>
      <c r="B4235" t="str" cm="1">
        <f t="array" ref="B4235">_xlfn.XLOOKUP(C4235, INDEX([2]!카테고리매핑,,2), INDEX([2]!카테고리매핑,,1), "미등록 카테고리")</f>
        <v>유제품</v>
      </c>
      <c r="C4235" t="s">
        <v>98</v>
      </c>
      <c r="D4235" t="str">
        <f>VLOOKUP(C4235, '[2]VLOOKUP 함수용 카테고리'!$A$1:$B$59, 2, 0)</f>
        <v>DAIRY</v>
      </c>
      <c r="E4235" t="s">
        <v>5167</v>
      </c>
    </row>
    <row r="4236" spans="1:6" x14ac:dyDescent="0.3">
      <c r="A4236" t="s">
        <v>6654</v>
      </c>
      <c r="B4236" t="str" cm="1">
        <f t="array" ref="B4236">_xlfn.XLOOKUP(C4236, INDEX([2]!카테고리매핑,,2), INDEX([2]!카테고리매핑,,1), "미등록 카테고리")</f>
        <v>간편식</v>
      </c>
      <c r="C4236" t="s">
        <v>131</v>
      </c>
      <c r="D4236" t="str">
        <f>VLOOKUP(C4236, '[2]VLOOKUP 함수용 카테고리'!$A$1:$B$59, 2, 0)</f>
        <v>SIMPLE_PROCESSED</v>
      </c>
      <c r="E4236" t="s">
        <v>6655</v>
      </c>
      <c r="F4236" t="s">
        <v>471</v>
      </c>
    </row>
    <row r="4237" spans="1:6" x14ac:dyDescent="0.3">
      <c r="A4237" t="s">
        <v>6656</v>
      </c>
      <c r="B4237" t="str" cm="1">
        <f t="array" ref="B4237">_xlfn.XLOOKUP(C4237, INDEX([2]!카테고리매핑,,2), INDEX([2]!카테고리매핑,,1), "미등록 카테고리")</f>
        <v>육류/계란</v>
      </c>
      <c r="C4237" t="s">
        <v>149</v>
      </c>
      <c r="D4237" t="str">
        <f>VLOOKUP(C4237, '[2]VLOOKUP 함수용 카테고리'!$A$1:$B$59, 2, 0)</f>
        <v>RAW_MEAT</v>
      </c>
      <c r="E4237" t="s">
        <v>1647</v>
      </c>
    </row>
    <row r="4238" spans="1:6" x14ac:dyDescent="0.3">
      <c r="A4238" t="s">
        <v>6657</v>
      </c>
      <c r="B4238" t="str" cm="1">
        <f t="array" ref="B4238">_xlfn.XLOOKUP(C4238, INDEX([2]!카테고리매핑,,2), INDEX([2]!카테고리매핑,,1), "미등록 카테고리")</f>
        <v>간편식</v>
      </c>
      <c r="C4238" t="s">
        <v>256</v>
      </c>
      <c r="D4238" t="str">
        <f>VLOOKUP(C4238, '[2]VLOOKUP 함수용 카테고리'!$A$1:$B$59, 2, 0)</f>
        <v>RTC_MEAL</v>
      </c>
      <c r="E4238" t="s">
        <v>256</v>
      </c>
      <c r="F4238" t="s">
        <v>6658</v>
      </c>
    </row>
    <row r="4239" spans="1:6" x14ac:dyDescent="0.3">
      <c r="A4239" t="s">
        <v>6659</v>
      </c>
      <c r="B4239" t="str" cm="1">
        <f t="array" ref="B4239">_xlfn.XLOOKUP(C4239, INDEX([2]!카테고리매핑,,2), INDEX([2]!카테고리매핑,,1), "미등록 카테고리")</f>
        <v>과일/견과류</v>
      </c>
      <c r="C4239" t="s">
        <v>1179</v>
      </c>
      <c r="D4239" t="str">
        <f>VLOOKUP(C4239, '[2]VLOOKUP 함수용 카테고리'!$A$1:$B$59, 2, 0)</f>
        <v>RAW_FRUIT</v>
      </c>
      <c r="E4239" t="s">
        <v>1990</v>
      </c>
      <c r="F4239" t="s">
        <v>7911</v>
      </c>
    </row>
    <row r="4240" spans="1:6" x14ac:dyDescent="0.3">
      <c r="A4240" t="s">
        <v>6660</v>
      </c>
      <c r="B4240" t="str" cm="1">
        <f t="array" ref="B4240">_xlfn.XLOOKUP(C4240, INDEX([2]!카테고리매핑,,2), INDEX([2]!카테고리매핑,,1), "미등록 카테고리")</f>
        <v>육류/계란</v>
      </c>
      <c r="C4240" t="s">
        <v>149</v>
      </c>
      <c r="D4240" t="str">
        <f>VLOOKUP(C4240, '[2]VLOOKUP 함수용 카테고리'!$A$1:$B$59, 2, 0)</f>
        <v>RAW_MEAT</v>
      </c>
      <c r="E4240" t="s">
        <v>573</v>
      </c>
    </row>
    <row r="4241" spans="1:6" x14ac:dyDescent="0.3">
      <c r="A4241" t="s">
        <v>6661</v>
      </c>
      <c r="B4241" t="str" cm="1">
        <f t="array" ref="B4241">_xlfn.XLOOKUP(C4241, INDEX([2]!카테고리매핑,,2), INDEX([2]!카테고리매핑,,1), "미등록 카테고리")</f>
        <v>채소/곡물류</v>
      </c>
      <c r="C4241" t="s">
        <v>7</v>
      </c>
      <c r="D4241" t="str">
        <f>VLOOKUP(C4241, '[2]VLOOKUP 함수용 카테고리'!$A$1:$B$59, 2, 0)</f>
        <v>RAW_PRODUCE</v>
      </c>
      <c r="E4241" t="s">
        <v>1898</v>
      </c>
      <c r="F4241" t="s">
        <v>4394</v>
      </c>
    </row>
    <row r="4242" spans="1:6" x14ac:dyDescent="0.3">
      <c r="A4242" t="s">
        <v>6662</v>
      </c>
      <c r="B4242" t="str" cm="1">
        <f t="array" ref="B4242">_xlfn.XLOOKUP(C4242, INDEX([2]!카테고리매핑,,2), INDEX([2]!카테고리매핑,,1), "미등록 카테고리")</f>
        <v>간식류</v>
      </c>
      <c r="C4242" t="s">
        <v>38</v>
      </c>
      <c r="D4242" t="str">
        <f>VLOOKUP(C4242, '[2]VLOOKUP 함수용 카테고리'!$A$1:$B$59, 2, 0)</f>
        <v>SNACK</v>
      </c>
      <c r="E4242" t="s">
        <v>179</v>
      </c>
      <c r="F4242" t="s">
        <v>403</v>
      </c>
    </row>
    <row r="4243" spans="1:6" x14ac:dyDescent="0.3">
      <c r="A4243" t="s">
        <v>6663</v>
      </c>
      <c r="B4243" t="str" cm="1">
        <f t="array" ref="B4243">_xlfn.XLOOKUP(C4243, INDEX([2]!카테고리매핑,,2), INDEX([2]!카테고리매핑,,1), "미등록 카테고리")</f>
        <v>간편식</v>
      </c>
      <c r="C4243" t="s">
        <v>19</v>
      </c>
      <c r="D4243" t="str">
        <f>VLOOKUP(C4243, '[2]VLOOKUP 함수용 카테고리'!$A$1:$B$59, 2, 0)</f>
        <v>FROZEN_MEAL</v>
      </c>
      <c r="E4243" t="s">
        <v>6664</v>
      </c>
      <c r="F4243" t="s">
        <v>156</v>
      </c>
    </row>
    <row r="4244" spans="1:6" x14ac:dyDescent="0.3">
      <c r="A4244" t="s">
        <v>6665</v>
      </c>
      <c r="B4244" t="str" cm="1">
        <f t="array" ref="B4244">_xlfn.XLOOKUP(C4244, INDEX([2]!카테고리매핑,,2), INDEX([2]!카테고리매핑,,1), "미등록 카테고리")</f>
        <v>수산물</v>
      </c>
      <c r="C4244" t="s">
        <v>140</v>
      </c>
      <c r="D4244" t="str">
        <f>VLOOKUP(C4244, '[2]VLOOKUP 함수용 카테고리'!$A$1:$B$59, 2, 0)</f>
        <v>SIMPLE_PROCESSED</v>
      </c>
      <c r="E4244" t="s">
        <v>141</v>
      </c>
      <c r="F4244" t="s">
        <v>1490</v>
      </c>
    </row>
    <row r="4245" spans="1:6" x14ac:dyDescent="0.3">
      <c r="A4245" t="s">
        <v>6666</v>
      </c>
      <c r="B4245" t="str" cm="1">
        <f t="array" ref="B4245">_xlfn.XLOOKUP(C4245, INDEX([2]!카테고리매핑,,2), INDEX([2]!카테고리매핑,,1), "미등록 카테고리")</f>
        <v>간식류</v>
      </c>
      <c r="C4245" t="s">
        <v>38</v>
      </c>
      <c r="D4245" t="str">
        <f>VLOOKUP(C4245, '[2]VLOOKUP 함수용 카테고리'!$A$1:$B$59, 2, 0)</f>
        <v>SNACK</v>
      </c>
      <c r="E4245" t="s">
        <v>39</v>
      </c>
      <c r="F4245" t="s">
        <v>6667</v>
      </c>
    </row>
    <row r="4246" spans="1:6" x14ac:dyDescent="0.3">
      <c r="A4246" t="s">
        <v>6668</v>
      </c>
      <c r="B4246" t="str" cm="1">
        <f t="array" ref="B4246">_xlfn.XLOOKUP(C4246, INDEX([2]!카테고리매핑,,2), INDEX([2]!카테고리매핑,,1), "미등록 카테고리")</f>
        <v>음료</v>
      </c>
      <c r="C4246" t="s">
        <v>23</v>
      </c>
      <c r="D4246" t="str">
        <f>VLOOKUP(C4246, '[2]VLOOKUP 함수용 카테고리'!$A$1:$B$59, 2, 0)</f>
        <v>BEVERAGE</v>
      </c>
      <c r="E4246" t="s">
        <v>74</v>
      </c>
      <c r="F4246" t="s">
        <v>136</v>
      </c>
    </row>
    <row r="4247" spans="1:6" x14ac:dyDescent="0.3">
      <c r="A4247" t="s">
        <v>6669</v>
      </c>
      <c r="B4247" t="str" cm="1">
        <f t="array" ref="B4247">_xlfn.XLOOKUP(C4247, INDEX([2]!카테고리매핑,,2), INDEX([2]!카테고리매핑,,1), "미등록 카테고리")</f>
        <v>유제품</v>
      </c>
      <c r="C4247" t="s">
        <v>98</v>
      </c>
      <c r="D4247" t="str">
        <f>VLOOKUP(C4247, '[2]VLOOKUP 함수용 카테고리'!$A$1:$B$59, 2, 0)</f>
        <v>DAIRY</v>
      </c>
      <c r="E4247" t="s">
        <v>3527</v>
      </c>
      <c r="F4247" t="s">
        <v>3911</v>
      </c>
    </row>
    <row r="4248" spans="1:6" x14ac:dyDescent="0.3">
      <c r="A4248" t="s">
        <v>6670</v>
      </c>
      <c r="B4248" t="str" cm="1">
        <f t="array" ref="B4248">_xlfn.XLOOKUP(C4248, INDEX([2]!카테고리매핑,,2), INDEX([2]!카테고리매핑,,1), "미등록 카테고리")</f>
        <v>미등록 카테고리</v>
      </c>
      <c r="C4248" t="s">
        <v>334</v>
      </c>
      <c r="D4248" t="str">
        <f>VLOOKUP(C4248, '[2]VLOOKUP 함수용 카테고리'!$A$1:$B$59, 2, 0)</f>
        <v>UNKNOWN</v>
      </c>
      <c r="E4248" t="s">
        <v>334</v>
      </c>
      <c r="F4248" t="s">
        <v>77</v>
      </c>
    </row>
    <row r="4249" spans="1:6" x14ac:dyDescent="0.3">
      <c r="A4249" t="s">
        <v>6671</v>
      </c>
      <c r="B4249" t="str" cm="1">
        <f t="array" ref="B4249">_xlfn.XLOOKUP(C4249, INDEX([2]!카테고리매핑,,2), INDEX([2]!카테고리매핑,,1), "미등록 카테고리")</f>
        <v>간편식</v>
      </c>
      <c r="C4249" t="s">
        <v>46</v>
      </c>
      <c r="D4249" t="str">
        <f>VLOOKUP(C4249, '[2]VLOOKUP 함수용 카테고리'!$A$1:$B$59, 2, 0)</f>
        <v>RTC_MEAL</v>
      </c>
      <c r="E4249" t="s">
        <v>46</v>
      </c>
      <c r="F4249" t="s">
        <v>765</v>
      </c>
    </row>
    <row r="4250" spans="1:6" x14ac:dyDescent="0.3">
      <c r="A4250" t="s">
        <v>6672</v>
      </c>
      <c r="B4250" t="str" cm="1">
        <f t="array" ref="B4250">_xlfn.XLOOKUP(C4250, INDEX([2]!카테고리매핑,,2), INDEX([2]!카테고리매핑,,1), "미등록 카테고리")</f>
        <v>유제품</v>
      </c>
      <c r="C4250" t="s">
        <v>432</v>
      </c>
      <c r="D4250" t="str">
        <f>VLOOKUP(C4250, '[2]VLOOKUP 함수용 카테고리'!$A$1:$B$59, 2, 0)</f>
        <v>DAIRY</v>
      </c>
      <c r="E4250" t="s">
        <v>549</v>
      </c>
      <c r="F4250" t="s">
        <v>623</v>
      </c>
    </row>
    <row r="4251" spans="1:6" x14ac:dyDescent="0.3">
      <c r="A4251" t="s">
        <v>6673</v>
      </c>
      <c r="B4251" t="str" cm="1">
        <f t="array" ref="B4251">_xlfn.XLOOKUP(C4251, INDEX([2]!카테고리매핑,,2), INDEX([2]!카테고리매핑,,1), "미등록 카테고리")</f>
        <v>간식류</v>
      </c>
      <c r="C4251" t="s">
        <v>38</v>
      </c>
      <c r="D4251" t="str">
        <f>VLOOKUP(C4251, '[2]VLOOKUP 함수용 카테고리'!$A$1:$B$59, 2, 0)</f>
        <v>SNACK</v>
      </c>
      <c r="E4251" t="s">
        <v>179</v>
      </c>
      <c r="F4251" t="s">
        <v>393</v>
      </c>
    </row>
    <row r="4252" spans="1:6" x14ac:dyDescent="0.3">
      <c r="A4252" t="s">
        <v>6674</v>
      </c>
      <c r="B4252" t="str" cm="1">
        <f t="array" ref="B4252">_xlfn.XLOOKUP(C4252, INDEX([2]!카테고리매핑,,2), INDEX([2]!카테고리매핑,,1), "미등록 카테고리")</f>
        <v>술</v>
      </c>
      <c r="C4252" t="s">
        <v>56</v>
      </c>
      <c r="D4252" t="str">
        <f>VLOOKUP(C4252, '[2]VLOOKUP 함수용 카테고리'!$A$1:$B$59, 2, 0)</f>
        <v>ALCOHOL</v>
      </c>
      <c r="E4252" t="s">
        <v>505</v>
      </c>
      <c r="F4252" t="s">
        <v>6675</v>
      </c>
    </row>
    <row r="4253" spans="1:6" x14ac:dyDescent="0.3">
      <c r="A4253" t="s">
        <v>6676</v>
      </c>
      <c r="B4253" t="str" cm="1">
        <f t="array" ref="B4253">_xlfn.XLOOKUP(C4253, INDEX([2]!카테고리매핑,,2), INDEX([2]!카테고리매핑,,1), "미등록 카테고리")</f>
        <v>미등록 카테고리</v>
      </c>
      <c r="C4253" t="s">
        <v>334</v>
      </c>
      <c r="D4253" t="str">
        <f>VLOOKUP(C4253, '[2]VLOOKUP 함수용 카테고리'!$A$1:$B$59, 2, 0)</f>
        <v>UNKNOWN</v>
      </c>
      <c r="E4253" t="s">
        <v>334</v>
      </c>
      <c r="F4253" t="s">
        <v>7912</v>
      </c>
    </row>
    <row r="4254" spans="1:6" x14ac:dyDescent="0.3">
      <c r="A4254" t="s">
        <v>6677</v>
      </c>
      <c r="B4254" t="str" cm="1">
        <f t="array" ref="B4254">_xlfn.XLOOKUP(C4254, INDEX([2]!카테고리매핑,,2), INDEX([2]!카테고리매핑,,1), "미등록 카테고리")</f>
        <v>육류/계란</v>
      </c>
      <c r="C4254" t="s">
        <v>298</v>
      </c>
      <c r="D4254" t="str">
        <f>VLOOKUP(C4254, '[2]VLOOKUP 함수용 카테고리'!$A$1:$B$59, 2, 0)</f>
        <v>RAW_MEAT</v>
      </c>
      <c r="E4254" t="s">
        <v>751</v>
      </c>
      <c r="F4254" t="s">
        <v>2487</v>
      </c>
    </row>
    <row r="4255" spans="1:6" x14ac:dyDescent="0.3">
      <c r="A4255" t="s">
        <v>6678</v>
      </c>
      <c r="B4255" t="str" cm="1">
        <f t="array" ref="B4255">_xlfn.XLOOKUP(C4255, INDEX([2]!카테고리매핑,,2), INDEX([2]!카테고리매핑,,1), "미등록 카테고리")</f>
        <v>간식류</v>
      </c>
      <c r="C4255" t="s">
        <v>15</v>
      </c>
      <c r="D4255" t="str">
        <f>VLOOKUP(C4255, '[2]VLOOKUP 함수용 카테고리'!$A$1:$B$59, 2, 0)</f>
        <v>BAKERY</v>
      </c>
      <c r="E4255" t="s">
        <v>53</v>
      </c>
      <c r="F4255" t="s">
        <v>7670</v>
      </c>
    </row>
    <row r="4256" spans="1:6" x14ac:dyDescent="0.3">
      <c r="A4256" t="s">
        <v>6679</v>
      </c>
      <c r="B4256" t="str" cm="1">
        <f t="array" ref="B4256">_xlfn.XLOOKUP(C4256, INDEX([2]!카테고리매핑,,2), INDEX([2]!카테고리매핑,,1), "미등록 카테고리")</f>
        <v>과일/견과류</v>
      </c>
      <c r="C4256" t="s">
        <v>654</v>
      </c>
      <c r="D4256" t="str">
        <f>VLOOKUP(C4256, '[2]VLOOKUP 함수용 카테고리'!$A$1:$B$59, 2, 0)</f>
        <v>RAW_FRUIT</v>
      </c>
      <c r="E4256" t="s">
        <v>2177</v>
      </c>
      <c r="F4256" t="s">
        <v>350</v>
      </c>
    </row>
    <row r="4257" spans="1:6" x14ac:dyDescent="0.3">
      <c r="A4257" t="s">
        <v>6680</v>
      </c>
      <c r="B4257" t="str" cm="1">
        <f t="array" ref="B4257">_xlfn.XLOOKUP(C4257, INDEX([2]!카테고리매핑,,2), INDEX([2]!카테고리매핑,,1), "미등록 카테고리")</f>
        <v>육류/계란</v>
      </c>
      <c r="C4257" t="s">
        <v>105</v>
      </c>
      <c r="D4257" t="str">
        <f>VLOOKUP(C4257, '[2]VLOOKUP 함수용 카테고리'!$A$1:$B$59, 2, 0)</f>
        <v>RAW_MEAT</v>
      </c>
      <c r="E4257" t="s">
        <v>6681</v>
      </c>
      <c r="F4257" t="s">
        <v>177</v>
      </c>
    </row>
    <row r="4258" spans="1:6" x14ac:dyDescent="0.3">
      <c r="A4258" t="s">
        <v>6682</v>
      </c>
      <c r="B4258" t="str" cm="1">
        <f t="array" ref="B4258">_xlfn.XLOOKUP(C4258, INDEX([2]!카테고리매핑,,2), INDEX([2]!카테고리매핑,,1), "미등록 카테고리")</f>
        <v>유제품</v>
      </c>
      <c r="C4258" t="s">
        <v>211</v>
      </c>
      <c r="D4258" t="str">
        <f>VLOOKUP(C4258, '[2]VLOOKUP 함수용 카테고리'!$A$1:$B$59, 2, 0)</f>
        <v>DAIRY</v>
      </c>
      <c r="E4258" t="s">
        <v>211</v>
      </c>
      <c r="F4258" t="s">
        <v>2089</v>
      </c>
    </row>
    <row r="4259" spans="1:6" x14ac:dyDescent="0.3">
      <c r="A4259" t="s">
        <v>6683</v>
      </c>
      <c r="B4259" t="str" cm="1">
        <f t="array" ref="B4259">_xlfn.XLOOKUP(C4259, INDEX([2]!카테고리매핑,,2), INDEX([2]!카테고리매핑,,1), "미등록 카테고리")</f>
        <v>과일/견과류</v>
      </c>
      <c r="C4259" t="s">
        <v>654</v>
      </c>
      <c r="D4259" t="str">
        <f>VLOOKUP(C4259, '[2]VLOOKUP 함수용 카테고리'!$A$1:$B$59, 2, 0)</f>
        <v>RAW_FRUIT</v>
      </c>
      <c r="E4259" t="s">
        <v>1034</v>
      </c>
      <c r="F4259" t="s">
        <v>670</v>
      </c>
    </row>
    <row r="4260" spans="1:6" x14ac:dyDescent="0.3">
      <c r="A4260" t="s">
        <v>449</v>
      </c>
      <c r="B4260" t="str" cm="1">
        <f t="array" ref="B4260">_xlfn.XLOOKUP(C4260, INDEX([2]!카테고리매핑,,2), INDEX([2]!카테고리매핑,,1), "미등록 카테고리")</f>
        <v>술</v>
      </c>
      <c r="C4260" t="s">
        <v>42</v>
      </c>
      <c r="D4260" t="str">
        <f>VLOOKUP(C4260, '[2]VLOOKUP 함수용 카테고리'!$A$1:$B$59, 2, 0)</f>
        <v>ALCOHOL</v>
      </c>
      <c r="E4260" t="s">
        <v>43</v>
      </c>
      <c r="F4260" t="s">
        <v>7913</v>
      </c>
    </row>
    <row r="4261" spans="1:6" x14ac:dyDescent="0.3">
      <c r="A4261" t="s">
        <v>6684</v>
      </c>
      <c r="B4261" t="str" cm="1">
        <f t="array" ref="B4261">_xlfn.XLOOKUP(C4261, INDEX([2]!카테고리매핑,,2), INDEX([2]!카테고리매핑,,1), "미등록 카테고리")</f>
        <v>음료</v>
      </c>
      <c r="C4261" t="s">
        <v>23</v>
      </c>
      <c r="D4261" t="str">
        <f>VLOOKUP(C4261, '[2]VLOOKUP 함수용 카테고리'!$A$1:$B$59, 2, 0)</f>
        <v>BEVERAGE</v>
      </c>
      <c r="E4261" t="s">
        <v>305</v>
      </c>
      <c r="F4261" t="s">
        <v>6685</v>
      </c>
    </row>
    <row r="4262" spans="1:6" x14ac:dyDescent="0.3">
      <c r="A4262" t="s">
        <v>6686</v>
      </c>
      <c r="B4262" t="str" cm="1">
        <f t="array" ref="B4262">_xlfn.XLOOKUP(C4262, INDEX([2]!카테고리매핑,,2), INDEX([2]!카테고리매핑,,1), "미등록 카테고리")</f>
        <v>음료</v>
      </c>
      <c r="C4262" t="s">
        <v>584</v>
      </c>
      <c r="D4262" t="str">
        <f>VLOOKUP(C4262, '[2]VLOOKUP 함수용 카테고리'!$A$1:$B$59, 2, 0)</f>
        <v>BEVERAGE</v>
      </c>
      <c r="E4262" t="s">
        <v>6687</v>
      </c>
      <c r="F4262" t="s">
        <v>7914</v>
      </c>
    </row>
    <row r="4263" spans="1:6" x14ac:dyDescent="0.3">
      <c r="A4263" t="s">
        <v>6688</v>
      </c>
      <c r="B4263" t="str" cm="1">
        <f t="array" ref="B4263">_xlfn.XLOOKUP(C4263, INDEX([2]!카테고리매핑,,2), INDEX([2]!카테고리매핑,,1), "미등록 카테고리")</f>
        <v>육류/계란</v>
      </c>
      <c r="C4263" t="s">
        <v>428</v>
      </c>
      <c r="D4263" t="str">
        <f>VLOOKUP(C4263, '[2]VLOOKUP 함수용 카테고리'!$A$1:$B$59, 2, 0)</f>
        <v>PROCESSED_MEAT</v>
      </c>
      <c r="E4263" t="s">
        <v>738</v>
      </c>
      <c r="F4263" t="s">
        <v>739</v>
      </c>
    </row>
    <row r="4264" spans="1:6" x14ac:dyDescent="0.3">
      <c r="A4264" t="s">
        <v>6689</v>
      </c>
      <c r="B4264" t="str" cm="1">
        <f t="array" ref="B4264">_xlfn.XLOOKUP(C4264, INDEX([2]!카테고리매핑,,2), INDEX([2]!카테고리매핑,,1), "미등록 카테고리")</f>
        <v>술</v>
      </c>
      <c r="C4264" t="s">
        <v>42</v>
      </c>
      <c r="D4264" t="str">
        <f>VLOOKUP(C4264, '[2]VLOOKUP 함수용 카테고리'!$A$1:$B$59, 2, 0)</f>
        <v>ALCOHOL</v>
      </c>
      <c r="E4264" t="s">
        <v>6690</v>
      </c>
      <c r="F4264" t="s">
        <v>6691</v>
      </c>
    </row>
    <row r="4265" spans="1:6" x14ac:dyDescent="0.3">
      <c r="A4265" t="s">
        <v>6692</v>
      </c>
      <c r="B4265" t="str" cm="1">
        <f t="array" ref="B4265">_xlfn.XLOOKUP(C4265, INDEX([2]!카테고리매핑,,2), INDEX([2]!카테고리매핑,,1), "미등록 카테고리")</f>
        <v>채소/곡물류</v>
      </c>
      <c r="C4265" t="s">
        <v>7</v>
      </c>
      <c r="D4265" t="str">
        <f>VLOOKUP(C4265, '[2]VLOOKUP 함수용 카테고리'!$A$1:$B$59, 2, 0)</f>
        <v>RAW_PRODUCE</v>
      </c>
      <c r="E4265" t="s">
        <v>2068</v>
      </c>
    </row>
    <row r="4266" spans="1:6" x14ac:dyDescent="0.3">
      <c r="A4266" t="s">
        <v>6693</v>
      </c>
      <c r="B4266" t="str" cm="1">
        <f t="array" ref="B4266">_xlfn.XLOOKUP(C4266, INDEX([2]!카테고리매핑,,2), INDEX([2]!카테고리매핑,,1), "미등록 카테고리")</f>
        <v>간편식</v>
      </c>
      <c r="C4266" t="s">
        <v>161</v>
      </c>
      <c r="D4266" t="str">
        <f>VLOOKUP(C4266, '[2]VLOOKUP 함수용 카테고리'!$A$1:$B$59, 2, 0)</f>
        <v>RTC_MEAL</v>
      </c>
      <c r="E4266" t="s">
        <v>162</v>
      </c>
    </row>
    <row r="4267" spans="1:6" x14ac:dyDescent="0.3">
      <c r="A4267" t="s">
        <v>6694</v>
      </c>
      <c r="B4267" t="str" cm="1">
        <f t="array" ref="B4267">_xlfn.XLOOKUP(C4267, INDEX([2]!카테고리매핑,,2), INDEX([2]!카테고리매핑,,1), "미등록 카테고리")</f>
        <v>조미료</v>
      </c>
      <c r="C4267" t="s">
        <v>117</v>
      </c>
      <c r="D4267" t="str">
        <f>VLOOKUP(C4267, '[2]VLOOKUP 함수용 카테고리'!$A$1:$B$59, 2, 0)</f>
        <v>SAUCE_SEASONING</v>
      </c>
      <c r="E4267" t="s">
        <v>2135</v>
      </c>
      <c r="F4267" t="s">
        <v>646</v>
      </c>
    </row>
    <row r="4268" spans="1:6" x14ac:dyDescent="0.3">
      <c r="A4268" t="s">
        <v>6695</v>
      </c>
      <c r="B4268" t="str" cm="1">
        <f t="array" ref="B4268">_xlfn.XLOOKUP(C4268, INDEX([2]!카테고리매핑,,2), INDEX([2]!카테고리매핑,,1), "미등록 카테고리")</f>
        <v>채소/곡물류</v>
      </c>
      <c r="C4268" t="s">
        <v>7</v>
      </c>
      <c r="D4268" t="str">
        <f>VLOOKUP(C4268, '[2]VLOOKUP 함수용 카테고리'!$A$1:$B$59, 2, 0)</f>
        <v>RAW_PRODUCE</v>
      </c>
      <c r="E4268" t="s">
        <v>6696</v>
      </c>
      <c r="F4268" t="s">
        <v>406</v>
      </c>
    </row>
    <row r="4269" spans="1:6" x14ac:dyDescent="0.3">
      <c r="A4269" t="s">
        <v>6697</v>
      </c>
      <c r="B4269" t="str" cm="1">
        <f t="array" ref="B4269">_xlfn.XLOOKUP(C4269, INDEX([2]!카테고리매핑,,2), INDEX([2]!카테고리매핑,,1), "미등록 카테고리")</f>
        <v>조미료</v>
      </c>
      <c r="C4269" t="s">
        <v>117</v>
      </c>
      <c r="D4269" t="str">
        <f>VLOOKUP(C4269, '[2]VLOOKUP 함수용 카테고리'!$A$1:$B$59, 2, 0)</f>
        <v>SAUCE_SEASONING</v>
      </c>
      <c r="E4269" t="s">
        <v>6698</v>
      </c>
      <c r="F4269" t="s">
        <v>7686</v>
      </c>
    </row>
    <row r="4270" spans="1:6" x14ac:dyDescent="0.3">
      <c r="A4270" t="s">
        <v>6699</v>
      </c>
      <c r="B4270" t="str" cm="1">
        <f t="array" ref="B4270">_xlfn.XLOOKUP(C4270, INDEX([2]!카테고리매핑,,2), INDEX([2]!카테고리매핑,,1), "미등록 카테고리")</f>
        <v>조미료</v>
      </c>
      <c r="C4270" t="s">
        <v>117</v>
      </c>
      <c r="D4270" t="str">
        <f>VLOOKUP(C4270, '[2]VLOOKUP 함수용 카테고리'!$A$1:$B$59, 2, 0)</f>
        <v>SAUCE_SEASONING</v>
      </c>
      <c r="E4270" t="s">
        <v>6700</v>
      </c>
      <c r="F4270" t="s">
        <v>1381</v>
      </c>
    </row>
    <row r="4271" spans="1:6" x14ac:dyDescent="0.3">
      <c r="A4271" t="s">
        <v>6701</v>
      </c>
      <c r="B4271" t="str" cm="1">
        <f t="array" ref="B4271">_xlfn.XLOOKUP(C4271, INDEX([2]!카테고리매핑,,2), INDEX([2]!카테고리매핑,,1), "미등록 카테고리")</f>
        <v>간식류</v>
      </c>
      <c r="C4271" t="s">
        <v>11</v>
      </c>
      <c r="D4271" t="str">
        <f>VLOOKUP(C4271, '[2]VLOOKUP 함수용 카테고리'!$A$1:$B$59, 2, 0)</f>
        <v>SNACK</v>
      </c>
      <c r="E4271" t="s">
        <v>6702</v>
      </c>
      <c r="F4271" t="s">
        <v>54</v>
      </c>
    </row>
    <row r="4272" spans="1:6" x14ac:dyDescent="0.3">
      <c r="A4272" t="s">
        <v>6703</v>
      </c>
      <c r="B4272" t="str" cm="1">
        <f t="array" ref="B4272">_xlfn.XLOOKUP(C4272, INDEX([2]!카테고리매핑,,2), INDEX([2]!카테고리매핑,,1), "미등록 카테고리")</f>
        <v>육류/계란</v>
      </c>
      <c r="C4272" t="s">
        <v>105</v>
      </c>
      <c r="D4272" t="str">
        <f>VLOOKUP(C4272, '[2]VLOOKUP 함수용 카테고리'!$A$1:$B$59, 2, 0)</f>
        <v>RAW_MEAT</v>
      </c>
      <c r="E4272" t="s">
        <v>6704</v>
      </c>
      <c r="F4272" t="s">
        <v>1510</v>
      </c>
    </row>
    <row r="4273" spans="1:6" x14ac:dyDescent="0.3">
      <c r="A4273" t="s">
        <v>6705</v>
      </c>
      <c r="B4273" t="str" cm="1">
        <f t="array" ref="B4273">_xlfn.XLOOKUP(C4273, INDEX([2]!카테고리매핑,,2), INDEX([2]!카테고리매핑,,1), "미등록 카테고리")</f>
        <v>유제품</v>
      </c>
      <c r="C4273" t="s">
        <v>123</v>
      </c>
      <c r="D4273" t="str">
        <f>VLOOKUP(C4273, '[2]VLOOKUP 함수용 카테고리'!$A$1:$B$59, 2, 0)</f>
        <v>DAIRY</v>
      </c>
      <c r="E4273" t="s">
        <v>367</v>
      </c>
      <c r="F4273" t="s">
        <v>623</v>
      </c>
    </row>
    <row r="4274" spans="1:6" x14ac:dyDescent="0.3">
      <c r="A4274" t="s">
        <v>4499</v>
      </c>
      <c r="B4274" t="str" cm="1">
        <f t="array" ref="B4274">_xlfn.XLOOKUP(C4274, INDEX([2]!카테고리매핑,,2), INDEX([2]!카테고리매핑,,1), "미등록 카테고리")</f>
        <v>과일/견과류</v>
      </c>
      <c r="C4274" t="s">
        <v>654</v>
      </c>
      <c r="D4274" t="str">
        <f>VLOOKUP(C4274, '[2]VLOOKUP 함수용 카테고리'!$A$1:$B$59, 2, 0)</f>
        <v>RAW_FRUIT</v>
      </c>
      <c r="E4274" t="s">
        <v>1422</v>
      </c>
      <c r="F4274" t="s">
        <v>4485</v>
      </c>
    </row>
    <row r="4275" spans="1:6" x14ac:dyDescent="0.3">
      <c r="A4275" t="s">
        <v>6706</v>
      </c>
      <c r="B4275" t="str" cm="1">
        <f t="array" ref="B4275">_xlfn.XLOOKUP(C4275, INDEX([2]!카테고리매핑,,2), INDEX([2]!카테고리매핑,,1), "미등록 카테고리")</f>
        <v>유제품</v>
      </c>
      <c r="C4275" t="s">
        <v>98</v>
      </c>
      <c r="D4275" t="str">
        <f>VLOOKUP(C4275, '[2]VLOOKUP 함수용 카테고리'!$A$1:$B$59, 2, 0)</f>
        <v>DAIRY</v>
      </c>
      <c r="E4275" t="s">
        <v>3523</v>
      </c>
      <c r="F4275" t="s">
        <v>1559</v>
      </c>
    </row>
    <row r="4276" spans="1:6" x14ac:dyDescent="0.3">
      <c r="A4276" t="s">
        <v>6707</v>
      </c>
      <c r="B4276" t="str" cm="1">
        <f t="array" ref="B4276">_xlfn.XLOOKUP(C4276, INDEX([2]!카테고리매핑,,2), INDEX([2]!카테고리매핑,,1), "미등록 카테고리")</f>
        <v>채소/곡물류</v>
      </c>
      <c r="C4276" t="s">
        <v>301</v>
      </c>
      <c r="D4276" t="str">
        <f>VLOOKUP(C4276, '[2]VLOOKUP 함수용 카테고리'!$A$1:$B$59, 2, 0)</f>
        <v>GRAIN</v>
      </c>
      <c r="E4276" t="s">
        <v>611</v>
      </c>
      <c r="F4276" t="s">
        <v>1608</v>
      </c>
    </row>
    <row r="4277" spans="1:6" x14ac:dyDescent="0.3">
      <c r="A4277" t="s">
        <v>6708</v>
      </c>
      <c r="B4277" t="str" cm="1">
        <f t="array" ref="B4277">_xlfn.XLOOKUP(C4277, INDEX([2]!카테고리매핑,,2), INDEX([2]!카테고리매핑,,1), "미등록 카테고리")</f>
        <v>유제품</v>
      </c>
      <c r="C4277" t="s">
        <v>123</v>
      </c>
      <c r="D4277" t="str">
        <f>VLOOKUP(C4277, '[2]VLOOKUP 함수용 카테고리'!$A$1:$B$59, 2, 0)</f>
        <v>DAIRY</v>
      </c>
      <c r="E4277" t="s">
        <v>239</v>
      </c>
      <c r="F4277" t="s">
        <v>1289</v>
      </c>
    </row>
    <row r="4278" spans="1:6" x14ac:dyDescent="0.3">
      <c r="A4278" t="s">
        <v>6709</v>
      </c>
      <c r="B4278" t="str" cm="1">
        <f t="array" ref="B4278">_xlfn.XLOOKUP(C4278, INDEX([2]!카테고리매핑,,2), INDEX([2]!카테고리매핑,,1), "미등록 카테고리")</f>
        <v>음료</v>
      </c>
      <c r="C4278" t="s">
        <v>584</v>
      </c>
      <c r="D4278" t="str">
        <f>VLOOKUP(C4278, '[2]VLOOKUP 함수용 카테고리'!$A$1:$B$59, 2, 0)</f>
        <v>BEVERAGE</v>
      </c>
      <c r="E4278" t="s">
        <v>1257</v>
      </c>
      <c r="F4278" t="s">
        <v>6710</v>
      </c>
    </row>
    <row r="4279" spans="1:6" x14ac:dyDescent="0.3">
      <c r="A4279" t="s">
        <v>6711</v>
      </c>
      <c r="B4279" t="str" cm="1">
        <f t="array" ref="B4279">_xlfn.XLOOKUP(C4279, INDEX([2]!카테고리매핑,,2), INDEX([2]!카테고리매핑,,1), "미등록 카테고리")</f>
        <v>조미료</v>
      </c>
      <c r="C4279" t="s">
        <v>84</v>
      </c>
      <c r="D4279" t="str">
        <f>VLOOKUP(C4279, '[2]VLOOKUP 함수용 카테고리'!$A$1:$B$59, 2, 0)</f>
        <v>SAUCE_SEASONING</v>
      </c>
      <c r="E4279" t="s">
        <v>85</v>
      </c>
      <c r="F4279" t="s">
        <v>6712</v>
      </c>
    </row>
    <row r="4280" spans="1:6" x14ac:dyDescent="0.3">
      <c r="A4280" t="s">
        <v>2996</v>
      </c>
      <c r="B4280" t="str" cm="1">
        <f t="array" ref="B4280">_xlfn.XLOOKUP(C4280, INDEX([2]!카테고리매핑,,2), INDEX([2]!카테고리매핑,,1), "미등록 카테고리")</f>
        <v>간식류</v>
      </c>
      <c r="C4280" t="s">
        <v>38</v>
      </c>
      <c r="D4280" t="str">
        <f>VLOOKUP(C4280, '[2]VLOOKUP 함수용 카테고리'!$A$1:$B$59, 2, 0)</f>
        <v>SNACK</v>
      </c>
      <c r="E4280" t="s">
        <v>179</v>
      </c>
      <c r="F4280" t="s">
        <v>734</v>
      </c>
    </row>
    <row r="4281" spans="1:6" x14ac:dyDescent="0.3">
      <c r="A4281" t="s">
        <v>6713</v>
      </c>
      <c r="B4281" t="str" cm="1">
        <f t="array" ref="B4281">_xlfn.XLOOKUP(C4281, INDEX([2]!카테고리매핑,,2), INDEX([2]!카테고리매핑,,1), "미등록 카테고리")</f>
        <v>조미료</v>
      </c>
      <c r="C4281" t="s">
        <v>127</v>
      </c>
      <c r="D4281" t="str">
        <f>VLOOKUP(C4281, '[2]VLOOKUP 함수용 카테고리'!$A$1:$B$59, 2, 0)</f>
        <v>SAUCE_SEASONING</v>
      </c>
      <c r="E4281" t="s">
        <v>171</v>
      </c>
      <c r="F4281" t="s">
        <v>172</v>
      </c>
    </row>
    <row r="4282" spans="1:6" x14ac:dyDescent="0.3">
      <c r="A4282" t="s">
        <v>6714</v>
      </c>
      <c r="B4282" t="str" cm="1">
        <f t="array" ref="B4282">_xlfn.XLOOKUP(C4282, INDEX([2]!카테고리매핑,,2), INDEX([2]!카테고리매핑,,1), "미등록 카테고리")</f>
        <v>간편식</v>
      </c>
      <c r="C4282" t="s">
        <v>131</v>
      </c>
      <c r="D4282" t="str">
        <f>VLOOKUP(C4282, '[2]VLOOKUP 함수용 카테고리'!$A$1:$B$59, 2, 0)</f>
        <v>SIMPLE_PROCESSED</v>
      </c>
      <c r="E4282" t="s">
        <v>6715</v>
      </c>
      <c r="F4282" t="s">
        <v>1457</v>
      </c>
    </row>
    <row r="4283" spans="1:6" x14ac:dyDescent="0.3">
      <c r="A4283" t="s">
        <v>6716</v>
      </c>
      <c r="B4283" t="str" cm="1">
        <f t="array" ref="B4283">_xlfn.XLOOKUP(C4283, INDEX([2]!카테고리매핑,,2), INDEX([2]!카테고리매핑,,1), "미등록 카테고리")</f>
        <v>간편식</v>
      </c>
      <c r="C4283" t="s">
        <v>161</v>
      </c>
      <c r="D4283" t="str">
        <f>VLOOKUP(C4283, '[2]VLOOKUP 함수용 카테고리'!$A$1:$B$59, 2, 0)</f>
        <v>RTC_MEAL</v>
      </c>
      <c r="E4283" t="s">
        <v>162</v>
      </c>
      <c r="F4283" t="s">
        <v>6717</v>
      </c>
    </row>
    <row r="4284" spans="1:6" x14ac:dyDescent="0.3">
      <c r="A4284" t="s">
        <v>6718</v>
      </c>
      <c r="B4284" t="str" cm="1">
        <f t="array" ref="B4284">_xlfn.XLOOKUP(C4284, INDEX([2]!카테고리매핑,,2), INDEX([2]!카테고리매핑,,1), "미등록 카테고리")</f>
        <v>간식류</v>
      </c>
      <c r="C4284" t="s">
        <v>11</v>
      </c>
      <c r="D4284" t="str">
        <f>VLOOKUP(C4284, '[2]VLOOKUP 함수용 카테고리'!$A$1:$B$59, 2, 0)</f>
        <v>SNACK</v>
      </c>
      <c r="E4284" t="s">
        <v>6719</v>
      </c>
      <c r="F4284" t="s">
        <v>198</v>
      </c>
    </row>
    <row r="4285" spans="1:6" x14ac:dyDescent="0.3">
      <c r="A4285" t="s">
        <v>6720</v>
      </c>
      <c r="B4285" t="str" cm="1">
        <f t="array" ref="B4285">_xlfn.XLOOKUP(C4285, INDEX([2]!카테고리매핑,,2), INDEX([2]!카테고리매핑,,1), "미등록 카테고리")</f>
        <v>유제품</v>
      </c>
      <c r="C4285" t="s">
        <v>123</v>
      </c>
      <c r="D4285" t="str">
        <f>VLOOKUP(C4285, '[2]VLOOKUP 함수용 카테고리'!$A$1:$B$59, 2, 0)</f>
        <v>DAIRY</v>
      </c>
      <c r="E4285" t="s">
        <v>239</v>
      </c>
      <c r="F4285" t="s">
        <v>191</v>
      </c>
    </row>
    <row r="4286" spans="1:6" x14ac:dyDescent="0.3">
      <c r="A4286" t="s">
        <v>6721</v>
      </c>
      <c r="B4286" t="str" cm="1">
        <f t="array" ref="B4286">_xlfn.XLOOKUP(C4286, INDEX([2]!카테고리매핑,,2), INDEX([2]!카테고리매핑,,1), "미등록 카테고리")</f>
        <v>간편식</v>
      </c>
      <c r="C4286" t="s">
        <v>19</v>
      </c>
      <c r="D4286" t="str">
        <f>VLOOKUP(C4286, '[2]VLOOKUP 함수용 카테고리'!$A$1:$B$59, 2, 0)</f>
        <v>FROZEN_MEAL</v>
      </c>
      <c r="E4286" t="s">
        <v>20</v>
      </c>
      <c r="F4286" t="s">
        <v>833</v>
      </c>
    </row>
    <row r="4287" spans="1:6" x14ac:dyDescent="0.3">
      <c r="A4287" t="s">
        <v>6722</v>
      </c>
      <c r="B4287" t="str" cm="1">
        <f t="array" ref="B4287">_xlfn.XLOOKUP(C4287, INDEX([2]!카테고리매핑,,2), INDEX([2]!카테고리매핑,,1), "미등록 카테고리")</f>
        <v>과일/견과류</v>
      </c>
      <c r="C4287" t="s">
        <v>654</v>
      </c>
      <c r="D4287" t="str">
        <f>VLOOKUP(C4287, '[2]VLOOKUP 함수용 카테고리'!$A$1:$B$59, 2, 0)</f>
        <v>RAW_FRUIT</v>
      </c>
      <c r="E4287" t="s">
        <v>4746</v>
      </c>
    </row>
    <row r="4288" spans="1:6" x14ac:dyDescent="0.3">
      <c r="A4288" t="s">
        <v>6723</v>
      </c>
      <c r="B4288" t="str" cm="1">
        <f t="array" ref="B4288">_xlfn.XLOOKUP(C4288, INDEX([2]!카테고리매핑,,2), INDEX([2]!카테고리매핑,,1), "미등록 카테고리")</f>
        <v>조미료</v>
      </c>
      <c r="C4288" t="s">
        <v>84</v>
      </c>
      <c r="D4288" t="str">
        <f>VLOOKUP(C4288, '[2]VLOOKUP 함수용 카테고리'!$A$1:$B$59, 2, 0)</f>
        <v>SAUCE_SEASONING</v>
      </c>
      <c r="E4288" t="s">
        <v>6724</v>
      </c>
      <c r="F4288" t="s">
        <v>6725</v>
      </c>
    </row>
    <row r="4289" spans="1:6" x14ac:dyDescent="0.3">
      <c r="A4289" t="s">
        <v>6726</v>
      </c>
      <c r="B4289" t="str" cm="1">
        <f t="array" ref="B4289">_xlfn.XLOOKUP(C4289, INDEX([2]!카테고리매핑,,2), INDEX([2]!카테고리매핑,,1), "미등록 카테고리")</f>
        <v>간식류</v>
      </c>
      <c r="C4289" t="s">
        <v>63</v>
      </c>
      <c r="D4289" t="str">
        <f>VLOOKUP(C4289, '[2]VLOOKUP 함수용 카테고리'!$A$1:$B$59, 2, 0)</f>
        <v>BAKERY</v>
      </c>
      <c r="E4289" t="s">
        <v>2040</v>
      </c>
      <c r="F4289" t="s">
        <v>2462</v>
      </c>
    </row>
    <row r="4290" spans="1:6" x14ac:dyDescent="0.3">
      <c r="A4290" t="s">
        <v>6727</v>
      </c>
      <c r="B4290" t="str" cm="1">
        <f t="array" ref="B4290">_xlfn.XLOOKUP(C4290, INDEX([2]!카테고리매핑,,2), INDEX([2]!카테고리매핑,,1), "미등록 카테고리")</f>
        <v>채소/곡물류</v>
      </c>
      <c r="C4290" t="s">
        <v>7</v>
      </c>
      <c r="D4290" t="str">
        <f>VLOOKUP(C4290, '[2]VLOOKUP 함수용 카테고리'!$A$1:$B$59, 2, 0)</f>
        <v>RAW_PRODUCE</v>
      </c>
      <c r="E4290" t="s">
        <v>743</v>
      </c>
    </row>
    <row r="4291" spans="1:6" x14ac:dyDescent="0.3">
      <c r="A4291" t="s">
        <v>6728</v>
      </c>
      <c r="B4291" t="str" cm="1">
        <f t="array" ref="B4291">_xlfn.XLOOKUP(C4291, INDEX([2]!카테고리매핑,,2), INDEX([2]!카테고리매핑,,1), "미등록 카테고리")</f>
        <v>채소/곡물류</v>
      </c>
      <c r="C4291" t="s">
        <v>7</v>
      </c>
      <c r="D4291" t="str">
        <f>VLOOKUP(C4291, '[2]VLOOKUP 함수용 카테고리'!$A$1:$B$59, 2, 0)</f>
        <v>RAW_PRODUCE</v>
      </c>
      <c r="E4291" t="s">
        <v>1913</v>
      </c>
    </row>
    <row r="4292" spans="1:6" x14ac:dyDescent="0.3">
      <c r="A4292" t="s">
        <v>6729</v>
      </c>
      <c r="B4292" t="str" cm="1">
        <f t="array" ref="B4292">_xlfn.XLOOKUP(C4292, INDEX([2]!카테고리매핑,,2), INDEX([2]!카테고리매핑,,1), "미등록 카테고리")</f>
        <v>채소/곡물류</v>
      </c>
      <c r="C4292" t="s">
        <v>164</v>
      </c>
      <c r="D4292" t="str">
        <f>VLOOKUP(C4292, '[2]VLOOKUP 함수용 카테고리'!$A$1:$B$59, 2, 0)</f>
        <v>RAW_PRODUCE</v>
      </c>
      <c r="E4292" t="s">
        <v>6730</v>
      </c>
    </row>
    <row r="4293" spans="1:6" x14ac:dyDescent="0.3">
      <c r="A4293" t="s">
        <v>6731</v>
      </c>
      <c r="B4293" t="str" cm="1">
        <f t="array" ref="B4293">_xlfn.XLOOKUP(C4293, INDEX([2]!카테고리매핑,,2), INDEX([2]!카테고리매핑,,1), "미등록 카테고리")</f>
        <v>간편식</v>
      </c>
      <c r="C4293" t="s">
        <v>158</v>
      </c>
      <c r="D4293" t="str">
        <f>VLOOKUP(C4293, '[2]VLOOKUP 함수용 카테고리'!$A$1:$B$59, 2, 0)</f>
        <v>INSTANT</v>
      </c>
      <c r="E4293" t="s">
        <v>5772</v>
      </c>
      <c r="F4293" t="s">
        <v>154</v>
      </c>
    </row>
    <row r="4294" spans="1:6" x14ac:dyDescent="0.3">
      <c r="A4294" t="s">
        <v>6732</v>
      </c>
      <c r="B4294" t="str" cm="1">
        <f t="array" ref="B4294">_xlfn.XLOOKUP(C4294, INDEX([2]!카테고리매핑,,2), INDEX([2]!카테고리매핑,,1), "미등록 카테고리")</f>
        <v>음료</v>
      </c>
      <c r="C4294" t="s">
        <v>584</v>
      </c>
      <c r="D4294" t="str">
        <f>VLOOKUP(C4294, '[2]VLOOKUP 함수용 카테고리'!$A$1:$B$59, 2, 0)</f>
        <v>BEVERAGE</v>
      </c>
      <c r="E4294" t="s">
        <v>6733</v>
      </c>
      <c r="F4294" t="s">
        <v>7915</v>
      </c>
    </row>
    <row r="4295" spans="1:6" x14ac:dyDescent="0.3">
      <c r="A4295" t="s">
        <v>6734</v>
      </c>
      <c r="B4295" t="str" cm="1">
        <f t="array" ref="B4295">_xlfn.XLOOKUP(C4295, INDEX([2]!카테고리매핑,,2), INDEX([2]!카테고리매핑,,1), "미등록 카테고리")</f>
        <v>유제품</v>
      </c>
      <c r="C4295" t="s">
        <v>98</v>
      </c>
      <c r="D4295" t="str">
        <f>VLOOKUP(C4295, '[2]VLOOKUP 함수용 카테고리'!$A$1:$B$59, 2, 0)</f>
        <v>DAIRY</v>
      </c>
      <c r="E4295" t="s">
        <v>6735</v>
      </c>
      <c r="F4295" t="s">
        <v>99</v>
      </c>
    </row>
    <row r="4296" spans="1:6" x14ac:dyDescent="0.3">
      <c r="A4296" t="s">
        <v>6736</v>
      </c>
      <c r="B4296" t="str" cm="1">
        <f t="array" ref="B4296">_xlfn.XLOOKUP(C4296, INDEX([2]!카테고리매핑,,2), INDEX([2]!카테고리매핑,,1), "미등록 카테고리")</f>
        <v>유제품</v>
      </c>
      <c r="C4296" t="s">
        <v>98</v>
      </c>
      <c r="D4296" t="str">
        <f>VLOOKUP(C4296, '[2]VLOOKUP 함수용 카테고리'!$A$1:$B$59, 2, 0)</f>
        <v>DAIRY</v>
      </c>
      <c r="E4296" t="s">
        <v>6737</v>
      </c>
      <c r="F4296" t="s">
        <v>6738</v>
      </c>
    </row>
    <row r="4297" spans="1:6" x14ac:dyDescent="0.3">
      <c r="A4297" t="s">
        <v>6739</v>
      </c>
      <c r="B4297" t="str" cm="1">
        <f t="array" ref="B4297">_xlfn.XLOOKUP(C4297, INDEX([2]!카테고리매핑,,2), INDEX([2]!카테고리매핑,,1), "미등록 카테고리")</f>
        <v>조미료</v>
      </c>
      <c r="C4297" t="s">
        <v>117</v>
      </c>
      <c r="D4297" t="str">
        <f>VLOOKUP(C4297, '[2]VLOOKUP 함수용 카테고리'!$A$1:$B$59, 2, 0)</f>
        <v>SAUCE_SEASONING</v>
      </c>
      <c r="E4297" t="s">
        <v>1169</v>
      </c>
      <c r="F4297" t="s">
        <v>1190</v>
      </c>
    </row>
    <row r="4298" spans="1:6" x14ac:dyDescent="0.3">
      <c r="A4298" t="s">
        <v>6740</v>
      </c>
      <c r="B4298" t="str" cm="1">
        <f t="array" ref="B4298">_xlfn.XLOOKUP(C4298, INDEX([2]!카테고리매핑,,2), INDEX([2]!카테고리매핑,,1), "미등록 카테고리")</f>
        <v>음료</v>
      </c>
      <c r="C4298" t="s">
        <v>242</v>
      </c>
      <c r="D4298" t="str">
        <f>VLOOKUP(C4298, '[2]VLOOKUP 함수용 카테고리'!$A$1:$B$59, 2, 0)</f>
        <v>BEVERAGE</v>
      </c>
      <c r="E4298" t="s">
        <v>7662</v>
      </c>
      <c r="F4298" t="s">
        <v>6741</v>
      </c>
    </row>
    <row r="4299" spans="1:6" x14ac:dyDescent="0.3">
      <c r="A4299" t="s">
        <v>6742</v>
      </c>
      <c r="B4299" t="str" cm="1">
        <f t="array" ref="B4299">_xlfn.XLOOKUP(C4299, INDEX([2]!카테고리매핑,,2), INDEX([2]!카테고리매핑,,1), "미등록 카테고리")</f>
        <v>음료</v>
      </c>
      <c r="C4299" t="s">
        <v>23</v>
      </c>
      <c r="D4299" t="str">
        <f>VLOOKUP(C4299, '[2]VLOOKUP 함수용 카테고리'!$A$1:$B$59, 2, 0)</f>
        <v>BEVERAGE</v>
      </c>
      <c r="E4299" t="s">
        <v>288</v>
      </c>
      <c r="F4299" t="s">
        <v>1281</v>
      </c>
    </row>
    <row r="4300" spans="1:6" x14ac:dyDescent="0.3">
      <c r="A4300" t="s">
        <v>6743</v>
      </c>
      <c r="B4300" t="str" cm="1">
        <f t="array" ref="B4300">_xlfn.XLOOKUP(C4300, INDEX([2]!카테고리매핑,,2), INDEX([2]!카테고리매핑,,1), "미등록 카테고리")</f>
        <v>육류/계란</v>
      </c>
      <c r="C4300" t="s">
        <v>428</v>
      </c>
      <c r="D4300" t="str">
        <f>VLOOKUP(C4300, '[2]VLOOKUP 함수용 카테고리'!$A$1:$B$59, 2, 0)</f>
        <v>PROCESSED_MEAT</v>
      </c>
      <c r="E4300" t="s">
        <v>776</v>
      </c>
      <c r="F4300" t="s">
        <v>6744</v>
      </c>
    </row>
    <row r="4301" spans="1:6" x14ac:dyDescent="0.3">
      <c r="A4301" t="s">
        <v>6745</v>
      </c>
      <c r="B4301" t="str" cm="1">
        <f t="array" ref="B4301">_xlfn.XLOOKUP(C4301, INDEX([2]!카테고리매핑,,2), INDEX([2]!카테고리매핑,,1), "미등록 카테고리")</f>
        <v>수산물</v>
      </c>
      <c r="C4301" t="s">
        <v>140</v>
      </c>
      <c r="D4301" t="str">
        <f>VLOOKUP(C4301, '[2]VLOOKUP 함수용 카테고리'!$A$1:$B$59, 2, 0)</f>
        <v>SIMPLE_PROCESSED</v>
      </c>
      <c r="E4301" t="s">
        <v>6746</v>
      </c>
      <c r="F4301" t="s">
        <v>6747</v>
      </c>
    </row>
    <row r="4302" spans="1:6" x14ac:dyDescent="0.3">
      <c r="A4302" t="s">
        <v>6748</v>
      </c>
      <c r="B4302" t="str" cm="1">
        <f t="array" ref="B4302">_xlfn.XLOOKUP(C4302, INDEX([2]!카테고리매핑,,2), INDEX([2]!카테고리매핑,,1), "미등록 카테고리")</f>
        <v>채소/곡물류</v>
      </c>
      <c r="C4302" t="s">
        <v>27</v>
      </c>
      <c r="D4302" t="str">
        <f>VLOOKUP(C4302, '[2]VLOOKUP 함수용 카테고리'!$A$1:$B$59, 2, 0)</f>
        <v>SIMPLE_PROCESSED</v>
      </c>
      <c r="E4302" t="s">
        <v>28</v>
      </c>
      <c r="F4302" t="s">
        <v>182</v>
      </c>
    </row>
    <row r="4303" spans="1:6" x14ac:dyDescent="0.3">
      <c r="A4303" t="s">
        <v>6749</v>
      </c>
      <c r="B4303" t="str" cm="1">
        <f t="array" ref="B4303">_xlfn.XLOOKUP(C4303, INDEX([2]!카테고리매핑,,2), INDEX([2]!카테고리매핑,,1), "미등록 카테고리")</f>
        <v>조미료</v>
      </c>
      <c r="C4303" t="s">
        <v>117</v>
      </c>
      <c r="D4303" t="str">
        <f>VLOOKUP(C4303, '[2]VLOOKUP 함수용 카테고리'!$A$1:$B$59, 2, 0)</f>
        <v>SAUCE_SEASONING</v>
      </c>
      <c r="E4303" t="s">
        <v>6750</v>
      </c>
      <c r="F4303" t="s">
        <v>3294</v>
      </c>
    </row>
    <row r="4304" spans="1:6" x14ac:dyDescent="0.3">
      <c r="A4304" t="s">
        <v>6751</v>
      </c>
      <c r="B4304" t="str" cm="1">
        <f t="array" ref="B4304">_xlfn.XLOOKUP(C4304, INDEX([2]!카테고리매핑,,2), INDEX([2]!카테고리매핑,,1), "미등록 카테고리")</f>
        <v>간식류</v>
      </c>
      <c r="C4304" t="s">
        <v>15</v>
      </c>
      <c r="D4304" t="str">
        <f>VLOOKUP(C4304, '[2]VLOOKUP 함수용 카테고리'!$A$1:$B$59, 2, 0)</f>
        <v>BAKERY</v>
      </c>
      <c r="E4304" t="s">
        <v>53</v>
      </c>
      <c r="F4304" t="s">
        <v>54</v>
      </c>
    </row>
    <row r="4305" spans="1:6" x14ac:dyDescent="0.3">
      <c r="A4305" t="s">
        <v>6752</v>
      </c>
      <c r="B4305" t="str" cm="1">
        <f t="array" ref="B4305">_xlfn.XLOOKUP(C4305, INDEX([2]!카테고리매핑,,2), INDEX([2]!카테고리매핑,,1), "미등록 카테고리")</f>
        <v>조미료</v>
      </c>
      <c r="C4305" t="s">
        <v>83</v>
      </c>
      <c r="D4305" t="str">
        <f>VLOOKUP(C4305, '[2]VLOOKUP 함수용 카테고리'!$A$1:$B$59, 2, 0)</f>
        <v>SAUCE_SEASONING</v>
      </c>
      <c r="E4305" t="s">
        <v>5063</v>
      </c>
      <c r="F4305" t="s">
        <v>2372</v>
      </c>
    </row>
    <row r="4306" spans="1:6" x14ac:dyDescent="0.3">
      <c r="A4306" t="s">
        <v>6753</v>
      </c>
      <c r="B4306" t="str" cm="1">
        <f t="array" ref="B4306">_xlfn.XLOOKUP(C4306, INDEX([2]!카테고리매핑,,2), INDEX([2]!카테고리매핑,,1), "미등록 카테고리")</f>
        <v>채소/곡물류</v>
      </c>
      <c r="C4306" t="s">
        <v>301</v>
      </c>
      <c r="D4306" t="str">
        <f>VLOOKUP(C4306, '[2]VLOOKUP 함수용 카테고리'!$A$1:$B$59, 2, 0)</f>
        <v>GRAIN</v>
      </c>
      <c r="E4306" t="s">
        <v>4663</v>
      </c>
      <c r="F4306" t="s">
        <v>2345</v>
      </c>
    </row>
    <row r="4307" spans="1:6" x14ac:dyDescent="0.3">
      <c r="A4307" t="s">
        <v>6754</v>
      </c>
      <c r="B4307" t="str" cm="1">
        <f t="array" ref="B4307">_xlfn.XLOOKUP(C4307, INDEX([2]!카테고리매핑,,2), INDEX([2]!카테고리매핑,,1), "미등록 카테고리")</f>
        <v>유제품</v>
      </c>
      <c r="C4307" t="s">
        <v>123</v>
      </c>
      <c r="D4307" t="str">
        <f>VLOOKUP(C4307, '[2]VLOOKUP 함수용 카테고리'!$A$1:$B$59, 2, 0)</f>
        <v>DAIRY</v>
      </c>
      <c r="E4307" t="s">
        <v>367</v>
      </c>
      <c r="F4307" t="s">
        <v>623</v>
      </c>
    </row>
    <row r="4308" spans="1:6" x14ac:dyDescent="0.3">
      <c r="A4308" t="s">
        <v>6755</v>
      </c>
      <c r="B4308" t="str" cm="1">
        <f t="array" ref="B4308">_xlfn.XLOOKUP(C4308, INDEX([2]!카테고리매핑,,2), INDEX([2]!카테고리매핑,,1), "미등록 카테고리")</f>
        <v>간편식</v>
      </c>
      <c r="C4308" t="s">
        <v>256</v>
      </c>
      <c r="D4308" t="str">
        <f>VLOOKUP(C4308, '[2]VLOOKUP 함수용 카테고리'!$A$1:$B$59, 2, 0)</f>
        <v>RTC_MEAL</v>
      </c>
      <c r="E4308" t="s">
        <v>256</v>
      </c>
      <c r="F4308" t="s">
        <v>5216</v>
      </c>
    </row>
    <row r="4309" spans="1:6" x14ac:dyDescent="0.3">
      <c r="A4309" t="s">
        <v>6756</v>
      </c>
      <c r="B4309" t="str" cm="1">
        <f t="array" ref="B4309">_xlfn.XLOOKUP(C4309, INDEX([2]!카테고리매핑,,2), INDEX([2]!카테고리매핑,,1), "미등록 카테고리")</f>
        <v>상온식품</v>
      </c>
      <c r="C4309" t="s">
        <v>769</v>
      </c>
      <c r="D4309" t="str">
        <f>VLOOKUP(C4309, '[2]VLOOKUP 함수용 카테고리'!$A$1:$B$59, 2, 0)</f>
        <v>GRAIN</v>
      </c>
      <c r="E4309" t="s">
        <v>6757</v>
      </c>
      <c r="F4309" t="s">
        <v>1196</v>
      </c>
    </row>
    <row r="4310" spans="1:6" x14ac:dyDescent="0.3">
      <c r="A4310" t="s">
        <v>6758</v>
      </c>
      <c r="B4310" t="str" cm="1">
        <f t="array" ref="B4310">_xlfn.XLOOKUP(C4310, INDEX([2]!카테고리매핑,,2), INDEX([2]!카테고리매핑,,1), "미등록 카테고리")</f>
        <v>과일/견과류</v>
      </c>
      <c r="C4310" t="s">
        <v>654</v>
      </c>
      <c r="D4310" t="str">
        <f>VLOOKUP(C4310, '[2]VLOOKUP 함수용 카테고리'!$A$1:$B$59, 2, 0)</f>
        <v>RAW_FRUIT</v>
      </c>
      <c r="E4310" t="s">
        <v>2177</v>
      </c>
      <c r="F4310" t="s">
        <v>2280</v>
      </c>
    </row>
    <row r="4311" spans="1:6" x14ac:dyDescent="0.3">
      <c r="A4311" t="s">
        <v>6759</v>
      </c>
      <c r="B4311" t="str" cm="1">
        <f t="array" ref="B4311">_xlfn.XLOOKUP(C4311, INDEX([2]!카테고리매핑,,2), INDEX([2]!카테고리매핑,,1), "미등록 카테고리")</f>
        <v>육류/계란</v>
      </c>
      <c r="C4311" t="s">
        <v>298</v>
      </c>
      <c r="D4311" t="str">
        <f>VLOOKUP(C4311, '[2]VLOOKUP 함수용 카테고리'!$A$1:$B$59, 2, 0)</f>
        <v>RAW_MEAT</v>
      </c>
      <c r="E4311" t="s">
        <v>298</v>
      </c>
      <c r="F4311" t="s">
        <v>151</v>
      </c>
    </row>
    <row r="4312" spans="1:6" x14ac:dyDescent="0.3">
      <c r="A4312" t="s">
        <v>6760</v>
      </c>
      <c r="B4312" t="str" cm="1">
        <f t="array" ref="B4312">_xlfn.XLOOKUP(C4312, INDEX([2]!카테고리매핑,,2), INDEX([2]!카테고리매핑,,1), "미등록 카테고리")</f>
        <v>유제품</v>
      </c>
      <c r="C4312" t="s">
        <v>123</v>
      </c>
      <c r="D4312" t="str">
        <f>VLOOKUP(C4312, '[2]VLOOKUP 함수용 카테고리'!$A$1:$B$59, 2, 0)</f>
        <v>DAIRY</v>
      </c>
      <c r="E4312" t="s">
        <v>190</v>
      </c>
      <c r="F4312" t="s">
        <v>7916</v>
      </c>
    </row>
    <row r="4313" spans="1:6" x14ac:dyDescent="0.3">
      <c r="A4313" t="s">
        <v>6761</v>
      </c>
      <c r="B4313" t="str" cm="1">
        <f t="array" ref="B4313">_xlfn.XLOOKUP(C4313, INDEX([2]!카테고리매핑,,2), INDEX([2]!카테고리매핑,,1), "미등록 카테고리")</f>
        <v>간편식</v>
      </c>
      <c r="C4313" t="s">
        <v>158</v>
      </c>
      <c r="D4313" t="str">
        <f>VLOOKUP(C4313, '[2]VLOOKUP 함수용 카테고리'!$A$1:$B$59, 2, 0)</f>
        <v>INSTANT</v>
      </c>
      <c r="E4313" t="s">
        <v>6762</v>
      </c>
      <c r="F4313" t="s">
        <v>129</v>
      </c>
    </row>
    <row r="4314" spans="1:6" x14ac:dyDescent="0.3">
      <c r="A4314" t="s">
        <v>6763</v>
      </c>
      <c r="B4314" t="str" cm="1">
        <f t="array" ref="B4314">_xlfn.XLOOKUP(C4314, INDEX([2]!카테고리매핑,,2), INDEX([2]!카테고리매핑,,1), "미등록 카테고리")</f>
        <v>음료</v>
      </c>
      <c r="C4314" t="s">
        <v>242</v>
      </c>
      <c r="D4314" t="str">
        <f>VLOOKUP(C4314, '[2]VLOOKUP 함수용 카테고리'!$A$1:$B$59, 2, 0)</f>
        <v>BEVERAGE</v>
      </c>
      <c r="E4314" t="s">
        <v>6632</v>
      </c>
      <c r="F4314" t="s">
        <v>3916</v>
      </c>
    </row>
    <row r="4315" spans="1:6" x14ac:dyDescent="0.3">
      <c r="A4315" t="s">
        <v>6764</v>
      </c>
      <c r="B4315" t="str" cm="1">
        <f t="array" ref="B4315">_xlfn.XLOOKUP(C4315, INDEX([2]!카테고리매핑,,2), INDEX([2]!카테고리매핑,,1), "미등록 카테고리")</f>
        <v>음료</v>
      </c>
      <c r="C4315" t="s">
        <v>23</v>
      </c>
      <c r="D4315" t="str">
        <f>VLOOKUP(C4315, '[2]VLOOKUP 함수용 카테고리'!$A$1:$B$59, 2, 0)</f>
        <v>BEVERAGE</v>
      </c>
      <c r="E4315" t="s">
        <v>1156</v>
      </c>
      <c r="F4315" t="s">
        <v>7917</v>
      </c>
    </row>
    <row r="4316" spans="1:6" x14ac:dyDescent="0.3">
      <c r="A4316" t="s">
        <v>6765</v>
      </c>
      <c r="B4316" t="str" cm="1">
        <f t="array" ref="B4316">_xlfn.XLOOKUP(C4316, INDEX([2]!카테고리매핑,,2), INDEX([2]!카테고리매핑,,1), "미등록 카테고리")</f>
        <v>과일/견과류</v>
      </c>
      <c r="C4316" t="s">
        <v>654</v>
      </c>
      <c r="D4316" t="str">
        <f>VLOOKUP(C4316, '[2]VLOOKUP 함수용 카테고리'!$A$1:$B$59, 2, 0)</f>
        <v>RAW_FRUIT</v>
      </c>
      <c r="E4316" t="s">
        <v>1008</v>
      </c>
      <c r="F4316" t="s">
        <v>350</v>
      </c>
    </row>
    <row r="4317" spans="1:6" x14ac:dyDescent="0.3">
      <c r="A4317" t="s">
        <v>6766</v>
      </c>
      <c r="B4317" t="str" cm="1">
        <f t="array" ref="B4317">_xlfn.XLOOKUP(C4317, INDEX([2]!카테고리매핑,,2), INDEX([2]!카테고리매핑,,1), "미등록 카테고리")</f>
        <v>수산물</v>
      </c>
      <c r="C4317" t="s">
        <v>101</v>
      </c>
      <c r="D4317" t="str">
        <f>VLOOKUP(C4317, '[2]VLOOKUP 함수용 카테고리'!$A$1:$B$59, 2, 0)</f>
        <v>DRIED_SEAFOOD</v>
      </c>
      <c r="E4317" t="s">
        <v>601</v>
      </c>
      <c r="F4317" t="s">
        <v>1065</v>
      </c>
    </row>
    <row r="4318" spans="1:6" x14ac:dyDescent="0.3">
      <c r="A4318" t="s">
        <v>6767</v>
      </c>
      <c r="B4318" t="str" cm="1">
        <f t="array" ref="B4318">_xlfn.XLOOKUP(C4318, INDEX([2]!카테고리매핑,,2), INDEX([2]!카테고리매핑,,1), "미등록 카테고리")</f>
        <v>간식류</v>
      </c>
      <c r="C4318" t="s">
        <v>63</v>
      </c>
      <c r="D4318" t="str">
        <f>VLOOKUP(C4318, '[2]VLOOKUP 함수용 카테고리'!$A$1:$B$59, 2, 0)</f>
        <v>BAKERY</v>
      </c>
      <c r="E4318" t="s">
        <v>3947</v>
      </c>
      <c r="F4318" t="s">
        <v>6768</v>
      </c>
    </row>
    <row r="4319" spans="1:6" x14ac:dyDescent="0.3">
      <c r="A4319" t="s">
        <v>6769</v>
      </c>
      <c r="B4319" t="str" cm="1">
        <f t="array" ref="B4319">_xlfn.XLOOKUP(C4319, INDEX([2]!카테고리매핑,,2), INDEX([2]!카테고리매핑,,1), "미등록 카테고리")</f>
        <v>간편식</v>
      </c>
      <c r="C4319" t="s">
        <v>131</v>
      </c>
      <c r="D4319" t="str">
        <f>VLOOKUP(C4319, '[2]VLOOKUP 함수용 카테고리'!$A$1:$B$59, 2, 0)</f>
        <v>SIMPLE_PROCESSED</v>
      </c>
      <c r="E4319" t="s">
        <v>132</v>
      </c>
      <c r="F4319" t="s">
        <v>133</v>
      </c>
    </row>
    <row r="4320" spans="1:6" x14ac:dyDescent="0.3">
      <c r="A4320" t="s">
        <v>6770</v>
      </c>
      <c r="B4320" t="str" cm="1">
        <f t="array" ref="B4320">_xlfn.XLOOKUP(C4320, INDEX([2]!카테고리매핑,,2), INDEX([2]!카테고리매핑,,1), "미등록 카테고리")</f>
        <v>육류/계란</v>
      </c>
      <c r="C4320" t="s">
        <v>428</v>
      </c>
      <c r="D4320" t="str">
        <f>VLOOKUP(C4320, '[2]VLOOKUP 함수용 카테고리'!$A$1:$B$59, 2, 0)</f>
        <v>PROCESSED_MEAT</v>
      </c>
      <c r="E4320" t="s">
        <v>790</v>
      </c>
      <c r="F4320" t="s">
        <v>805</v>
      </c>
    </row>
    <row r="4321" spans="1:6" x14ac:dyDescent="0.3">
      <c r="A4321" t="s">
        <v>6771</v>
      </c>
      <c r="B4321" t="str" cm="1">
        <f t="array" ref="B4321">_xlfn.XLOOKUP(C4321, INDEX([2]!카테고리매핑,,2), INDEX([2]!카테고리매핑,,1), "미등록 카테고리")</f>
        <v>간식류</v>
      </c>
      <c r="C4321" t="s">
        <v>11</v>
      </c>
      <c r="D4321" t="str">
        <f>VLOOKUP(C4321, '[2]VLOOKUP 함수용 카테고리'!$A$1:$B$59, 2, 0)</f>
        <v>SNACK</v>
      </c>
      <c r="E4321" t="s">
        <v>1042</v>
      </c>
      <c r="F4321" t="s">
        <v>6772</v>
      </c>
    </row>
    <row r="4322" spans="1:6" x14ac:dyDescent="0.3">
      <c r="A4322" t="s">
        <v>6773</v>
      </c>
      <c r="B4322" t="str" cm="1">
        <f t="array" ref="B4322">_xlfn.XLOOKUP(C4322, INDEX([2]!카테고리매핑,,2), INDEX([2]!카테고리매핑,,1), "미등록 카테고리")</f>
        <v>과일/견과류</v>
      </c>
      <c r="C4322" t="s">
        <v>654</v>
      </c>
      <c r="D4322" t="str">
        <f>VLOOKUP(C4322, '[2]VLOOKUP 함수용 카테고리'!$A$1:$B$59, 2, 0)</f>
        <v>RAW_FRUIT</v>
      </c>
      <c r="E4322" t="s">
        <v>681</v>
      </c>
      <c r="F4322" t="s">
        <v>4524</v>
      </c>
    </row>
    <row r="4323" spans="1:6" x14ac:dyDescent="0.3">
      <c r="A4323" t="s">
        <v>6774</v>
      </c>
      <c r="B4323" t="str" cm="1">
        <f t="array" ref="B4323">_xlfn.XLOOKUP(C4323, INDEX([2]!카테고리매핑,,2), INDEX([2]!카테고리매핑,,1), "미등록 카테고리")</f>
        <v>채소/곡물류</v>
      </c>
      <c r="C4323" t="s">
        <v>207</v>
      </c>
      <c r="D4323" t="str">
        <f>VLOOKUP(C4323, '[2]VLOOKUP 함수용 카테고리'!$A$1:$B$59, 2, 0)</f>
        <v>GRAIN</v>
      </c>
      <c r="E4323" t="s">
        <v>6775</v>
      </c>
      <c r="F4323" t="s">
        <v>937</v>
      </c>
    </row>
    <row r="4324" spans="1:6" x14ac:dyDescent="0.3">
      <c r="A4324" t="s">
        <v>6776</v>
      </c>
      <c r="B4324" t="str" cm="1">
        <f t="array" ref="B4324">_xlfn.XLOOKUP(C4324, INDEX([2]!카테고리매핑,,2), INDEX([2]!카테고리매핑,,1), "미등록 카테고리")</f>
        <v>조미료</v>
      </c>
      <c r="C4324" t="s">
        <v>117</v>
      </c>
      <c r="D4324" t="str">
        <f>VLOOKUP(C4324, '[2]VLOOKUP 함수용 카테고리'!$A$1:$B$59, 2, 0)</f>
        <v>SAUCE_SEASONING</v>
      </c>
      <c r="E4324" t="s">
        <v>6777</v>
      </c>
      <c r="F4324" t="s">
        <v>6778</v>
      </c>
    </row>
    <row r="4325" spans="1:6" x14ac:dyDescent="0.3">
      <c r="A4325" t="s">
        <v>6779</v>
      </c>
      <c r="B4325" t="str" cm="1">
        <f t="array" ref="B4325">_xlfn.XLOOKUP(C4325, INDEX([2]!카테고리매핑,,2), INDEX([2]!카테고리매핑,,1), "미등록 카테고리")</f>
        <v>조미료</v>
      </c>
      <c r="C4325" t="s">
        <v>127</v>
      </c>
      <c r="D4325" t="str">
        <f>VLOOKUP(C4325, '[2]VLOOKUP 함수용 카테고리'!$A$1:$B$59, 2, 0)</f>
        <v>SAUCE_SEASONING</v>
      </c>
      <c r="E4325" t="s">
        <v>6780</v>
      </c>
      <c r="F4325" t="s">
        <v>3570</v>
      </c>
    </row>
    <row r="4326" spans="1:6" x14ac:dyDescent="0.3">
      <c r="A4326" t="s">
        <v>6781</v>
      </c>
      <c r="B4326" t="str" cm="1">
        <f t="array" ref="B4326">_xlfn.XLOOKUP(C4326, INDEX([2]!카테고리매핑,,2), INDEX([2]!카테고리매핑,,1), "미등록 카테고리")</f>
        <v>육류/계란</v>
      </c>
      <c r="C4326" t="s">
        <v>298</v>
      </c>
      <c r="D4326" t="str">
        <f>VLOOKUP(C4326, '[2]VLOOKUP 함수용 카테고리'!$A$1:$B$59, 2, 0)</f>
        <v>RAW_MEAT</v>
      </c>
      <c r="E4326" t="s">
        <v>298</v>
      </c>
      <c r="F4326" t="s">
        <v>299</v>
      </c>
    </row>
    <row r="4327" spans="1:6" x14ac:dyDescent="0.3">
      <c r="A4327" t="s">
        <v>6782</v>
      </c>
      <c r="B4327" t="str" cm="1">
        <f t="array" ref="B4327">_xlfn.XLOOKUP(C4327, INDEX([2]!카테고리매핑,,2), INDEX([2]!카테고리매핑,,1), "미등록 카테고리")</f>
        <v>채소/곡물류</v>
      </c>
      <c r="C4327" t="s">
        <v>301</v>
      </c>
      <c r="D4327" t="str">
        <f>VLOOKUP(C4327, '[2]VLOOKUP 함수용 카테고리'!$A$1:$B$59, 2, 0)</f>
        <v>GRAIN</v>
      </c>
      <c r="E4327" t="s">
        <v>490</v>
      </c>
      <c r="F4327" t="s">
        <v>6783</v>
      </c>
    </row>
    <row r="4328" spans="1:6" x14ac:dyDescent="0.3">
      <c r="A4328" t="s">
        <v>6784</v>
      </c>
      <c r="B4328" t="str" cm="1">
        <f t="array" ref="B4328">_xlfn.XLOOKUP(C4328, INDEX([2]!카테고리매핑,,2), INDEX([2]!카테고리매핑,,1), "미등록 카테고리")</f>
        <v>유제품</v>
      </c>
      <c r="C4328" t="s">
        <v>123</v>
      </c>
      <c r="D4328" t="str">
        <f>VLOOKUP(C4328, '[2]VLOOKUP 함수용 카테고리'!$A$1:$B$59, 2, 0)</f>
        <v>DAIRY</v>
      </c>
      <c r="E4328" t="s">
        <v>190</v>
      </c>
      <c r="F4328" t="s">
        <v>7918</v>
      </c>
    </row>
    <row r="4329" spans="1:6" x14ac:dyDescent="0.3">
      <c r="A4329" t="s">
        <v>6785</v>
      </c>
      <c r="B4329" t="str" cm="1">
        <f t="array" ref="B4329">_xlfn.XLOOKUP(C4329, INDEX([2]!카테고리매핑,,2), INDEX([2]!카테고리매핑,,1), "미등록 카테고리")</f>
        <v>채소/곡물류</v>
      </c>
      <c r="C4329" t="s">
        <v>7</v>
      </c>
      <c r="D4329" t="str">
        <f>VLOOKUP(C4329, '[2]VLOOKUP 함수용 카테고리'!$A$1:$B$59, 2, 0)</f>
        <v>RAW_PRODUCE</v>
      </c>
      <c r="E4329" t="s">
        <v>1898</v>
      </c>
    </row>
    <row r="4330" spans="1:6" x14ac:dyDescent="0.3">
      <c r="A4330" t="s">
        <v>6786</v>
      </c>
      <c r="B4330" t="str" cm="1">
        <f t="array" ref="B4330">_xlfn.XLOOKUP(C4330, INDEX([2]!카테고리매핑,,2), INDEX([2]!카테고리매핑,,1), "미등록 카테고리")</f>
        <v>수산물</v>
      </c>
      <c r="C4330" t="s">
        <v>1673</v>
      </c>
      <c r="D4330" t="str">
        <f>VLOOKUP(C4330, '[2]VLOOKUP 함수용 카테고리'!$A$1:$B$59, 2, 0)</f>
        <v>RAW_SEAFOOD</v>
      </c>
      <c r="E4330" t="s">
        <v>1674</v>
      </c>
      <c r="F4330" t="s">
        <v>7919</v>
      </c>
    </row>
    <row r="4331" spans="1:6" x14ac:dyDescent="0.3">
      <c r="A4331" t="s">
        <v>6787</v>
      </c>
      <c r="B4331" t="str" cm="1">
        <f t="array" ref="B4331">_xlfn.XLOOKUP(C4331, INDEX([2]!카테고리매핑,,2), INDEX([2]!카테고리매핑,,1), "미등록 카테고리")</f>
        <v>육류/계란</v>
      </c>
      <c r="C4331" t="s">
        <v>428</v>
      </c>
      <c r="D4331" t="str">
        <f>VLOOKUP(C4331, '[2]VLOOKUP 함수용 카테고리'!$A$1:$B$59, 2, 0)</f>
        <v>PROCESSED_MEAT</v>
      </c>
      <c r="E4331" t="s">
        <v>943</v>
      </c>
      <c r="F4331" t="s">
        <v>72</v>
      </c>
    </row>
    <row r="4332" spans="1:6" x14ac:dyDescent="0.3">
      <c r="A4332" t="s">
        <v>6788</v>
      </c>
      <c r="B4332" t="str" cm="1">
        <f t="array" ref="B4332">_xlfn.XLOOKUP(C4332, INDEX([2]!카테고리매핑,,2), INDEX([2]!카테고리매핑,,1), "미등록 카테고리")</f>
        <v>과일/견과류</v>
      </c>
      <c r="C4332" t="s">
        <v>5029</v>
      </c>
      <c r="D4332" t="str">
        <f>VLOOKUP(C4332, '[2]VLOOKUP 함수용 카테고리'!$A$1:$B$59, 2, 0)</f>
        <v>SIMPLE_PROCESSED</v>
      </c>
      <c r="E4332" t="s">
        <v>5977</v>
      </c>
    </row>
    <row r="4333" spans="1:6" x14ac:dyDescent="0.3">
      <c r="A4333" t="s">
        <v>6789</v>
      </c>
      <c r="B4333" t="str" cm="1">
        <f t="array" ref="B4333">_xlfn.XLOOKUP(C4333, INDEX([2]!카테고리매핑,,2), INDEX([2]!카테고리매핑,,1), "미등록 카테고리")</f>
        <v>간식류</v>
      </c>
      <c r="C4333" t="s">
        <v>15</v>
      </c>
      <c r="D4333" t="str">
        <f>VLOOKUP(C4333, '[2]VLOOKUP 함수용 카테고리'!$A$1:$B$59, 2, 0)</f>
        <v>BAKERY</v>
      </c>
      <c r="E4333" t="s">
        <v>1787</v>
      </c>
      <c r="F4333" t="s">
        <v>2858</v>
      </c>
    </row>
    <row r="4334" spans="1:6" x14ac:dyDescent="0.3">
      <c r="A4334" t="s">
        <v>6790</v>
      </c>
      <c r="B4334" t="str" cm="1">
        <f t="array" ref="B4334">_xlfn.XLOOKUP(C4334, INDEX([2]!카테고리매핑,,2), INDEX([2]!카테고리매핑,,1), "미등록 카테고리")</f>
        <v>조미료</v>
      </c>
      <c r="C4334" t="s">
        <v>84</v>
      </c>
      <c r="D4334" t="str">
        <f>VLOOKUP(C4334, '[2]VLOOKUP 함수용 카테고리'!$A$1:$B$59, 2, 0)</f>
        <v>SAUCE_SEASONING</v>
      </c>
      <c r="E4334" t="s">
        <v>85</v>
      </c>
      <c r="F4334" t="s">
        <v>6791</v>
      </c>
    </row>
    <row r="4335" spans="1:6" x14ac:dyDescent="0.3">
      <c r="A4335" t="s">
        <v>6792</v>
      </c>
      <c r="B4335" t="str" cm="1">
        <f t="array" ref="B4335">_xlfn.XLOOKUP(C4335, INDEX([2]!카테고리매핑,,2), INDEX([2]!카테고리매핑,,1), "미등록 카테고리")</f>
        <v>채소/곡물류</v>
      </c>
      <c r="C4335" t="s">
        <v>7</v>
      </c>
      <c r="D4335" t="str">
        <f>VLOOKUP(C4335, '[2]VLOOKUP 함수용 카테고리'!$A$1:$B$59, 2, 0)</f>
        <v>RAW_PRODUCE</v>
      </c>
      <c r="E4335" t="s">
        <v>1898</v>
      </c>
    </row>
    <row r="4336" spans="1:6" x14ac:dyDescent="0.3">
      <c r="A4336" t="s">
        <v>6793</v>
      </c>
      <c r="B4336" t="str" cm="1">
        <f t="array" ref="B4336">_xlfn.XLOOKUP(C4336, INDEX([2]!카테고리매핑,,2), INDEX([2]!카테고리매핑,,1), "미등록 카테고리")</f>
        <v>간편식</v>
      </c>
      <c r="C4336" t="s">
        <v>158</v>
      </c>
      <c r="D4336" t="str">
        <f>VLOOKUP(C4336, '[2]VLOOKUP 함수용 카테고리'!$A$1:$B$59, 2, 0)</f>
        <v>INSTANT</v>
      </c>
      <c r="E4336" t="s">
        <v>6794</v>
      </c>
      <c r="F4336" t="s">
        <v>129</v>
      </c>
    </row>
    <row r="4337" spans="1:6" x14ac:dyDescent="0.3">
      <c r="A4337" t="s">
        <v>6795</v>
      </c>
      <c r="B4337" t="str" cm="1">
        <f t="array" ref="B4337">_xlfn.XLOOKUP(C4337, INDEX([2]!카테고리매핑,,2), INDEX([2]!카테고리매핑,,1), "미등록 카테고리")</f>
        <v>간식류</v>
      </c>
      <c r="C4337" t="s">
        <v>11</v>
      </c>
      <c r="D4337" t="str">
        <f>VLOOKUP(C4337, '[2]VLOOKUP 함수용 카테고리'!$A$1:$B$59, 2, 0)</f>
        <v>SNACK</v>
      </c>
      <c r="E4337" t="s">
        <v>3194</v>
      </c>
      <c r="F4337" t="s">
        <v>7853</v>
      </c>
    </row>
    <row r="4338" spans="1:6" x14ac:dyDescent="0.3">
      <c r="A4338" t="s">
        <v>6796</v>
      </c>
      <c r="B4338" t="str" cm="1">
        <f t="array" ref="B4338">_xlfn.XLOOKUP(C4338, INDEX([2]!카테고리매핑,,2), INDEX([2]!카테고리매핑,,1), "미등록 카테고리")</f>
        <v>간편식</v>
      </c>
      <c r="C4338" t="s">
        <v>19</v>
      </c>
      <c r="D4338" t="str">
        <f>VLOOKUP(C4338, '[2]VLOOKUP 함수용 카테고리'!$A$1:$B$59, 2, 0)</f>
        <v>FROZEN_MEAL</v>
      </c>
      <c r="E4338" t="s">
        <v>245</v>
      </c>
      <c r="F4338" t="s">
        <v>1554</v>
      </c>
    </row>
    <row r="4339" spans="1:6" x14ac:dyDescent="0.3">
      <c r="A4339" t="s">
        <v>6797</v>
      </c>
      <c r="B4339" t="str" cm="1">
        <f t="array" ref="B4339">_xlfn.XLOOKUP(C4339, INDEX([2]!카테고리매핑,,2), INDEX([2]!카테고리매핑,,1), "미등록 카테고리")</f>
        <v>간식류</v>
      </c>
      <c r="C4339" t="s">
        <v>11</v>
      </c>
      <c r="D4339" t="str">
        <f>VLOOKUP(C4339, '[2]VLOOKUP 함수용 카테고리'!$A$1:$B$59, 2, 0)</f>
        <v>SNACK</v>
      </c>
      <c r="E4339" t="s">
        <v>5414</v>
      </c>
      <c r="F4339" t="s">
        <v>154</v>
      </c>
    </row>
    <row r="4340" spans="1:6" x14ac:dyDescent="0.3">
      <c r="A4340" t="s">
        <v>6798</v>
      </c>
      <c r="B4340" t="str" cm="1">
        <f t="array" ref="B4340">_xlfn.XLOOKUP(C4340, INDEX([2]!카테고리매핑,,2), INDEX([2]!카테고리매핑,,1), "미등록 카테고리")</f>
        <v>유제품</v>
      </c>
      <c r="C4340" t="s">
        <v>123</v>
      </c>
      <c r="D4340" t="str">
        <f>VLOOKUP(C4340, '[2]VLOOKUP 함수용 카테고리'!$A$1:$B$59, 2, 0)</f>
        <v>DAIRY</v>
      </c>
      <c r="E4340" t="s">
        <v>190</v>
      </c>
      <c r="F4340" t="s">
        <v>193</v>
      </c>
    </row>
    <row r="4341" spans="1:6" x14ac:dyDescent="0.3">
      <c r="A4341" t="s">
        <v>6799</v>
      </c>
      <c r="B4341" t="str" cm="1">
        <f t="array" ref="B4341">_xlfn.XLOOKUP(C4341, INDEX([2]!카테고리매핑,,2), INDEX([2]!카테고리매핑,,1), "미등록 카테고리")</f>
        <v>간편식</v>
      </c>
      <c r="C4341" t="s">
        <v>131</v>
      </c>
      <c r="D4341" t="str">
        <f>VLOOKUP(C4341, '[2]VLOOKUP 함수용 카테고리'!$A$1:$B$59, 2, 0)</f>
        <v>SIMPLE_PROCESSED</v>
      </c>
      <c r="E4341" t="s">
        <v>2128</v>
      </c>
      <c r="F4341" t="s">
        <v>257</v>
      </c>
    </row>
    <row r="4342" spans="1:6" x14ac:dyDescent="0.3">
      <c r="A4342" t="s">
        <v>6800</v>
      </c>
      <c r="B4342" t="str" cm="1">
        <f t="array" ref="B4342">_xlfn.XLOOKUP(C4342, INDEX([2]!카테고리매핑,,2), INDEX([2]!카테고리매핑,,1), "미등록 카테고리")</f>
        <v>간편식</v>
      </c>
      <c r="C4342" t="s">
        <v>19</v>
      </c>
      <c r="D4342" t="str">
        <f>VLOOKUP(C4342, '[2]VLOOKUP 함수용 카테고리'!$A$1:$B$59, 2, 0)</f>
        <v>FROZEN_MEAL</v>
      </c>
      <c r="E4342" t="s">
        <v>763</v>
      </c>
      <c r="F4342" t="s">
        <v>994</v>
      </c>
    </row>
    <row r="4343" spans="1:6" x14ac:dyDescent="0.3">
      <c r="A4343" t="s">
        <v>6801</v>
      </c>
      <c r="B4343" t="str" cm="1">
        <f t="array" ref="B4343">_xlfn.XLOOKUP(C4343, INDEX([2]!카테고리매핑,,2), INDEX([2]!카테고리매핑,,1), "미등록 카테고리")</f>
        <v>간편식</v>
      </c>
      <c r="C4343" t="s">
        <v>46</v>
      </c>
      <c r="D4343" t="str">
        <f>VLOOKUP(C4343, '[2]VLOOKUP 함수용 카테고리'!$A$1:$B$59, 2, 0)</f>
        <v>RTC_MEAL</v>
      </c>
      <c r="E4343" t="s">
        <v>46</v>
      </c>
      <c r="F4343" t="s">
        <v>760</v>
      </c>
    </row>
    <row r="4344" spans="1:6" x14ac:dyDescent="0.3">
      <c r="A4344" t="s">
        <v>6802</v>
      </c>
      <c r="B4344" t="str" cm="1">
        <f t="array" ref="B4344">_xlfn.XLOOKUP(C4344, INDEX([2]!카테고리매핑,,2), INDEX([2]!카테고리매핑,,1), "미등록 카테고리")</f>
        <v>간식류</v>
      </c>
      <c r="C4344" t="s">
        <v>11</v>
      </c>
      <c r="D4344" t="str">
        <f>VLOOKUP(C4344, '[2]VLOOKUP 함수용 카테고리'!$A$1:$B$59, 2, 0)</f>
        <v>SNACK</v>
      </c>
      <c r="E4344" t="s">
        <v>4853</v>
      </c>
      <c r="F4344" t="s">
        <v>154</v>
      </c>
    </row>
    <row r="4345" spans="1:6" x14ac:dyDescent="0.3">
      <c r="A4345" t="s">
        <v>6803</v>
      </c>
      <c r="B4345" t="str" cm="1">
        <f t="array" ref="B4345">_xlfn.XLOOKUP(C4345, INDEX([2]!카테고리매핑,,2), INDEX([2]!카테고리매핑,,1), "미등록 카테고리")</f>
        <v>과일/견과류</v>
      </c>
      <c r="C4345" t="s">
        <v>654</v>
      </c>
      <c r="D4345" t="str">
        <f>VLOOKUP(C4345, '[2]VLOOKUP 함수용 카테고리'!$A$1:$B$59, 2, 0)</f>
        <v>RAW_FRUIT</v>
      </c>
      <c r="E4345" t="s">
        <v>681</v>
      </c>
      <c r="F4345" t="s">
        <v>6804</v>
      </c>
    </row>
    <row r="4346" spans="1:6" x14ac:dyDescent="0.3">
      <c r="A4346" t="s">
        <v>6805</v>
      </c>
      <c r="B4346" t="str" cm="1">
        <f t="array" ref="B4346">_xlfn.XLOOKUP(C4346, INDEX([2]!카테고리매핑,,2), INDEX([2]!카테고리매핑,,1), "미등록 카테고리")</f>
        <v>육류/계란</v>
      </c>
      <c r="C4346" t="s">
        <v>34</v>
      </c>
      <c r="D4346" t="str">
        <f>VLOOKUP(C4346, '[2]VLOOKUP 함수용 카테고리'!$A$1:$B$59, 2, 0)</f>
        <v>RAW_MEAT</v>
      </c>
      <c r="E4346" t="s">
        <v>35</v>
      </c>
      <c r="F4346" t="s">
        <v>1273</v>
      </c>
    </row>
    <row r="4347" spans="1:6" x14ac:dyDescent="0.3">
      <c r="A4347" t="s">
        <v>6806</v>
      </c>
      <c r="B4347" t="str" cm="1">
        <f t="array" ref="B4347">_xlfn.XLOOKUP(C4347, INDEX([2]!카테고리매핑,,2), INDEX([2]!카테고리매핑,,1), "미등록 카테고리")</f>
        <v>조미료</v>
      </c>
      <c r="C4347" t="s">
        <v>84</v>
      </c>
      <c r="D4347" t="str">
        <f>VLOOKUP(C4347, '[2]VLOOKUP 함수용 카테고리'!$A$1:$B$59, 2, 0)</f>
        <v>SAUCE_SEASONING</v>
      </c>
      <c r="E4347" t="s">
        <v>2451</v>
      </c>
      <c r="F4347" t="s">
        <v>269</v>
      </c>
    </row>
    <row r="4348" spans="1:6" x14ac:dyDescent="0.3">
      <c r="A4348" t="s">
        <v>6807</v>
      </c>
      <c r="B4348" t="str" cm="1">
        <f t="array" ref="B4348">_xlfn.XLOOKUP(C4348, INDEX([2]!카테고리매핑,,2), INDEX([2]!카테고리매핑,,1), "미등록 카테고리")</f>
        <v>육류/계란</v>
      </c>
      <c r="C4348" t="s">
        <v>298</v>
      </c>
      <c r="D4348" t="str">
        <f>VLOOKUP(C4348, '[2]VLOOKUP 함수용 카테고리'!$A$1:$B$59, 2, 0)</f>
        <v>RAW_MEAT</v>
      </c>
      <c r="E4348" t="s">
        <v>298</v>
      </c>
      <c r="F4348" t="s">
        <v>350</v>
      </c>
    </row>
    <row r="4349" spans="1:6" x14ac:dyDescent="0.3">
      <c r="A4349" t="s">
        <v>6808</v>
      </c>
      <c r="B4349" t="str" cm="1">
        <f t="array" ref="B4349">_xlfn.XLOOKUP(C4349, INDEX([2]!카테고리매핑,,2), INDEX([2]!카테고리매핑,,1), "미등록 카테고리")</f>
        <v>조미료</v>
      </c>
      <c r="C4349" t="s">
        <v>84</v>
      </c>
      <c r="D4349" t="str">
        <f>VLOOKUP(C4349, '[2]VLOOKUP 함수용 카테고리'!$A$1:$B$59, 2, 0)</f>
        <v>SAUCE_SEASONING</v>
      </c>
      <c r="E4349" t="s">
        <v>2623</v>
      </c>
      <c r="F4349" t="s">
        <v>182</v>
      </c>
    </row>
    <row r="4350" spans="1:6" x14ac:dyDescent="0.3">
      <c r="A4350" t="s">
        <v>6809</v>
      </c>
      <c r="B4350" t="str" cm="1">
        <f t="array" ref="B4350">_xlfn.XLOOKUP(C4350, INDEX([2]!카테고리매핑,,2), INDEX([2]!카테고리매핑,,1), "미등록 카테고리")</f>
        <v>간식류</v>
      </c>
      <c r="C4350" t="s">
        <v>11</v>
      </c>
      <c r="D4350" t="str">
        <f>VLOOKUP(C4350, '[2]VLOOKUP 함수용 카테고리'!$A$1:$B$59, 2, 0)</f>
        <v>SNACK</v>
      </c>
      <c r="E4350" t="s">
        <v>371</v>
      </c>
      <c r="F4350" t="s">
        <v>7920</v>
      </c>
    </row>
    <row r="4351" spans="1:6" x14ac:dyDescent="0.3">
      <c r="A4351" t="s">
        <v>6810</v>
      </c>
      <c r="B4351" t="str" cm="1">
        <f t="array" ref="B4351">_xlfn.XLOOKUP(C4351, INDEX([2]!카테고리매핑,,2), INDEX([2]!카테고리매핑,,1), "미등록 카테고리")</f>
        <v>간식류</v>
      </c>
      <c r="C4351" t="s">
        <v>11</v>
      </c>
      <c r="D4351" t="str">
        <f>VLOOKUP(C4351, '[2]VLOOKUP 함수용 카테고리'!$A$1:$B$59, 2, 0)</f>
        <v>SNACK</v>
      </c>
      <c r="E4351" t="s">
        <v>2258</v>
      </c>
      <c r="F4351" t="s">
        <v>2115</v>
      </c>
    </row>
    <row r="4352" spans="1:6" x14ac:dyDescent="0.3">
      <c r="A4352" t="s">
        <v>6811</v>
      </c>
      <c r="B4352" t="str" cm="1">
        <f t="array" ref="B4352">_xlfn.XLOOKUP(C4352, INDEX([2]!카테고리매핑,,2), INDEX([2]!카테고리매핑,,1), "미등록 카테고리")</f>
        <v>채소/곡물류</v>
      </c>
      <c r="C4352" t="s">
        <v>301</v>
      </c>
      <c r="D4352" t="str">
        <f>VLOOKUP(C4352, '[2]VLOOKUP 함수용 카테고리'!$A$1:$B$59, 2, 0)</f>
        <v>GRAIN</v>
      </c>
      <c r="E4352" t="s">
        <v>490</v>
      </c>
      <c r="F4352" t="s">
        <v>6812</v>
      </c>
    </row>
    <row r="4353" spans="1:6" x14ac:dyDescent="0.3">
      <c r="A4353" t="s">
        <v>6813</v>
      </c>
      <c r="B4353" t="str" cm="1">
        <f t="array" ref="B4353">_xlfn.XLOOKUP(C4353, INDEX([2]!카테고리매핑,,2), INDEX([2]!카테고리매핑,,1), "미등록 카테고리")</f>
        <v>조미료</v>
      </c>
      <c r="C4353" t="s">
        <v>84</v>
      </c>
      <c r="D4353" t="str">
        <f>VLOOKUP(C4353, '[2]VLOOKUP 함수용 카테고리'!$A$1:$B$59, 2, 0)</f>
        <v>SAUCE_SEASONING</v>
      </c>
      <c r="E4353" t="s">
        <v>90</v>
      </c>
      <c r="F4353" t="s">
        <v>129</v>
      </c>
    </row>
    <row r="4354" spans="1:6" x14ac:dyDescent="0.3">
      <c r="A4354" t="s">
        <v>6814</v>
      </c>
      <c r="B4354" t="str" cm="1">
        <f t="array" ref="B4354">_xlfn.XLOOKUP(C4354, INDEX([2]!카테고리매핑,,2), INDEX([2]!카테고리매핑,,1), "미등록 카테고리")</f>
        <v>채소/곡물류</v>
      </c>
      <c r="C4354" t="s">
        <v>7</v>
      </c>
      <c r="D4354" t="str">
        <f>VLOOKUP(C4354, '[2]VLOOKUP 함수용 카테고리'!$A$1:$B$59, 2, 0)</f>
        <v>RAW_PRODUCE</v>
      </c>
      <c r="E4354" t="s">
        <v>2633</v>
      </c>
      <c r="F4354" t="s">
        <v>2983</v>
      </c>
    </row>
    <row r="4355" spans="1:6" x14ac:dyDescent="0.3">
      <c r="A4355" t="s">
        <v>6815</v>
      </c>
      <c r="B4355" t="str" cm="1">
        <f t="array" ref="B4355">_xlfn.XLOOKUP(C4355, INDEX([2]!카테고리매핑,,2), INDEX([2]!카테고리매핑,,1), "미등록 카테고리")</f>
        <v>술</v>
      </c>
      <c r="C4355" t="s">
        <v>42</v>
      </c>
      <c r="D4355" t="str">
        <f>VLOOKUP(C4355, '[2]VLOOKUP 함수용 카테고리'!$A$1:$B$59, 2, 0)</f>
        <v>ALCOHOL</v>
      </c>
      <c r="E4355" t="s">
        <v>43</v>
      </c>
      <c r="F4355" t="s">
        <v>7921</v>
      </c>
    </row>
    <row r="4356" spans="1:6" x14ac:dyDescent="0.3">
      <c r="A4356" t="s">
        <v>6816</v>
      </c>
      <c r="B4356" t="str" cm="1">
        <f t="array" ref="B4356">_xlfn.XLOOKUP(C4356, INDEX([2]!카테고리매핑,,2), INDEX([2]!카테고리매핑,,1), "미등록 카테고리")</f>
        <v>간편식</v>
      </c>
      <c r="C4356" t="s">
        <v>256</v>
      </c>
      <c r="D4356" t="str">
        <f>VLOOKUP(C4356, '[2]VLOOKUP 함수용 카테고리'!$A$1:$B$59, 2, 0)</f>
        <v>RTC_MEAL</v>
      </c>
      <c r="E4356" t="s">
        <v>256</v>
      </c>
      <c r="F4356" t="s">
        <v>6817</v>
      </c>
    </row>
    <row r="4357" spans="1:6" x14ac:dyDescent="0.3">
      <c r="A4357" t="s">
        <v>6818</v>
      </c>
      <c r="B4357" t="str" cm="1">
        <f t="array" ref="B4357">_xlfn.XLOOKUP(C4357, INDEX([2]!카테고리매핑,,2), INDEX([2]!카테고리매핑,,1), "미등록 카테고리")</f>
        <v>상온식품</v>
      </c>
      <c r="C4357" t="s">
        <v>276</v>
      </c>
      <c r="D4357" t="str">
        <f>VLOOKUP(C4357, '[2]VLOOKUP 함수용 카테고리'!$A$1:$B$59, 2, 0)</f>
        <v>DRIED_SEAFOOD</v>
      </c>
      <c r="E4357" t="s">
        <v>277</v>
      </c>
      <c r="F4357" t="s">
        <v>6819</v>
      </c>
    </row>
    <row r="4358" spans="1:6" x14ac:dyDescent="0.3">
      <c r="A4358" t="s">
        <v>6820</v>
      </c>
      <c r="B4358" t="str" cm="1">
        <f t="array" ref="B4358">_xlfn.XLOOKUP(C4358, INDEX([2]!카테고리매핑,,2), INDEX([2]!카테고리매핑,,1), "미등록 카테고리")</f>
        <v>간편식</v>
      </c>
      <c r="C4358" t="s">
        <v>131</v>
      </c>
      <c r="D4358" t="str">
        <f>VLOOKUP(C4358, '[2]VLOOKUP 함수용 카테고리'!$A$1:$B$59, 2, 0)</f>
        <v>SIMPLE_PROCESSED</v>
      </c>
      <c r="E4358" t="s">
        <v>6821</v>
      </c>
      <c r="F4358" t="s">
        <v>6822</v>
      </c>
    </row>
    <row r="4359" spans="1:6" x14ac:dyDescent="0.3">
      <c r="A4359" t="s">
        <v>6823</v>
      </c>
      <c r="B4359" t="str" cm="1">
        <f t="array" ref="B4359">_xlfn.XLOOKUP(C4359, INDEX([2]!카테고리매핑,,2), INDEX([2]!카테고리매핑,,1), "미등록 카테고리")</f>
        <v>음료</v>
      </c>
      <c r="C4359" t="s">
        <v>708</v>
      </c>
      <c r="D4359" t="str">
        <f>VLOOKUP(C4359, '[2]VLOOKUP 함수용 카테고리'!$A$1:$B$59, 2, 0)</f>
        <v>BEVERAGE</v>
      </c>
      <c r="E4359" t="s">
        <v>708</v>
      </c>
      <c r="F4359" t="s">
        <v>6824</v>
      </c>
    </row>
    <row r="4360" spans="1:6" x14ac:dyDescent="0.3">
      <c r="A4360" t="s">
        <v>6825</v>
      </c>
      <c r="B4360" t="str" cm="1">
        <f t="array" ref="B4360">_xlfn.XLOOKUP(C4360, INDEX([2]!카테고리매핑,,2), INDEX([2]!카테고리매핑,,1), "미등록 카테고리")</f>
        <v>과일/견과류</v>
      </c>
      <c r="C4360" t="s">
        <v>654</v>
      </c>
      <c r="D4360" t="str">
        <f>VLOOKUP(C4360, '[2]VLOOKUP 함수용 카테고리'!$A$1:$B$59, 2, 0)</f>
        <v>RAW_FRUIT</v>
      </c>
      <c r="E4360" t="s">
        <v>681</v>
      </c>
      <c r="F4360" t="s">
        <v>4524</v>
      </c>
    </row>
    <row r="4361" spans="1:6" x14ac:dyDescent="0.3">
      <c r="A4361" t="s">
        <v>6826</v>
      </c>
      <c r="B4361" t="str" cm="1">
        <f t="array" ref="B4361">_xlfn.XLOOKUP(C4361, INDEX([2]!카테고리매핑,,2), INDEX([2]!카테고리매핑,,1), "미등록 카테고리")</f>
        <v>과일/견과류</v>
      </c>
      <c r="C4361" t="s">
        <v>654</v>
      </c>
      <c r="D4361" t="str">
        <f>VLOOKUP(C4361, '[2]VLOOKUP 함수용 카테고리'!$A$1:$B$59, 2, 0)</f>
        <v>RAW_FRUIT</v>
      </c>
      <c r="E4361" t="s">
        <v>1627</v>
      </c>
      <c r="F4361" t="s">
        <v>350</v>
      </c>
    </row>
    <row r="4362" spans="1:6" x14ac:dyDescent="0.3">
      <c r="A4362" t="s">
        <v>6827</v>
      </c>
      <c r="B4362" t="str" cm="1">
        <f t="array" ref="B4362">_xlfn.XLOOKUP(C4362, INDEX([2]!카테고리매핑,,2), INDEX([2]!카테고리매핑,,1), "미등록 카테고리")</f>
        <v>술</v>
      </c>
      <c r="C4362" t="s">
        <v>42</v>
      </c>
      <c r="D4362" t="str">
        <f>VLOOKUP(C4362, '[2]VLOOKUP 함수용 카테고리'!$A$1:$B$59, 2, 0)</f>
        <v>ALCOHOL</v>
      </c>
      <c r="E4362" t="s">
        <v>144</v>
      </c>
      <c r="F4362" t="s">
        <v>7922</v>
      </c>
    </row>
    <row r="4363" spans="1:6" x14ac:dyDescent="0.3">
      <c r="A4363" t="s">
        <v>6828</v>
      </c>
      <c r="B4363" t="str" cm="1">
        <f t="array" ref="B4363">_xlfn.XLOOKUP(C4363, INDEX([2]!카테고리매핑,,2), INDEX([2]!카테고리매핑,,1), "미등록 카테고리")</f>
        <v>조미료</v>
      </c>
      <c r="C4363" t="s">
        <v>83</v>
      </c>
      <c r="D4363" t="str">
        <f>VLOOKUP(C4363, '[2]VLOOKUP 함수용 카테고리'!$A$1:$B$59, 2, 0)</f>
        <v>SAUCE_SEASONING</v>
      </c>
      <c r="E4363" t="s">
        <v>2056</v>
      </c>
      <c r="F4363" t="s">
        <v>5920</v>
      </c>
    </row>
    <row r="4364" spans="1:6" x14ac:dyDescent="0.3">
      <c r="A4364" t="s">
        <v>6829</v>
      </c>
      <c r="B4364" t="str" cm="1">
        <f t="array" ref="B4364">_xlfn.XLOOKUP(C4364, INDEX([2]!카테고리매핑,,2), INDEX([2]!카테고리매핑,,1), "미등록 카테고리")</f>
        <v>간편식</v>
      </c>
      <c r="C4364" t="s">
        <v>19</v>
      </c>
      <c r="D4364" t="str">
        <f>VLOOKUP(C4364, '[2]VLOOKUP 함수용 카테고리'!$A$1:$B$59, 2, 0)</f>
        <v>FROZEN_MEAL</v>
      </c>
      <c r="E4364" t="s">
        <v>763</v>
      </c>
      <c r="F4364" t="s">
        <v>889</v>
      </c>
    </row>
    <row r="4365" spans="1:6" x14ac:dyDescent="0.3">
      <c r="A4365" t="s">
        <v>6830</v>
      </c>
      <c r="B4365" t="str" cm="1">
        <f t="array" ref="B4365">_xlfn.XLOOKUP(C4365, INDEX([2]!카테고리매핑,,2), INDEX([2]!카테고리매핑,,1), "미등록 카테고리")</f>
        <v>수산물</v>
      </c>
      <c r="C4365" t="s">
        <v>140</v>
      </c>
      <c r="D4365" t="str">
        <f>VLOOKUP(C4365, '[2]VLOOKUP 함수용 카테고리'!$A$1:$B$59, 2, 0)</f>
        <v>SIMPLE_PROCESSED</v>
      </c>
      <c r="E4365" t="s">
        <v>5127</v>
      </c>
      <c r="F4365" t="s">
        <v>2446</v>
      </c>
    </row>
    <row r="4366" spans="1:6" x14ac:dyDescent="0.3">
      <c r="A4366" t="s">
        <v>6831</v>
      </c>
      <c r="B4366" t="str" cm="1">
        <f t="array" ref="B4366">_xlfn.XLOOKUP(C4366, INDEX([2]!카테고리매핑,,2), INDEX([2]!카테고리매핑,,1), "미등록 카테고리")</f>
        <v>채소/곡물류</v>
      </c>
      <c r="C4366" t="s">
        <v>301</v>
      </c>
      <c r="D4366" t="str">
        <f>VLOOKUP(C4366, '[2]VLOOKUP 함수용 카테고리'!$A$1:$B$59, 2, 0)</f>
        <v>GRAIN</v>
      </c>
      <c r="E4366" t="s">
        <v>4663</v>
      </c>
    </row>
    <row r="4367" spans="1:6" x14ac:dyDescent="0.3">
      <c r="A4367" t="s">
        <v>6832</v>
      </c>
      <c r="B4367" t="str" cm="1">
        <f t="array" ref="B4367">_xlfn.XLOOKUP(C4367, INDEX([2]!카테고리매핑,,2), INDEX([2]!카테고리매핑,,1), "미등록 카테고리")</f>
        <v>간편식</v>
      </c>
      <c r="C4367" t="s">
        <v>46</v>
      </c>
      <c r="D4367" t="str">
        <f>VLOOKUP(C4367, '[2]VLOOKUP 함수용 카테고리'!$A$1:$B$59, 2, 0)</f>
        <v>RTC_MEAL</v>
      </c>
      <c r="E4367" t="s">
        <v>46</v>
      </c>
      <c r="F4367" t="s">
        <v>6833</v>
      </c>
    </row>
    <row r="4368" spans="1:6" x14ac:dyDescent="0.3">
      <c r="A4368" t="s">
        <v>6834</v>
      </c>
      <c r="B4368" t="str" cm="1">
        <f t="array" ref="B4368">_xlfn.XLOOKUP(C4368, INDEX([2]!카테고리매핑,,2), INDEX([2]!카테고리매핑,,1), "미등록 카테고리")</f>
        <v>과일/견과류</v>
      </c>
      <c r="C4368" t="s">
        <v>654</v>
      </c>
      <c r="D4368" t="str">
        <f>VLOOKUP(C4368, '[2]VLOOKUP 함수용 카테고리'!$A$1:$B$59, 2, 0)</f>
        <v>RAW_FRUIT</v>
      </c>
      <c r="E4368" t="s">
        <v>5459</v>
      </c>
      <c r="F4368" t="s">
        <v>6835</v>
      </c>
    </row>
    <row r="4369" spans="1:6" x14ac:dyDescent="0.3">
      <c r="A4369" t="s">
        <v>6836</v>
      </c>
      <c r="B4369" t="str" cm="1">
        <f t="array" ref="B4369">_xlfn.XLOOKUP(C4369, INDEX([2]!카테고리매핑,,2), INDEX([2]!카테고리매핑,,1), "미등록 카테고리")</f>
        <v>유제품</v>
      </c>
      <c r="C4369" t="s">
        <v>123</v>
      </c>
      <c r="D4369" t="str">
        <f>VLOOKUP(C4369, '[2]VLOOKUP 함수용 카테고리'!$A$1:$B$59, 2, 0)</f>
        <v>DAIRY</v>
      </c>
      <c r="E4369" t="s">
        <v>239</v>
      </c>
      <c r="F4369" t="s">
        <v>240</v>
      </c>
    </row>
    <row r="4370" spans="1:6" x14ac:dyDescent="0.3">
      <c r="A4370" t="s">
        <v>6837</v>
      </c>
      <c r="B4370" t="str" cm="1">
        <f t="array" ref="B4370">_xlfn.XLOOKUP(C4370, INDEX([2]!카테고리매핑,,2), INDEX([2]!카테고리매핑,,1), "미등록 카테고리")</f>
        <v>간식류</v>
      </c>
      <c r="C4370" t="s">
        <v>63</v>
      </c>
      <c r="D4370" t="str">
        <f>VLOOKUP(C4370, '[2]VLOOKUP 함수용 카테고리'!$A$1:$B$59, 2, 0)</f>
        <v>BAKERY</v>
      </c>
      <c r="E4370" t="s">
        <v>64</v>
      </c>
      <c r="F4370" t="s">
        <v>892</v>
      </c>
    </row>
    <row r="4371" spans="1:6" x14ac:dyDescent="0.3">
      <c r="A4371" t="s">
        <v>6838</v>
      </c>
      <c r="B4371" t="str" cm="1">
        <f t="array" ref="B4371">_xlfn.XLOOKUP(C4371, INDEX([2]!카테고리매핑,,2), INDEX([2]!카테고리매핑,,1), "미등록 카테고리")</f>
        <v>채소/곡물류</v>
      </c>
      <c r="C4371" t="s">
        <v>207</v>
      </c>
      <c r="D4371" t="str">
        <f>VLOOKUP(C4371, '[2]VLOOKUP 함수용 카테고리'!$A$1:$B$59, 2, 0)</f>
        <v>GRAIN</v>
      </c>
      <c r="E4371" t="s">
        <v>2588</v>
      </c>
      <c r="F4371" t="s">
        <v>6839</v>
      </c>
    </row>
    <row r="4372" spans="1:6" x14ac:dyDescent="0.3">
      <c r="A4372" t="s">
        <v>6840</v>
      </c>
      <c r="B4372" t="str" cm="1">
        <f t="array" ref="B4372">_xlfn.XLOOKUP(C4372, INDEX([2]!카테고리매핑,,2), INDEX([2]!카테고리매핑,,1), "미등록 카테고리")</f>
        <v>조미료</v>
      </c>
      <c r="C4372" t="s">
        <v>117</v>
      </c>
      <c r="D4372" t="str">
        <f>VLOOKUP(C4372, '[2]VLOOKUP 함수용 카테고리'!$A$1:$B$59, 2, 0)</f>
        <v>SAUCE_SEASONING</v>
      </c>
      <c r="E4372" t="s">
        <v>6841</v>
      </c>
      <c r="F4372" t="s">
        <v>7923</v>
      </c>
    </row>
    <row r="4373" spans="1:6" x14ac:dyDescent="0.3">
      <c r="A4373" t="s">
        <v>6842</v>
      </c>
      <c r="B4373" t="str" cm="1">
        <f t="array" ref="B4373">_xlfn.XLOOKUP(C4373, INDEX([2]!카테고리매핑,,2), INDEX([2]!카테고리매핑,,1), "미등록 카테고리")</f>
        <v>유제품</v>
      </c>
      <c r="C4373" t="s">
        <v>211</v>
      </c>
      <c r="D4373" t="str">
        <f>VLOOKUP(C4373, '[2]VLOOKUP 함수용 카테고리'!$A$1:$B$59, 2, 0)</f>
        <v>DAIRY</v>
      </c>
      <c r="E4373" t="s">
        <v>212</v>
      </c>
      <c r="F4373" t="s">
        <v>350</v>
      </c>
    </row>
    <row r="4374" spans="1:6" x14ac:dyDescent="0.3">
      <c r="A4374" t="s">
        <v>6843</v>
      </c>
      <c r="B4374" t="str" cm="1">
        <f t="array" ref="B4374">_xlfn.XLOOKUP(C4374, INDEX([2]!카테고리매핑,,2), INDEX([2]!카테고리매핑,,1), "미등록 카테고리")</f>
        <v>유제품</v>
      </c>
      <c r="C4374" t="s">
        <v>98</v>
      </c>
      <c r="D4374" t="str">
        <f>VLOOKUP(C4374, '[2]VLOOKUP 함수용 카테고리'!$A$1:$B$59, 2, 0)</f>
        <v>DAIRY</v>
      </c>
      <c r="E4374" t="s">
        <v>98</v>
      </c>
      <c r="F4374" t="s">
        <v>6844</v>
      </c>
    </row>
    <row r="4375" spans="1:6" x14ac:dyDescent="0.3">
      <c r="A4375" t="s">
        <v>6845</v>
      </c>
      <c r="B4375" t="str" cm="1">
        <f t="array" ref="B4375">_xlfn.XLOOKUP(C4375, INDEX([2]!카테고리매핑,,2), INDEX([2]!카테고리매핑,,1), "미등록 카테고리")</f>
        <v>수산물</v>
      </c>
      <c r="C4375" t="s">
        <v>183</v>
      </c>
      <c r="D4375" t="str">
        <f>VLOOKUP(C4375, '[2]VLOOKUP 함수용 카테고리'!$A$1:$B$59, 2, 0)</f>
        <v>DRIED_SEAFOOD</v>
      </c>
      <c r="E4375" t="s">
        <v>466</v>
      </c>
    </row>
    <row r="4376" spans="1:6" x14ac:dyDescent="0.3">
      <c r="A4376" t="s">
        <v>6846</v>
      </c>
      <c r="B4376" t="str" cm="1">
        <f t="array" ref="B4376">_xlfn.XLOOKUP(C4376, INDEX([2]!카테고리매핑,,2), INDEX([2]!카테고리매핑,,1), "미등록 카테고리")</f>
        <v>채소/곡물류</v>
      </c>
      <c r="C4376" t="s">
        <v>7</v>
      </c>
      <c r="D4376" t="str">
        <f>VLOOKUP(C4376, '[2]VLOOKUP 함수용 카테고리'!$A$1:$B$59, 2, 0)</f>
        <v>RAW_PRODUCE</v>
      </c>
      <c r="E4376" t="s">
        <v>716</v>
      </c>
    </row>
    <row r="4377" spans="1:6" x14ac:dyDescent="0.3">
      <c r="A4377" t="s">
        <v>6847</v>
      </c>
      <c r="B4377" t="str" cm="1">
        <f t="array" ref="B4377">_xlfn.XLOOKUP(C4377, INDEX([2]!카테고리매핑,,2), INDEX([2]!카테고리매핑,,1), "미등록 카테고리")</f>
        <v>육류/계란</v>
      </c>
      <c r="C4377" t="s">
        <v>298</v>
      </c>
      <c r="D4377" t="str">
        <f>VLOOKUP(C4377, '[2]VLOOKUP 함수용 카테고리'!$A$1:$B$59, 2, 0)</f>
        <v>RAW_MEAT</v>
      </c>
      <c r="E4377" t="s">
        <v>298</v>
      </c>
      <c r="F4377" t="s">
        <v>6848</v>
      </c>
    </row>
    <row r="4378" spans="1:6" x14ac:dyDescent="0.3">
      <c r="A4378" t="s">
        <v>6849</v>
      </c>
      <c r="B4378" t="str" cm="1">
        <f t="array" ref="B4378">_xlfn.XLOOKUP(C4378, INDEX([2]!카테고리매핑,,2), INDEX([2]!카테고리매핑,,1), "미등록 카테고리")</f>
        <v>간식류</v>
      </c>
      <c r="C4378" t="s">
        <v>11</v>
      </c>
      <c r="D4378" t="str">
        <f>VLOOKUP(C4378, '[2]VLOOKUP 함수용 카테고리'!$A$1:$B$59, 2, 0)</f>
        <v>SNACK</v>
      </c>
      <c r="E4378" t="s">
        <v>361</v>
      </c>
      <c r="F4378" t="s">
        <v>1784</v>
      </c>
    </row>
    <row r="4379" spans="1:6" x14ac:dyDescent="0.3">
      <c r="A4379" t="s">
        <v>6850</v>
      </c>
      <c r="B4379" t="str" cm="1">
        <f t="array" ref="B4379">_xlfn.XLOOKUP(C4379, INDEX([2]!카테고리매핑,,2), INDEX([2]!카테고리매핑,,1), "미등록 카테고리")</f>
        <v>조미료</v>
      </c>
      <c r="C4379" t="s">
        <v>558</v>
      </c>
      <c r="D4379" t="str">
        <f>VLOOKUP(C4379, '[2]VLOOKUP 함수용 카테고리'!$A$1:$B$59, 2, 0)</f>
        <v>SAUCE_SEASONING</v>
      </c>
      <c r="E4379" t="s">
        <v>559</v>
      </c>
      <c r="F4379" t="s">
        <v>269</v>
      </c>
    </row>
    <row r="4380" spans="1:6" x14ac:dyDescent="0.3">
      <c r="A4380" t="s">
        <v>6851</v>
      </c>
      <c r="B4380" t="str" cm="1">
        <f t="array" ref="B4380">_xlfn.XLOOKUP(C4380, INDEX([2]!카테고리매핑,,2), INDEX([2]!카테고리매핑,,1), "미등록 카테고리")</f>
        <v>채소/곡물류</v>
      </c>
      <c r="C4380" t="s">
        <v>301</v>
      </c>
      <c r="D4380" t="str">
        <f>VLOOKUP(C4380, '[2]VLOOKUP 함수용 카테고리'!$A$1:$B$59, 2, 0)</f>
        <v>GRAIN</v>
      </c>
      <c r="E4380" t="s">
        <v>1737</v>
      </c>
      <c r="F4380" t="s">
        <v>3568</v>
      </c>
    </row>
    <row r="4381" spans="1:6" x14ac:dyDescent="0.3">
      <c r="A4381" t="s">
        <v>6852</v>
      </c>
      <c r="B4381" t="str" cm="1">
        <f t="array" ref="B4381">_xlfn.XLOOKUP(C4381, INDEX([2]!카테고리매핑,,2), INDEX([2]!카테고리매핑,,1), "미등록 카테고리")</f>
        <v>육류/계란</v>
      </c>
      <c r="C4381" t="s">
        <v>428</v>
      </c>
      <c r="D4381" t="str">
        <f>VLOOKUP(C4381, '[2]VLOOKUP 함수용 카테고리'!$A$1:$B$59, 2, 0)</f>
        <v>PROCESSED_MEAT</v>
      </c>
      <c r="E4381" t="s">
        <v>429</v>
      </c>
      <c r="F4381" t="s">
        <v>6853</v>
      </c>
    </row>
    <row r="4382" spans="1:6" x14ac:dyDescent="0.3">
      <c r="A4382" t="s">
        <v>6854</v>
      </c>
      <c r="B4382" t="str" cm="1">
        <f t="array" ref="B4382">_xlfn.XLOOKUP(C4382, INDEX([2]!카테고리매핑,,2), INDEX([2]!카테고리매핑,,1), "미등록 카테고리")</f>
        <v>유제품</v>
      </c>
      <c r="C4382" t="s">
        <v>432</v>
      </c>
      <c r="D4382" t="str">
        <f>VLOOKUP(C4382, '[2]VLOOKUP 함수용 카테고리'!$A$1:$B$59, 2, 0)</f>
        <v>DAIRY</v>
      </c>
      <c r="E4382" t="s">
        <v>4614</v>
      </c>
      <c r="F4382" t="s">
        <v>2950</v>
      </c>
    </row>
    <row r="4383" spans="1:6" x14ac:dyDescent="0.3">
      <c r="A4383" t="s">
        <v>6855</v>
      </c>
      <c r="B4383" t="str" cm="1">
        <f t="array" ref="B4383">_xlfn.XLOOKUP(C4383, INDEX([2]!카테고리매핑,,2), INDEX([2]!카테고리매핑,,1), "미등록 카테고리")</f>
        <v>간편식</v>
      </c>
      <c r="C4383" t="s">
        <v>46</v>
      </c>
      <c r="D4383" t="str">
        <f>VLOOKUP(C4383, '[2]VLOOKUP 함수용 카테고리'!$A$1:$B$59, 2, 0)</f>
        <v>RTC_MEAL</v>
      </c>
      <c r="E4383" t="s">
        <v>46</v>
      </c>
      <c r="F4383" t="s">
        <v>6856</v>
      </c>
    </row>
    <row r="4384" spans="1:6" x14ac:dyDescent="0.3">
      <c r="A4384" t="s">
        <v>6857</v>
      </c>
      <c r="B4384" t="str" cm="1">
        <f t="array" ref="B4384">_xlfn.XLOOKUP(C4384, INDEX([2]!카테고리매핑,,2), INDEX([2]!카테고리매핑,,1), "미등록 카테고리")</f>
        <v>조미료</v>
      </c>
      <c r="C4384" t="s">
        <v>84</v>
      </c>
      <c r="D4384" t="str">
        <f>VLOOKUP(C4384, '[2]VLOOKUP 함수용 카테고리'!$A$1:$B$59, 2, 0)</f>
        <v>SAUCE_SEASONING</v>
      </c>
      <c r="E4384" t="s">
        <v>85</v>
      </c>
      <c r="F4384" t="s">
        <v>1679</v>
      </c>
    </row>
    <row r="4385" spans="1:6" x14ac:dyDescent="0.3">
      <c r="A4385" t="s">
        <v>6858</v>
      </c>
      <c r="B4385" t="str" cm="1">
        <f t="array" ref="B4385">_xlfn.XLOOKUP(C4385, INDEX([2]!카테고리매핑,,2), INDEX([2]!카테고리매핑,,1), "미등록 카테고리")</f>
        <v>간식류</v>
      </c>
      <c r="C4385" t="s">
        <v>11</v>
      </c>
      <c r="D4385" t="str">
        <f>VLOOKUP(C4385, '[2]VLOOKUP 함수용 카테고리'!$A$1:$B$59, 2, 0)</f>
        <v>SNACK</v>
      </c>
      <c r="E4385" t="s">
        <v>153</v>
      </c>
      <c r="F4385" t="s">
        <v>129</v>
      </c>
    </row>
    <row r="4386" spans="1:6" x14ac:dyDescent="0.3">
      <c r="A4386" t="s">
        <v>6859</v>
      </c>
      <c r="B4386" t="str" cm="1">
        <f t="array" ref="B4386">_xlfn.XLOOKUP(C4386, INDEX([2]!카테고리매핑,,2), INDEX([2]!카테고리매핑,,1), "미등록 카테고리")</f>
        <v>간편식</v>
      </c>
      <c r="C4386" t="s">
        <v>256</v>
      </c>
      <c r="D4386" t="str">
        <f>VLOOKUP(C4386, '[2]VLOOKUP 함수용 카테고리'!$A$1:$B$59, 2, 0)</f>
        <v>RTC_MEAL</v>
      </c>
      <c r="E4386" t="s">
        <v>256</v>
      </c>
      <c r="F4386" t="s">
        <v>6860</v>
      </c>
    </row>
    <row r="4387" spans="1:6" x14ac:dyDescent="0.3">
      <c r="A4387" t="s">
        <v>6861</v>
      </c>
      <c r="B4387" t="str" cm="1">
        <f t="array" ref="B4387">_xlfn.XLOOKUP(C4387, INDEX([2]!카테고리매핑,,2), INDEX([2]!카테고리매핑,,1), "미등록 카테고리")</f>
        <v>간식류</v>
      </c>
      <c r="C4387" t="s">
        <v>15</v>
      </c>
      <c r="D4387" t="str">
        <f>VLOOKUP(C4387, '[2]VLOOKUP 함수용 카테고리'!$A$1:$B$59, 2, 0)</f>
        <v>BAKERY</v>
      </c>
      <c r="E4387" t="s">
        <v>499</v>
      </c>
      <c r="F4387" t="s">
        <v>7880</v>
      </c>
    </row>
    <row r="4388" spans="1:6" x14ac:dyDescent="0.3">
      <c r="A4388" t="s">
        <v>6862</v>
      </c>
      <c r="B4388" t="str" cm="1">
        <f t="array" ref="B4388">_xlfn.XLOOKUP(C4388, INDEX([2]!카테고리매핑,,2), INDEX([2]!카테고리매핑,,1), "미등록 카테고리")</f>
        <v>유제품</v>
      </c>
      <c r="C4388" t="s">
        <v>123</v>
      </c>
      <c r="D4388" t="str">
        <f>VLOOKUP(C4388, '[2]VLOOKUP 함수용 카테고리'!$A$1:$B$59, 2, 0)</f>
        <v>DAIRY</v>
      </c>
      <c r="E4388" t="s">
        <v>949</v>
      </c>
      <c r="F4388" t="s">
        <v>6863</v>
      </c>
    </row>
    <row r="4389" spans="1:6" x14ac:dyDescent="0.3">
      <c r="A4389" t="s">
        <v>6864</v>
      </c>
      <c r="B4389" t="str" cm="1">
        <f t="array" ref="B4389">_xlfn.XLOOKUP(C4389, INDEX([2]!카테고리매핑,,2), INDEX([2]!카테고리매핑,,1), "미등록 카테고리")</f>
        <v>간편식</v>
      </c>
      <c r="C4389" t="s">
        <v>256</v>
      </c>
      <c r="D4389" t="str">
        <f>VLOOKUP(C4389, '[2]VLOOKUP 함수용 카테고리'!$A$1:$B$59, 2, 0)</f>
        <v>RTC_MEAL</v>
      </c>
      <c r="E4389" t="s">
        <v>256</v>
      </c>
      <c r="F4389" t="s">
        <v>1387</v>
      </c>
    </row>
    <row r="4390" spans="1:6" x14ac:dyDescent="0.3">
      <c r="A4390" t="s">
        <v>6865</v>
      </c>
      <c r="B4390" t="str" cm="1">
        <f t="array" ref="B4390">_xlfn.XLOOKUP(C4390, INDEX([2]!카테고리매핑,,2), INDEX([2]!카테고리매핑,,1), "미등록 카테고리")</f>
        <v>간식류</v>
      </c>
      <c r="C4390" t="s">
        <v>63</v>
      </c>
      <c r="D4390" t="str">
        <f>VLOOKUP(C4390, '[2]VLOOKUP 함수용 카테고리'!$A$1:$B$59, 2, 0)</f>
        <v>BAKERY</v>
      </c>
      <c r="E4390" t="s">
        <v>496</v>
      </c>
      <c r="F4390" t="s">
        <v>497</v>
      </c>
    </row>
    <row r="4391" spans="1:6" x14ac:dyDescent="0.3">
      <c r="A4391" t="s">
        <v>6866</v>
      </c>
      <c r="B4391" t="str" cm="1">
        <f t="array" ref="B4391">_xlfn.XLOOKUP(C4391, INDEX([2]!카테고리매핑,,2), INDEX([2]!카테고리매핑,,1), "미등록 카테고리")</f>
        <v>육류/계란</v>
      </c>
      <c r="C4391" t="s">
        <v>149</v>
      </c>
      <c r="D4391" t="str">
        <f>VLOOKUP(C4391, '[2]VLOOKUP 함수용 카테고리'!$A$1:$B$59, 2, 0)</f>
        <v>RAW_MEAT</v>
      </c>
      <c r="E4391" t="s">
        <v>6628</v>
      </c>
      <c r="F4391" t="s">
        <v>726</v>
      </c>
    </row>
    <row r="4392" spans="1:6" x14ac:dyDescent="0.3">
      <c r="A4392" t="s">
        <v>6867</v>
      </c>
      <c r="B4392" t="str" cm="1">
        <f t="array" ref="B4392">_xlfn.XLOOKUP(C4392, INDEX([2]!카테고리매핑,,2), INDEX([2]!카테고리매핑,,1), "미등록 카테고리")</f>
        <v>음료</v>
      </c>
      <c r="C4392" t="s">
        <v>23</v>
      </c>
      <c r="D4392" t="str">
        <f>VLOOKUP(C4392, '[2]VLOOKUP 함수용 카테고리'!$A$1:$B$59, 2, 0)</f>
        <v>BEVERAGE</v>
      </c>
      <c r="E4392" t="s">
        <v>288</v>
      </c>
      <c r="F4392" t="s">
        <v>7697</v>
      </c>
    </row>
    <row r="4393" spans="1:6" x14ac:dyDescent="0.3">
      <c r="A4393" t="s">
        <v>6868</v>
      </c>
      <c r="B4393" t="str" cm="1">
        <f t="array" ref="B4393">_xlfn.XLOOKUP(C4393, INDEX([2]!카테고리매핑,,2), INDEX([2]!카테고리매핑,,1), "미등록 카테고리")</f>
        <v>채소/곡물류</v>
      </c>
      <c r="C4393" t="s">
        <v>7</v>
      </c>
      <c r="D4393" t="str">
        <f>VLOOKUP(C4393, '[2]VLOOKUP 함수용 카테고리'!$A$1:$B$59, 2, 0)</f>
        <v>RAW_PRODUCE</v>
      </c>
      <c r="E4393" t="s">
        <v>2189</v>
      </c>
    </row>
    <row r="4394" spans="1:6" x14ac:dyDescent="0.3">
      <c r="A4394" t="s">
        <v>6869</v>
      </c>
      <c r="B4394" t="str" cm="1">
        <f t="array" ref="B4394">_xlfn.XLOOKUP(C4394, INDEX([2]!카테고리매핑,,2), INDEX([2]!카테고리매핑,,1), "미등록 카테고리")</f>
        <v>채소/곡물류</v>
      </c>
      <c r="C4394" t="s">
        <v>7</v>
      </c>
      <c r="D4394" t="str">
        <f>VLOOKUP(C4394, '[2]VLOOKUP 함수용 카테고리'!$A$1:$B$59, 2, 0)</f>
        <v>RAW_PRODUCE</v>
      </c>
      <c r="E4394" t="s">
        <v>1913</v>
      </c>
    </row>
    <row r="4395" spans="1:6" x14ac:dyDescent="0.3">
      <c r="A4395" t="s">
        <v>6870</v>
      </c>
      <c r="B4395" t="str" cm="1">
        <f t="array" ref="B4395">_xlfn.XLOOKUP(C4395, INDEX([2]!카테고리매핑,,2), INDEX([2]!카테고리매핑,,1), "미등록 카테고리")</f>
        <v>채소/곡물류</v>
      </c>
      <c r="C4395" t="s">
        <v>7</v>
      </c>
      <c r="D4395" t="str">
        <f>VLOOKUP(C4395, '[2]VLOOKUP 함수용 카테고리'!$A$1:$B$59, 2, 0)</f>
        <v>RAW_PRODUCE</v>
      </c>
      <c r="E4395" t="s">
        <v>6871</v>
      </c>
    </row>
    <row r="4396" spans="1:6" x14ac:dyDescent="0.3">
      <c r="A4396" t="s">
        <v>6872</v>
      </c>
      <c r="B4396" t="str" cm="1">
        <f t="array" ref="B4396">_xlfn.XLOOKUP(C4396, INDEX([2]!카테고리매핑,,2), INDEX([2]!카테고리매핑,,1), "미등록 카테고리")</f>
        <v>육류/계란</v>
      </c>
      <c r="C4396" t="s">
        <v>870</v>
      </c>
      <c r="D4396" t="str">
        <f>VLOOKUP(C4396, '[2]VLOOKUP 함수용 카테고리'!$A$1:$B$59, 2, 0)</f>
        <v>RAW_MEAT</v>
      </c>
      <c r="E4396" t="s">
        <v>6594</v>
      </c>
      <c r="F4396" t="s">
        <v>7924</v>
      </c>
    </row>
    <row r="4397" spans="1:6" x14ac:dyDescent="0.3">
      <c r="A4397" t="s">
        <v>6873</v>
      </c>
      <c r="B4397" t="str" cm="1">
        <f t="array" ref="B4397">_xlfn.XLOOKUP(C4397, INDEX([2]!카테고리매핑,,2), INDEX([2]!카테고리매핑,,1), "미등록 카테고리")</f>
        <v>간편식</v>
      </c>
      <c r="C4397" t="s">
        <v>158</v>
      </c>
      <c r="D4397" t="str">
        <f>VLOOKUP(C4397, '[2]VLOOKUP 함수용 카테고리'!$A$1:$B$59, 2, 0)</f>
        <v>INSTANT</v>
      </c>
      <c r="E4397" t="s">
        <v>6874</v>
      </c>
      <c r="F4397" t="s">
        <v>129</v>
      </c>
    </row>
    <row r="4398" spans="1:6" x14ac:dyDescent="0.3">
      <c r="A4398" t="s">
        <v>6875</v>
      </c>
      <c r="B4398" t="str" cm="1">
        <f t="array" ref="B4398">_xlfn.XLOOKUP(C4398, INDEX([2]!카테고리매핑,,2), INDEX([2]!카테고리매핑,,1), "미등록 카테고리")</f>
        <v>간식류</v>
      </c>
      <c r="C4398" t="s">
        <v>11</v>
      </c>
      <c r="D4398" t="str">
        <f>VLOOKUP(C4398, '[2]VLOOKUP 함수용 카테고리'!$A$1:$B$59, 2, 0)</f>
        <v>SNACK</v>
      </c>
      <c r="E4398" t="s">
        <v>4269</v>
      </c>
      <c r="F4398" t="s">
        <v>7925</v>
      </c>
    </row>
    <row r="4399" spans="1:6" x14ac:dyDescent="0.3">
      <c r="A4399" t="s">
        <v>6876</v>
      </c>
      <c r="B4399" t="str" cm="1">
        <f t="array" ref="B4399">_xlfn.XLOOKUP(C4399, INDEX([2]!카테고리매핑,,2), INDEX([2]!카테고리매핑,,1), "미등록 카테고리")</f>
        <v>조미료</v>
      </c>
      <c r="C4399" t="s">
        <v>127</v>
      </c>
      <c r="D4399" t="str">
        <f>VLOOKUP(C4399, '[2]VLOOKUP 함수용 카테고리'!$A$1:$B$59, 2, 0)</f>
        <v>SAUCE_SEASONING</v>
      </c>
      <c r="E4399" t="s">
        <v>1941</v>
      </c>
      <c r="F4399" t="s">
        <v>182</v>
      </c>
    </row>
    <row r="4400" spans="1:6" x14ac:dyDescent="0.3">
      <c r="A4400" t="s">
        <v>6877</v>
      </c>
      <c r="B4400" t="str" cm="1">
        <f t="array" ref="B4400">_xlfn.XLOOKUP(C4400, INDEX([2]!카테고리매핑,,2), INDEX([2]!카테고리매핑,,1), "미등록 카테고리")</f>
        <v>상온식품</v>
      </c>
      <c r="C4400" t="s">
        <v>1104</v>
      </c>
      <c r="D4400" t="str">
        <f>VLOOKUP(C4400, '[2]VLOOKUP 함수용 카테고리'!$A$1:$B$59, 2, 0)</f>
        <v>CANNED</v>
      </c>
      <c r="E4400" t="s">
        <v>6878</v>
      </c>
      <c r="F4400" t="s">
        <v>246</v>
      </c>
    </row>
    <row r="4401" spans="1:6" x14ac:dyDescent="0.3">
      <c r="A4401" t="s">
        <v>6879</v>
      </c>
      <c r="B4401" t="str" cm="1">
        <f t="array" ref="B4401">_xlfn.XLOOKUP(C4401, INDEX([2]!카테고리매핑,,2), INDEX([2]!카테고리매핑,,1), "미등록 카테고리")</f>
        <v>과일/견과류</v>
      </c>
      <c r="C4401" t="s">
        <v>654</v>
      </c>
      <c r="D4401" t="str">
        <f>VLOOKUP(C4401, '[2]VLOOKUP 함수용 카테고리'!$A$1:$B$59, 2, 0)</f>
        <v>RAW_FRUIT</v>
      </c>
      <c r="E4401" t="s">
        <v>6880</v>
      </c>
      <c r="F4401" t="s">
        <v>6881</v>
      </c>
    </row>
    <row r="4402" spans="1:6" x14ac:dyDescent="0.3">
      <c r="A4402" t="s">
        <v>6882</v>
      </c>
      <c r="B4402" t="str" cm="1">
        <f t="array" ref="B4402">_xlfn.XLOOKUP(C4402, INDEX([2]!카테고리매핑,,2), INDEX([2]!카테고리매핑,,1), "미등록 카테고리")</f>
        <v>수산물</v>
      </c>
      <c r="C4402" t="s">
        <v>229</v>
      </c>
      <c r="D4402" t="str">
        <f>VLOOKUP(C4402, '[2]VLOOKUP 함수용 카테고리'!$A$1:$B$59, 2, 0)</f>
        <v>RAW_SEAFOOD</v>
      </c>
      <c r="E4402" t="s">
        <v>230</v>
      </c>
      <c r="F4402" t="s">
        <v>2252</v>
      </c>
    </row>
    <row r="4403" spans="1:6" x14ac:dyDescent="0.3">
      <c r="A4403" t="s">
        <v>6883</v>
      </c>
      <c r="B4403" t="str" cm="1">
        <f t="array" ref="B4403">_xlfn.XLOOKUP(C4403, INDEX([2]!카테고리매핑,,2), INDEX([2]!카테고리매핑,,1), "미등록 카테고리")</f>
        <v>술</v>
      </c>
      <c r="C4403" t="s">
        <v>42</v>
      </c>
      <c r="D4403" t="str">
        <f>VLOOKUP(C4403, '[2]VLOOKUP 함수용 카테고리'!$A$1:$B$59, 2, 0)</f>
        <v>ALCOHOL</v>
      </c>
      <c r="E4403" t="s">
        <v>43</v>
      </c>
      <c r="F4403" t="s">
        <v>7926</v>
      </c>
    </row>
    <row r="4404" spans="1:6" x14ac:dyDescent="0.3">
      <c r="A4404" t="s">
        <v>6884</v>
      </c>
      <c r="B4404" t="str" cm="1">
        <f t="array" ref="B4404">_xlfn.XLOOKUP(C4404, INDEX([2]!카테고리매핑,,2), INDEX([2]!카테고리매핑,,1), "미등록 카테고리")</f>
        <v>상온식품</v>
      </c>
      <c r="C4404" t="s">
        <v>769</v>
      </c>
      <c r="D4404" t="str">
        <f>VLOOKUP(C4404, '[2]VLOOKUP 함수용 카테고리'!$A$1:$B$59, 2, 0)</f>
        <v>GRAIN</v>
      </c>
      <c r="E4404" t="s">
        <v>770</v>
      </c>
      <c r="F4404" t="s">
        <v>1946</v>
      </c>
    </row>
    <row r="4405" spans="1:6" x14ac:dyDescent="0.3">
      <c r="A4405" t="s">
        <v>6885</v>
      </c>
      <c r="B4405" t="str" cm="1">
        <f t="array" ref="B4405">_xlfn.XLOOKUP(C4405, INDEX([2]!카테고리매핑,,2), INDEX([2]!카테고리매핑,,1), "미등록 카테고리")</f>
        <v>간식류</v>
      </c>
      <c r="C4405" t="s">
        <v>109</v>
      </c>
      <c r="D4405" t="str">
        <f>VLOOKUP(C4405, '[2]VLOOKUP 함수용 카테고리'!$A$1:$B$59, 2, 0)</f>
        <v>SNACK</v>
      </c>
      <c r="E4405" t="s">
        <v>631</v>
      </c>
      <c r="F4405" t="s">
        <v>6886</v>
      </c>
    </row>
    <row r="4406" spans="1:6" x14ac:dyDescent="0.3">
      <c r="A4406" t="s">
        <v>6887</v>
      </c>
      <c r="B4406" t="str" cm="1">
        <f t="array" ref="B4406">_xlfn.XLOOKUP(C4406, INDEX([2]!카테고리매핑,,2), INDEX([2]!카테고리매핑,,1), "미등록 카테고리")</f>
        <v>유제품</v>
      </c>
      <c r="C4406" t="s">
        <v>211</v>
      </c>
      <c r="D4406" t="str">
        <f>VLOOKUP(C4406, '[2]VLOOKUP 함수용 카테고리'!$A$1:$B$59, 2, 0)</f>
        <v>DAIRY</v>
      </c>
      <c r="E4406" t="s">
        <v>211</v>
      </c>
      <c r="F4406" t="s">
        <v>1714</v>
      </c>
    </row>
    <row r="4407" spans="1:6" x14ac:dyDescent="0.3">
      <c r="A4407" t="s">
        <v>6888</v>
      </c>
      <c r="B4407" t="str" cm="1">
        <f t="array" ref="B4407">_xlfn.XLOOKUP(C4407, INDEX([2]!카테고리매핑,,2), INDEX([2]!카테고리매핑,,1), "미등록 카테고리")</f>
        <v>유제품</v>
      </c>
      <c r="C4407" t="s">
        <v>98</v>
      </c>
      <c r="D4407" t="str">
        <f>VLOOKUP(C4407, '[2]VLOOKUP 함수용 카테고리'!$A$1:$B$59, 2, 0)</f>
        <v>DAIRY</v>
      </c>
      <c r="E4407" t="s">
        <v>3527</v>
      </c>
      <c r="F4407" t="s">
        <v>3911</v>
      </c>
    </row>
    <row r="4408" spans="1:6" x14ac:dyDescent="0.3">
      <c r="A4408" t="s">
        <v>6889</v>
      </c>
      <c r="B4408" t="str" cm="1">
        <f t="array" ref="B4408">_xlfn.XLOOKUP(C4408, INDEX([2]!카테고리매핑,,2), INDEX([2]!카테고리매핑,,1), "미등록 카테고리")</f>
        <v>수산물</v>
      </c>
      <c r="C4408" t="s">
        <v>140</v>
      </c>
      <c r="D4408" t="str">
        <f>VLOOKUP(C4408, '[2]VLOOKUP 함수용 카테고리'!$A$1:$B$59, 2, 0)</f>
        <v>SIMPLE_PROCESSED</v>
      </c>
      <c r="E4408" t="s">
        <v>6890</v>
      </c>
      <c r="F4408" t="s">
        <v>541</v>
      </c>
    </row>
    <row r="4409" spans="1:6" x14ac:dyDescent="0.3">
      <c r="A4409" t="s">
        <v>6891</v>
      </c>
      <c r="B4409" t="str" cm="1">
        <f t="array" ref="B4409">_xlfn.XLOOKUP(C4409, INDEX([2]!카테고리매핑,,2), INDEX([2]!카테고리매핑,,1), "미등록 카테고리")</f>
        <v>채소/곡물류</v>
      </c>
      <c r="C4409" t="s">
        <v>7</v>
      </c>
      <c r="D4409" t="str">
        <f>VLOOKUP(C4409, '[2]VLOOKUP 함수용 카테고리'!$A$1:$B$59, 2, 0)</f>
        <v>RAW_PRODUCE</v>
      </c>
      <c r="E4409" t="s">
        <v>2633</v>
      </c>
    </row>
    <row r="4410" spans="1:6" x14ac:dyDescent="0.3">
      <c r="A4410" t="s">
        <v>6892</v>
      </c>
      <c r="B4410" t="str" cm="1">
        <f t="array" ref="B4410">_xlfn.XLOOKUP(C4410, INDEX([2]!카테고리매핑,,2), INDEX([2]!카테고리매핑,,1), "미등록 카테고리")</f>
        <v>채소/곡물류</v>
      </c>
      <c r="C4410" t="s">
        <v>301</v>
      </c>
      <c r="D4410" t="str">
        <f>VLOOKUP(C4410, '[2]VLOOKUP 함수용 카테고리'!$A$1:$B$59, 2, 0)</f>
        <v>GRAIN</v>
      </c>
      <c r="E4410" t="s">
        <v>611</v>
      </c>
      <c r="F4410" t="s">
        <v>4184</v>
      </c>
    </row>
    <row r="4411" spans="1:6" x14ac:dyDescent="0.3">
      <c r="A4411" t="s">
        <v>6893</v>
      </c>
      <c r="B4411" t="str" cm="1">
        <f t="array" ref="B4411">_xlfn.XLOOKUP(C4411, INDEX([2]!카테고리매핑,,2), INDEX([2]!카테고리매핑,,1), "미등록 카테고리")</f>
        <v>육류/계란</v>
      </c>
      <c r="C4411" t="s">
        <v>298</v>
      </c>
      <c r="D4411" t="str">
        <f>VLOOKUP(C4411, '[2]VLOOKUP 함수용 카테고리'!$A$1:$B$59, 2, 0)</f>
        <v>RAW_MEAT</v>
      </c>
      <c r="E4411" t="s">
        <v>537</v>
      </c>
      <c r="F4411" t="s">
        <v>2487</v>
      </c>
    </row>
    <row r="4412" spans="1:6" x14ac:dyDescent="0.3">
      <c r="A4412" t="s">
        <v>6894</v>
      </c>
      <c r="B4412" t="str" cm="1">
        <f t="array" ref="B4412">_xlfn.XLOOKUP(C4412, INDEX([2]!카테고리매핑,,2), INDEX([2]!카테고리매핑,,1), "미등록 카테고리")</f>
        <v>간식류</v>
      </c>
      <c r="C4412" t="s">
        <v>38</v>
      </c>
      <c r="D4412" t="str">
        <f>VLOOKUP(C4412, '[2]VLOOKUP 함수용 카테고리'!$A$1:$B$59, 2, 0)</f>
        <v>SNACK</v>
      </c>
      <c r="E4412" t="s">
        <v>179</v>
      </c>
      <c r="F4412" t="s">
        <v>6895</v>
      </c>
    </row>
    <row r="4413" spans="1:6" x14ac:dyDescent="0.3">
      <c r="A4413" t="s">
        <v>6896</v>
      </c>
      <c r="B4413" t="str" cm="1">
        <f t="array" ref="B4413">_xlfn.XLOOKUP(C4413, INDEX([2]!카테고리매핑,,2), INDEX([2]!카테고리매핑,,1), "미등록 카테고리")</f>
        <v>유제품</v>
      </c>
      <c r="C4413" t="s">
        <v>98</v>
      </c>
      <c r="D4413" t="str">
        <f>VLOOKUP(C4413, '[2]VLOOKUP 함수용 카테고리'!$A$1:$B$59, 2, 0)</f>
        <v>DAIRY</v>
      </c>
      <c r="E4413" t="s">
        <v>98</v>
      </c>
      <c r="F4413" t="s">
        <v>391</v>
      </c>
    </row>
    <row r="4414" spans="1:6" x14ac:dyDescent="0.3">
      <c r="A4414" t="s">
        <v>6897</v>
      </c>
      <c r="B4414" t="str" cm="1">
        <f t="array" ref="B4414">_xlfn.XLOOKUP(C4414, INDEX([2]!카테고리매핑,,2), INDEX([2]!카테고리매핑,,1), "미등록 카테고리")</f>
        <v>육류/계란</v>
      </c>
      <c r="C4414" t="s">
        <v>105</v>
      </c>
      <c r="D4414" t="str">
        <f>VLOOKUP(C4414, '[2]VLOOKUP 함수용 카테고리'!$A$1:$B$59, 2, 0)</f>
        <v>RAW_MEAT</v>
      </c>
      <c r="E4414" t="s">
        <v>1031</v>
      </c>
      <c r="F4414" t="s">
        <v>1476</v>
      </c>
    </row>
    <row r="4415" spans="1:6" x14ac:dyDescent="0.3">
      <c r="A4415" t="s">
        <v>6898</v>
      </c>
      <c r="B4415" t="str" cm="1">
        <f t="array" ref="B4415">_xlfn.XLOOKUP(C4415, INDEX([2]!카테고리매핑,,2), INDEX([2]!카테고리매핑,,1), "미등록 카테고리")</f>
        <v>간편식</v>
      </c>
      <c r="C4415" t="s">
        <v>46</v>
      </c>
      <c r="D4415" t="str">
        <f>VLOOKUP(C4415, '[2]VLOOKUP 함수용 카테고리'!$A$1:$B$59, 2, 0)</f>
        <v>RTC_MEAL</v>
      </c>
      <c r="E4415" t="s">
        <v>46</v>
      </c>
      <c r="F4415" t="s">
        <v>6899</v>
      </c>
    </row>
    <row r="4416" spans="1:6" x14ac:dyDescent="0.3">
      <c r="A4416" t="s">
        <v>6900</v>
      </c>
      <c r="B4416" t="str" cm="1">
        <f t="array" ref="B4416">_xlfn.XLOOKUP(C4416, INDEX([2]!카테고리매핑,,2), INDEX([2]!카테고리매핑,,1), "미등록 카테고리")</f>
        <v>수산물</v>
      </c>
      <c r="C4416" t="s">
        <v>101</v>
      </c>
      <c r="D4416" t="str">
        <f>VLOOKUP(C4416, '[2]VLOOKUP 함수용 카테고리'!$A$1:$B$59, 2, 0)</f>
        <v>DRIED_SEAFOOD</v>
      </c>
      <c r="E4416" t="s">
        <v>2254</v>
      </c>
      <c r="F4416" t="s">
        <v>2255</v>
      </c>
    </row>
    <row r="4417" spans="1:6" x14ac:dyDescent="0.3">
      <c r="A4417" t="s">
        <v>6901</v>
      </c>
      <c r="B4417" t="str" cm="1">
        <f t="array" ref="B4417">_xlfn.XLOOKUP(C4417, INDEX([2]!카테고리매핑,,2), INDEX([2]!카테고리매핑,,1), "미등록 카테고리")</f>
        <v>수산물</v>
      </c>
      <c r="C4417" t="s">
        <v>140</v>
      </c>
      <c r="D4417" t="str">
        <f>VLOOKUP(C4417, '[2]VLOOKUP 함수용 카테고리'!$A$1:$B$59, 2, 0)</f>
        <v>SIMPLE_PROCESSED</v>
      </c>
      <c r="E4417" t="s">
        <v>1138</v>
      </c>
      <c r="F4417" t="s">
        <v>1772</v>
      </c>
    </row>
    <row r="4418" spans="1:6" x14ac:dyDescent="0.3">
      <c r="A4418" t="s">
        <v>6902</v>
      </c>
      <c r="B4418" t="str" cm="1">
        <f t="array" ref="B4418">_xlfn.XLOOKUP(C4418, INDEX([2]!카테고리매핑,,2), INDEX([2]!카테고리매핑,,1), "미등록 카테고리")</f>
        <v>간식류</v>
      </c>
      <c r="C4418" t="s">
        <v>38</v>
      </c>
      <c r="D4418" t="str">
        <f>VLOOKUP(C4418, '[2]VLOOKUP 함수용 카테고리'!$A$1:$B$59, 2, 0)</f>
        <v>SNACK</v>
      </c>
      <c r="E4418" t="s">
        <v>39</v>
      </c>
      <c r="F4418" t="s">
        <v>6903</v>
      </c>
    </row>
    <row r="4419" spans="1:6" x14ac:dyDescent="0.3">
      <c r="A4419" t="s">
        <v>6904</v>
      </c>
      <c r="B4419" t="str" cm="1">
        <f t="array" ref="B4419">_xlfn.XLOOKUP(C4419, INDEX([2]!카테고리매핑,,2), INDEX([2]!카테고리매핑,,1), "미등록 카테고리")</f>
        <v>조미료</v>
      </c>
      <c r="C4419" t="s">
        <v>83</v>
      </c>
      <c r="D4419" t="str">
        <f>VLOOKUP(C4419, '[2]VLOOKUP 함수용 카테고리'!$A$1:$B$59, 2, 0)</f>
        <v>SAUCE_SEASONING</v>
      </c>
      <c r="E4419" t="s">
        <v>6905</v>
      </c>
      <c r="F4419" t="s">
        <v>6906</v>
      </c>
    </row>
    <row r="4420" spans="1:6" x14ac:dyDescent="0.3">
      <c r="A4420" t="s">
        <v>6907</v>
      </c>
      <c r="B4420" t="str" cm="1">
        <f t="array" ref="B4420">_xlfn.XLOOKUP(C4420, INDEX([2]!카테고리매핑,,2), INDEX([2]!카테고리매핑,,1), "미등록 카테고리")</f>
        <v>간편식</v>
      </c>
      <c r="C4420" t="s">
        <v>46</v>
      </c>
      <c r="D4420" t="str">
        <f>VLOOKUP(C4420, '[2]VLOOKUP 함수용 카테고리'!$A$1:$B$59, 2, 0)</f>
        <v>RTC_MEAL</v>
      </c>
      <c r="E4420" t="s">
        <v>46</v>
      </c>
      <c r="F4420" t="s">
        <v>760</v>
      </c>
    </row>
    <row r="4421" spans="1:6" x14ac:dyDescent="0.3">
      <c r="A4421" t="s">
        <v>6908</v>
      </c>
      <c r="B4421" t="str" cm="1">
        <f t="array" ref="B4421">_xlfn.XLOOKUP(C4421, INDEX([2]!카테고리매핑,,2), INDEX([2]!카테고리매핑,,1), "미등록 카테고리")</f>
        <v>간편식</v>
      </c>
      <c r="C4421" t="s">
        <v>46</v>
      </c>
      <c r="D4421" t="str">
        <f>VLOOKUP(C4421, '[2]VLOOKUP 함수용 카테고리'!$A$1:$B$59, 2, 0)</f>
        <v>RTC_MEAL</v>
      </c>
      <c r="E4421" t="s">
        <v>46</v>
      </c>
      <c r="F4421" t="s">
        <v>391</v>
      </c>
    </row>
    <row r="4422" spans="1:6" x14ac:dyDescent="0.3">
      <c r="A4422" t="s">
        <v>6909</v>
      </c>
      <c r="B4422" t="str" cm="1">
        <f t="array" ref="B4422">_xlfn.XLOOKUP(C4422, INDEX([2]!카테고리매핑,,2), INDEX([2]!카테고리매핑,,1), "미등록 카테고리")</f>
        <v>채소/곡물류</v>
      </c>
      <c r="C4422" t="s">
        <v>7</v>
      </c>
      <c r="D4422" t="str">
        <f>VLOOKUP(C4422, '[2]VLOOKUP 함수용 카테고리'!$A$1:$B$59, 2, 0)</f>
        <v>RAW_PRODUCE</v>
      </c>
      <c r="E4422" t="s">
        <v>960</v>
      </c>
    </row>
    <row r="4423" spans="1:6" x14ac:dyDescent="0.3">
      <c r="A4423" t="s">
        <v>6910</v>
      </c>
      <c r="B4423" t="str" cm="1">
        <f t="array" ref="B4423">_xlfn.XLOOKUP(C4423, INDEX([2]!카테고리매핑,,2), INDEX([2]!카테고리매핑,,1), "미등록 카테고리")</f>
        <v>간식류</v>
      </c>
      <c r="C4423" t="s">
        <v>15</v>
      </c>
      <c r="D4423" t="str">
        <f>VLOOKUP(C4423, '[2]VLOOKUP 함수용 카테고리'!$A$1:$B$59, 2, 0)</f>
        <v>BAKERY</v>
      </c>
      <c r="E4423" t="s">
        <v>53</v>
      </c>
      <c r="F4423" t="s">
        <v>6911</v>
      </c>
    </row>
    <row r="4424" spans="1:6" x14ac:dyDescent="0.3">
      <c r="A4424" t="s">
        <v>6912</v>
      </c>
      <c r="B4424" t="str" cm="1">
        <f t="array" ref="B4424">_xlfn.XLOOKUP(C4424, INDEX([2]!카테고리매핑,,2), INDEX([2]!카테고리매핑,,1), "미등록 카테고리")</f>
        <v>채소/곡물류</v>
      </c>
      <c r="C4424" t="s">
        <v>7</v>
      </c>
      <c r="D4424" t="str">
        <f>VLOOKUP(C4424, '[2]VLOOKUP 함수용 카테고리'!$A$1:$B$59, 2, 0)</f>
        <v>RAW_PRODUCE</v>
      </c>
      <c r="E4424" t="s">
        <v>1927</v>
      </c>
      <c r="F4424" t="s">
        <v>7927</v>
      </c>
    </row>
    <row r="4425" spans="1:6" x14ac:dyDescent="0.3">
      <c r="A4425" t="s">
        <v>6913</v>
      </c>
      <c r="B4425" t="str" cm="1">
        <f t="array" ref="B4425">_xlfn.XLOOKUP(C4425, INDEX([2]!카테고리매핑,,2), INDEX([2]!카테고리매핑,,1), "미등록 카테고리")</f>
        <v>음료</v>
      </c>
      <c r="C4425" t="s">
        <v>23</v>
      </c>
      <c r="D4425" t="str">
        <f>VLOOKUP(C4425, '[2]VLOOKUP 함수용 카테고리'!$A$1:$B$59, 2, 0)</f>
        <v>BEVERAGE</v>
      </c>
      <c r="E4425" t="s">
        <v>355</v>
      </c>
      <c r="F4425" t="s">
        <v>1882</v>
      </c>
    </row>
    <row r="4426" spans="1:6" x14ac:dyDescent="0.3">
      <c r="A4426" t="s">
        <v>6914</v>
      </c>
      <c r="B4426" t="str" cm="1">
        <f t="array" ref="B4426">_xlfn.XLOOKUP(C4426, INDEX([2]!카테고리매핑,,2), INDEX([2]!카테고리매핑,,1), "미등록 카테고리")</f>
        <v>유제품</v>
      </c>
      <c r="C4426" t="s">
        <v>211</v>
      </c>
      <c r="D4426" t="str">
        <f>VLOOKUP(C4426, '[2]VLOOKUP 함수용 카테고리'!$A$1:$B$59, 2, 0)</f>
        <v>DAIRY</v>
      </c>
      <c r="E4426" t="s">
        <v>212</v>
      </c>
      <c r="F4426" t="s">
        <v>191</v>
      </c>
    </row>
    <row r="4427" spans="1:6" x14ac:dyDescent="0.3">
      <c r="A4427" t="s">
        <v>6915</v>
      </c>
      <c r="B4427" t="str" cm="1">
        <f t="array" ref="B4427">_xlfn.XLOOKUP(C4427, INDEX([2]!카테고리매핑,,2), INDEX([2]!카테고리매핑,,1), "미등록 카테고리")</f>
        <v>유제품</v>
      </c>
      <c r="C4427" t="s">
        <v>123</v>
      </c>
      <c r="D4427" t="str">
        <f>VLOOKUP(C4427, '[2]VLOOKUP 함수용 카테고리'!$A$1:$B$59, 2, 0)</f>
        <v>DAIRY</v>
      </c>
      <c r="E4427" t="s">
        <v>124</v>
      </c>
      <c r="F4427" t="s">
        <v>191</v>
      </c>
    </row>
    <row r="4428" spans="1:6" x14ac:dyDescent="0.3">
      <c r="A4428" t="s">
        <v>6916</v>
      </c>
      <c r="B4428" t="str" cm="1">
        <f t="array" ref="B4428">_xlfn.XLOOKUP(C4428, INDEX([2]!카테고리매핑,,2), INDEX([2]!카테고리매핑,,1), "미등록 카테고리")</f>
        <v>육류/계란</v>
      </c>
      <c r="C4428" t="s">
        <v>149</v>
      </c>
      <c r="D4428" t="str">
        <f>VLOOKUP(C4428, '[2]VLOOKUP 함수용 카테고리'!$A$1:$B$59, 2, 0)</f>
        <v>RAW_MEAT</v>
      </c>
      <c r="E4428" t="s">
        <v>573</v>
      </c>
      <c r="F4428" t="s">
        <v>853</v>
      </c>
    </row>
    <row r="4429" spans="1:6" x14ac:dyDescent="0.3">
      <c r="A4429" t="s">
        <v>6917</v>
      </c>
      <c r="B4429" t="str" cm="1">
        <f t="array" ref="B4429">_xlfn.XLOOKUP(C4429, INDEX([2]!카테고리매핑,,2), INDEX([2]!카테고리매핑,,1), "미등록 카테고리")</f>
        <v>과일/견과류</v>
      </c>
      <c r="C4429" t="s">
        <v>1179</v>
      </c>
      <c r="D4429" t="str">
        <f>VLOOKUP(C4429, '[2]VLOOKUP 함수용 카테고리'!$A$1:$B$59, 2, 0)</f>
        <v>RAW_FRUIT</v>
      </c>
      <c r="E4429" t="s">
        <v>5473</v>
      </c>
    </row>
    <row r="4430" spans="1:6" x14ac:dyDescent="0.3">
      <c r="A4430" t="s">
        <v>6918</v>
      </c>
      <c r="B4430" t="str" cm="1">
        <f t="array" ref="B4430">_xlfn.XLOOKUP(C4430, INDEX([2]!카테고리매핑,,2), INDEX([2]!카테고리매핑,,1), "미등록 카테고리")</f>
        <v>유제품</v>
      </c>
      <c r="C4430" t="s">
        <v>211</v>
      </c>
      <c r="D4430" t="str">
        <f>VLOOKUP(C4430, '[2]VLOOKUP 함수용 카테고리'!$A$1:$B$59, 2, 0)</f>
        <v>DAIRY</v>
      </c>
      <c r="E4430" t="s">
        <v>212</v>
      </c>
      <c r="F4430" t="s">
        <v>193</v>
      </c>
    </row>
    <row r="4431" spans="1:6" x14ac:dyDescent="0.3">
      <c r="A4431" t="s">
        <v>6919</v>
      </c>
      <c r="B4431" t="str" cm="1">
        <f t="array" ref="B4431">_xlfn.XLOOKUP(C4431, INDEX([2]!카테고리매핑,,2), INDEX([2]!카테고리매핑,,1), "미등록 카테고리")</f>
        <v>간식류</v>
      </c>
      <c r="C4431" t="s">
        <v>11</v>
      </c>
      <c r="D4431" t="str">
        <f>VLOOKUP(C4431, '[2]VLOOKUP 함수용 카테고리'!$A$1:$B$59, 2, 0)</f>
        <v>SNACK</v>
      </c>
      <c r="E4431" t="s">
        <v>371</v>
      </c>
      <c r="F4431" t="s">
        <v>6920</v>
      </c>
    </row>
    <row r="4432" spans="1:6" x14ac:dyDescent="0.3">
      <c r="A4432" t="s">
        <v>6921</v>
      </c>
      <c r="B4432" t="str" cm="1">
        <f t="array" ref="B4432">_xlfn.XLOOKUP(C4432, INDEX([2]!카테고리매핑,,2), INDEX([2]!카테고리매핑,,1), "미등록 카테고리")</f>
        <v>채소/곡물류</v>
      </c>
      <c r="C4432" t="s">
        <v>7</v>
      </c>
      <c r="D4432" t="str">
        <f>VLOOKUP(C4432, '[2]VLOOKUP 함수용 카테고리'!$A$1:$B$59, 2, 0)</f>
        <v>RAW_PRODUCE</v>
      </c>
      <c r="E4432" t="s">
        <v>716</v>
      </c>
    </row>
    <row r="4433" spans="1:6" x14ac:dyDescent="0.3">
      <c r="A4433" t="s">
        <v>6922</v>
      </c>
      <c r="B4433" t="str" cm="1">
        <f t="array" ref="B4433">_xlfn.XLOOKUP(C4433, INDEX([2]!카테고리매핑,,2), INDEX([2]!카테고리매핑,,1), "미등록 카테고리")</f>
        <v>유제품</v>
      </c>
      <c r="C4433" t="s">
        <v>123</v>
      </c>
      <c r="D4433" t="str">
        <f>VLOOKUP(C4433, '[2]VLOOKUP 함수용 카테고리'!$A$1:$B$59, 2, 0)</f>
        <v>DAIRY</v>
      </c>
      <c r="E4433" t="s">
        <v>239</v>
      </c>
      <c r="F4433" t="s">
        <v>240</v>
      </c>
    </row>
    <row r="4434" spans="1:6" x14ac:dyDescent="0.3">
      <c r="A4434" t="s">
        <v>6923</v>
      </c>
      <c r="B4434" t="str" cm="1">
        <f t="array" ref="B4434">_xlfn.XLOOKUP(C4434, INDEX([2]!카테고리매핑,,2), INDEX([2]!카테고리매핑,,1), "미등록 카테고리")</f>
        <v>간편식</v>
      </c>
      <c r="C4434" t="s">
        <v>46</v>
      </c>
      <c r="D4434" t="str">
        <f>VLOOKUP(C4434, '[2]VLOOKUP 함수용 카테고리'!$A$1:$B$59, 2, 0)</f>
        <v>RTC_MEAL</v>
      </c>
      <c r="E4434" t="s">
        <v>46</v>
      </c>
      <c r="F4434" t="s">
        <v>6924</v>
      </c>
    </row>
    <row r="4435" spans="1:6" x14ac:dyDescent="0.3">
      <c r="A4435" t="s">
        <v>6925</v>
      </c>
      <c r="B4435" t="str" cm="1">
        <f t="array" ref="B4435">_xlfn.XLOOKUP(C4435, INDEX([2]!카테고리매핑,,2), INDEX([2]!카테고리매핑,,1), "미등록 카테고리")</f>
        <v>과일/견과류</v>
      </c>
      <c r="C4435" t="s">
        <v>1179</v>
      </c>
      <c r="D4435" t="str">
        <f>VLOOKUP(C4435, '[2]VLOOKUP 함수용 카테고리'!$A$1:$B$59, 2, 0)</f>
        <v>RAW_FRUIT</v>
      </c>
      <c r="E4435" t="s">
        <v>1238</v>
      </c>
      <c r="F4435" t="s">
        <v>6926</v>
      </c>
    </row>
    <row r="4436" spans="1:6" x14ac:dyDescent="0.3">
      <c r="A4436" t="s">
        <v>6927</v>
      </c>
      <c r="B4436" t="str" cm="1">
        <f t="array" ref="B4436">_xlfn.XLOOKUP(C4436, INDEX([2]!카테고리매핑,,2), INDEX([2]!카테고리매핑,,1), "미등록 카테고리")</f>
        <v>수산물</v>
      </c>
      <c r="C4436" t="s">
        <v>263</v>
      </c>
      <c r="D4436" t="str">
        <f>VLOOKUP(C4436, '[2]VLOOKUP 함수용 카테고리'!$A$1:$B$59, 2, 0)</f>
        <v>RAW_SEAFOOD</v>
      </c>
      <c r="E4436" t="s">
        <v>264</v>
      </c>
      <c r="F4436" t="s">
        <v>215</v>
      </c>
    </row>
    <row r="4437" spans="1:6" x14ac:dyDescent="0.3">
      <c r="A4437" t="s">
        <v>6928</v>
      </c>
      <c r="B4437" t="str" cm="1">
        <f t="array" ref="B4437">_xlfn.XLOOKUP(C4437, INDEX([2]!카테고리매핑,,2), INDEX([2]!카테고리매핑,,1), "미등록 카테고리")</f>
        <v>조미료</v>
      </c>
      <c r="C4437" t="s">
        <v>84</v>
      </c>
      <c r="D4437" t="str">
        <f>VLOOKUP(C4437, '[2]VLOOKUP 함수용 카테고리'!$A$1:$B$59, 2, 0)</f>
        <v>SAUCE_SEASONING</v>
      </c>
      <c r="E4437" t="s">
        <v>90</v>
      </c>
      <c r="F4437" t="s">
        <v>6929</v>
      </c>
    </row>
    <row r="4438" spans="1:6" x14ac:dyDescent="0.3">
      <c r="A4438" t="s">
        <v>6930</v>
      </c>
      <c r="B4438" t="str" cm="1">
        <f t="array" ref="B4438">_xlfn.XLOOKUP(C4438, INDEX([2]!카테고리매핑,,2), INDEX([2]!카테고리매핑,,1), "미등록 카테고리")</f>
        <v>간식류</v>
      </c>
      <c r="C4438" t="s">
        <v>15</v>
      </c>
      <c r="D4438" t="str">
        <f>VLOOKUP(C4438, '[2]VLOOKUP 함수용 카테고리'!$A$1:$B$59, 2, 0)</f>
        <v>BAKERY</v>
      </c>
      <c r="E4438" t="s">
        <v>200</v>
      </c>
      <c r="F4438" t="s">
        <v>3966</v>
      </c>
    </row>
    <row r="4439" spans="1:6" x14ac:dyDescent="0.3">
      <c r="A4439" t="s">
        <v>6931</v>
      </c>
      <c r="B4439" t="str" cm="1">
        <f t="array" ref="B4439">_xlfn.XLOOKUP(C4439, INDEX([2]!카테고리매핑,,2), INDEX([2]!카테고리매핑,,1), "미등록 카테고리")</f>
        <v>채소/곡물류</v>
      </c>
      <c r="C4439" t="s">
        <v>301</v>
      </c>
      <c r="D4439" t="str">
        <f>VLOOKUP(C4439, '[2]VLOOKUP 함수용 카테고리'!$A$1:$B$59, 2, 0)</f>
        <v>GRAIN</v>
      </c>
      <c r="E4439" t="s">
        <v>2023</v>
      </c>
      <c r="F4439" t="s">
        <v>129</v>
      </c>
    </row>
    <row r="4440" spans="1:6" x14ac:dyDescent="0.3">
      <c r="A4440" t="s">
        <v>6932</v>
      </c>
      <c r="B4440" t="str" cm="1">
        <f t="array" ref="B4440">_xlfn.XLOOKUP(C4440, INDEX([2]!카테고리매핑,,2), INDEX([2]!카테고리매핑,,1), "미등록 카테고리")</f>
        <v>채소/곡물류</v>
      </c>
      <c r="C4440" t="s">
        <v>7</v>
      </c>
      <c r="D4440" t="str">
        <f>VLOOKUP(C4440, '[2]VLOOKUP 함수용 카테고리'!$A$1:$B$59, 2, 0)</f>
        <v>RAW_PRODUCE</v>
      </c>
      <c r="E4440" t="s">
        <v>2068</v>
      </c>
    </row>
    <row r="4441" spans="1:6" x14ac:dyDescent="0.3">
      <c r="A4441" t="s">
        <v>6933</v>
      </c>
      <c r="B4441" t="str" cm="1">
        <f t="array" ref="B4441">_xlfn.XLOOKUP(C4441, INDEX([2]!카테고리매핑,,2), INDEX([2]!카테고리매핑,,1), "미등록 카테고리")</f>
        <v>간편식</v>
      </c>
      <c r="C4441" t="s">
        <v>19</v>
      </c>
      <c r="D4441" t="str">
        <f>VLOOKUP(C4441, '[2]VLOOKUP 함수용 카테고리'!$A$1:$B$59, 2, 0)</f>
        <v>FROZEN_MEAL</v>
      </c>
      <c r="E4441" t="s">
        <v>6934</v>
      </c>
      <c r="F4441" t="s">
        <v>632</v>
      </c>
    </row>
    <row r="4442" spans="1:6" x14ac:dyDescent="0.3">
      <c r="A4442" t="s">
        <v>6935</v>
      </c>
      <c r="B4442" t="str" cm="1">
        <f t="array" ref="B4442">_xlfn.XLOOKUP(C4442, INDEX([2]!카테고리매핑,,2), INDEX([2]!카테고리매핑,,1), "미등록 카테고리")</f>
        <v>채소/곡물류</v>
      </c>
      <c r="C4442" t="s">
        <v>7</v>
      </c>
      <c r="D4442" t="str">
        <f>VLOOKUP(C4442, '[2]VLOOKUP 함수용 카테고리'!$A$1:$B$59, 2, 0)</f>
        <v>RAW_PRODUCE</v>
      </c>
      <c r="E4442" t="s">
        <v>6936</v>
      </c>
      <c r="F4442" t="s">
        <v>237</v>
      </c>
    </row>
    <row r="4443" spans="1:6" x14ac:dyDescent="0.3">
      <c r="A4443" t="s">
        <v>6937</v>
      </c>
      <c r="B4443" t="str" cm="1">
        <f t="array" ref="B4443">_xlfn.XLOOKUP(C4443, INDEX([2]!카테고리매핑,,2), INDEX([2]!카테고리매핑,,1), "미등록 카테고리")</f>
        <v>유제품</v>
      </c>
      <c r="C4443" t="s">
        <v>211</v>
      </c>
      <c r="D4443" t="str">
        <f>VLOOKUP(C4443, '[2]VLOOKUP 함수용 카테고리'!$A$1:$B$59, 2, 0)</f>
        <v>DAIRY</v>
      </c>
      <c r="E4443" t="s">
        <v>211</v>
      </c>
      <c r="F4443" t="s">
        <v>193</v>
      </c>
    </row>
    <row r="4444" spans="1:6" x14ac:dyDescent="0.3">
      <c r="A4444" t="s">
        <v>6938</v>
      </c>
      <c r="B4444" t="str" cm="1">
        <f t="array" ref="B4444">_xlfn.XLOOKUP(C4444, INDEX([2]!카테고리매핑,,2), INDEX([2]!카테고리매핑,,1), "미등록 카테고리")</f>
        <v>간편식</v>
      </c>
      <c r="C4444" t="s">
        <v>131</v>
      </c>
      <c r="D4444" t="str">
        <f>VLOOKUP(C4444, '[2]VLOOKUP 함수용 카테고리'!$A$1:$B$59, 2, 0)</f>
        <v>SIMPLE_PROCESSED</v>
      </c>
      <c r="E4444" t="s">
        <v>6939</v>
      </c>
      <c r="F4444" t="s">
        <v>1418</v>
      </c>
    </row>
    <row r="4445" spans="1:6" x14ac:dyDescent="0.3">
      <c r="A4445" t="s">
        <v>6940</v>
      </c>
      <c r="B4445" t="str" cm="1">
        <f t="array" ref="B4445">_xlfn.XLOOKUP(C4445, INDEX([2]!카테고리매핑,,2), INDEX([2]!카테고리매핑,,1), "미등록 카테고리")</f>
        <v>음료</v>
      </c>
      <c r="C4445" t="s">
        <v>23</v>
      </c>
      <c r="D4445" t="str">
        <f>VLOOKUP(C4445, '[2]VLOOKUP 함수용 카테고리'!$A$1:$B$59, 2, 0)</f>
        <v>BEVERAGE</v>
      </c>
      <c r="E4445" t="s">
        <v>1156</v>
      </c>
      <c r="F4445" t="s">
        <v>306</v>
      </c>
    </row>
    <row r="4446" spans="1:6" x14ac:dyDescent="0.3">
      <c r="A4446" t="s">
        <v>6941</v>
      </c>
      <c r="B4446" t="str" cm="1">
        <f t="array" ref="B4446">_xlfn.XLOOKUP(C4446, INDEX([2]!카테고리매핑,,2), INDEX([2]!카테고리매핑,,1), "미등록 카테고리")</f>
        <v>채소/곡물류</v>
      </c>
      <c r="C4446" t="s">
        <v>27</v>
      </c>
      <c r="D4446" t="str">
        <f>VLOOKUP(C4446, '[2]VLOOKUP 함수용 카테고리'!$A$1:$B$59, 2, 0)</f>
        <v>SIMPLE_PROCESSED</v>
      </c>
      <c r="E4446" t="s">
        <v>28</v>
      </c>
      <c r="F4446" t="s">
        <v>760</v>
      </c>
    </row>
    <row r="4447" spans="1:6" x14ac:dyDescent="0.3">
      <c r="A4447" t="s">
        <v>6942</v>
      </c>
      <c r="B4447" t="str" cm="1">
        <f t="array" ref="B4447">_xlfn.XLOOKUP(C4447, INDEX([2]!카테고리매핑,,2), INDEX([2]!카테고리매핑,,1), "미등록 카테고리")</f>
        <v>간편식</v>
      </c>
      <c r="C4447" t="s">
        <v>158</v>
      </c>
      <c r="D4447" t="str">
        <f>VLOOKUP(C4447, '[2]VLOOKUP 함수용 카테고리'!$A$1:$B$59, 2, 0)</f>
        <v>INSTANT</v>
      </c>
      <c r="E4447" t="s">
        <v>6943</v>
      </c>
      <c r="F4447" t="s">
        <v>7928</v>
      </c>
    </row>
    <row r="4448" spans="1:6" x14ac:dyDescent="0.3">
      <c r="A4448" t="s">
        <v>6944</v>
      </c>
      <c r="B4448" t="str" cm="1">
        <f t="array" ref="B4448">_xlfn.XLOOKUP(C4448, INDEX([2]!카테고리매핑,,2), INDEX([2]!카테고리매핑,,1), "미등록 카테고리")</f>
        <v>간편식</v>
      </c>
      <c r="C4448" t="s">
        <v>256</v>
      </c>
      <c r="D4448" t="str">
        <f>VLOOKUP(C4448, '[2]VLOOKUP 함수용 카테고리'!$A$1:$B$59, 2, 0)</f>
        <v>RTC_MEAL</v>
      </c>
      <c r="E4448" t="s">
        <v>256</v>
      </c>
      <c r="F4448" t="s">
        <v>3998</v>
      </c>
    </row>
    <row r="4449" spans="1:6" x14ac:dyDescent="0.3">
      <c r="A4449" t="s">
        <v>6945</v>
      </c>
      <c r="B4449" t="str" cm="1">
        <f t="array" ref="B4449">_xlfn.XLOOKUP(C4449, INDEX([2]!카테고리매핑,,2), INDEX([2]!카테고리매핑,,1), "미등록 카테고리")</f>
        <v>채소/곡물류</v>
      </c>
      <c r="C4449" t="s">
        <v>7</v>
      </c>
      <c r="D4449" t="str">
        <f>VLOOKUP(C4449, '[2]VLOOKUP 함수용 카테고리'!$A$1:$B$59, 2, 0)</f>
        <v>RAW_PRODUCE</v>
      </c>
      <c r="E4449" t="s">
        <v>2053</v>
      </c>
    </row>
    <row r="4450" spans="1:6" x14ac:dyDescent="0.3">
      <c r="A4450" t="s">
        <v>6946</v>
      </c>
      <c r="B4450" t="str" cm="1">
        <f t="array" ref="B4450">_xlfn.XLOOKUP(C4450, INDEX([2]!카테고리매핑,,2), INDEX([2]!카테고리매핑,,1), "미등록 카테고리")</f>
        <v>간편식</v>
      </c>
      <c r="C4450" t="s">
        <v>46</v>
      </c>
      <c r="D4450" t="str">
        <f>VLOOKUP(C4450, '[2]VLOOKUP 함수용 카테고리'!$A$1:$B$59, 2, 0)</f>
        <v>RTC_MEAL</v>
      </c>
      <c r="E4450" t="s">
        <v>46</v>
      </c>
      <c r="F4450" t="s">
        <v>6947</v>
      </c>
    </row>
    <row r="4451" spans="1:6" x14ac:dyDescent="0.3">
      <c r="A4451" t="s">
        <v>6948</v>
      </c>
      <c r="B4451" t="str" cm="1">
        <f t="array" ref="B4451">_xlfn.XLOOKUP(C4451, INDEX([2]!카테고리매핑,,2), INDEX([2]!카테고리매핑,,1), "미등록 카테고리")</f>
        <v>채소/곡물류</v>
      </c>
      <c r="C4451" t="s">
        <v>27</v>
      </c>
      <c r="D4451" t="str">
        <f>VLOOKUP(C4451, '[2]VLOOKUP 함수용 카테고리'!$A$1:$B$59, 2, 0)</f>
        <v>SIMPLE_PROCESSED</v>
      </c>
      <c r="E4451" t="s">
        <v>5560</v>
      </c>
      <c r="F4451" t="s">
        <v>156</v>
      </c>
    </row>
    <row r="4452" spans="1:6" x14ac:dyDescent="0.3">
      <c r="A4452" t="s">
        <v>6949</v>
      </c>
      <c r="B4452" t="str" cm="1">
        <f t="array" ref="B4452">_xlfn.XLOOKUP(C4452, INDEX([2]!카테고리매핑,,2), INDEX([2]!카테고리매핑,,1), "미등록 카테고리")</f>
        <v>채소/곡물류</v>
      </c>
      <c r="C4452" t="s">
        <v>7</v>
      </c>
      <c r="D4452" t="str">
        <f>VLOOKUP(C4452, '[2]VLOOKUP 함수용 카테고리'!$A$1:$B$59, 2, 0)</f>
        <v>RAW_PRODUCE</v>
      </c>
      <c r="E4452" t="s">
        <v>2665</v>
      </c>
    </row>
    <row r="4453" spans="1:6" x14ac:dyDescent="0.3">
      <c r="A4453" t="s">
        <v>6950</v>
      </c>
      <c r="B4453" t="str" cm="1">
        <f t="array" ref="B4453">_xlfn.XLOOKUP(C4453, INDEX([2]!카테고리매핑,,2), INDEX([2]!카테고리매핑,,1), "미등록 카테고리")</f>
        <v>간식류</v>
      </c>
      <c r="C4453" t="s">
        <v>11</v>
      </c>
      <c r="D4453" t="str">
        <f>VLOOKUP(C4453, '[2]VLOOKUP 함수용 카테고리'!$A$1:$B$59, 2, 0)</f>
        <v>SNACK</v>
      </c>
      <c r="E4453" t="s">
        <v>6951</v>
      </c>
      <c r="F4453" t="s">
        <v>6952</v>
      </c>
    </row>
    <row r="4454" spans="1:6" x14ac:dyDescent="0.3">
      <c r="A4454" t="s">
        <v>6953</v>
      </c>
      <c r="B4454" t="str" cm="1">
        <f t="array" ref="B4454">_xlfn.XLOOKUP(C4454, INDEX([2]!카테고리매핑,,2), INDEX([2]!카테고리매핑,,1), "미등록 카테고리")</f>
        <v>간편식</v>
      </c>
      <c r="C4454" t="s">
        <v>46</v>
      </c>
      <c r="D4454" t="str">
        <f>VLOOKUP(C4454, '[2]VLOOKUP 함수용 카테고리'!$A$1:$B$59, 2, 0)</f>
        <v>RTC_MEAL</v>
      </c>
      <c r="E4454" t="s">
        <v>46</v>
      </c>
      <c r="F4454" t="s">
        <v>6954</v>
      </c>
    </row>
    <row r="4455" spans="1:6" x14ac:dyDescent="0.3">
      <c r="A4455" t="s">
        <v>6955</v>
      </c>
      <c r="B4455" t="str" cm="1">
        <f t="array" ref="B4455">_xlfn.XLOOKUP(C4455, INDEX([2]!카테고리매핑,,2), INDEX([2]!카테고리매핑,,1), "미등록 카테고리")</f>
        <v>육류/계란</v>
      </c>
      <c r="C4455" t="s">
        <v>298</v>
      </c>
      <c r="D4455" t="str">
        <f>VLOOKUP(C4455, '[2]VLOOKUP 함수용 카테고리'!$A$1:$B$59, 2, 0)</f>
        <v>RAW_MEAT</v>
      </c>
      <c r="E4455" t="s">
        <v>751</v>
      </c>
      <c r="F4455" t="s">
        <v>156</v>
      </c>
    </row>
    <row r="4456" spans="1:6" x14ac:dyDescent="0.3">
      <c r="A4456" t="s">
        <v>6956</v>
      </c>
      <c r="B4456" t="str" cm="1">
        <f t="array" ref="B4456">_xlfn.XLOOKUP(C4456, INDEX([2]!카테고리매핑,,2), INDEX([2]!카테고리매핑,,1), "미등록 카테고리")</f>
        <v>채소/곡물류</v>
      </c>
      <c r="C4456" t="s">
        <v>7</v>
      </c>
      <c r="D4456" t="str">
        <f>VLOOKUP(C4456, '[2]VLOOKUP 함수용 카테고리'!$A$1:$B$59, 2, 0)</f>
        <v>RAW_PRODUCE</v>
      </c>
      <c r="E4456" t="s">
        <v>6957</v>
      </c>
      <c r="F4456" t="s">
        <v>941</v>
      </c>
    </row>
    <row r="4457" spans="1:6" x14ac:dyDescent="0.3">
      <c r="A4457" t="s">
        <v>6958</v>
      </c>
      <c r="B4457" t="str" cm="1">
        <f t="array" ref="B4457">_xlfn.XLOOKUP(C4457, INDEX([2]!카테고리매핑,,2), INDEX([2]!카테고리매핑,,1), "미등록 카테고리")</f>
        <v>유제품</v>
      </c>
      <c r="C4457" t="s">
        <v>123</v>
      </c>
      <c r="D4457" t="str">
        <f>VLOOKUP(C4457, '[2]VLOOKUP 함수용 카테고리'!$A$1:$B$59, 2, 0)</f>
        <v>DAIRY</v>
      </c>
      <c r="E4457" t="s">
        <v>949</v>
      </c>
      <c r="F4457" t="s">
        <v>5099</v>
      </c>
    </row>
    <row r="4458" spans="1:6" x14ac:dyDescent="0.3">
      <c r="A4458" t="s">
        <v>6959</v>
      </c>
      <c r="B4458" t="str" cm="1">
        <f t="array" ref="B4458">_xlfn.XLOOKUP(C4458, INDEX([2]!카테고리매핑,,2), INDEX([2]!카테고리매핑,,1), "미등록 카테고리")</f>
        <v>조미료</v>
      </c>
      <c r="C4458" t="s">
        <v>83</v>
      </c>
      <c r="D4458" t="str">
        <f>VLOOKUP(C4458, '[2]VLOOKUP 함수용 카테고리'!$A$1:$B$59, 2, 0)</f>
        <v>SAUCE_SEASONING</v>
      </c>
      <c r="E4458" t="s">
        <v>1918</v>
      </c>
      <c r="F4458" t="s">
        <v>182</v>
      </c>
    </row>
    <row r="4459" spans="1:6" x14ac:dyDescent="0.3">
      <c r="A4459" t="s">
        <v>6960</v>
      </c>
      <c r="B4459" t="str" cm="1">
        <f t="array" ref="B4459">_xlfn.XLOOKUP(C4459, INDEX([2]!카테고리매핑,,2), INDEX([2]!카테고리매핑,,1), "미등록 카테고리")</f>
        <v>채소/곡물류</v>
      </c>
      <c r="C4459" t="s">
        <v>7</v>
      </c>
      <c r="D4459" t="str">
        <f>VLOOKUP(C4459, '[2]VLOOKUP 함수용 카테고리'!$A$1:$B$59, 2, 0)</f>
        <v>RAW_PRODUCE</v>
      </c>
      <c r="E4459" t="s">
        <v>8</v>
      </c>
      <c r="F4459" t="s">
        <v>4414</v>
      </c>
    </row>
    <row r="4460" spans="1:6" x14ac:dyDescent="0.3">
      <c r="A4460" t="s">
        <v>6961</v>
      </c>
      <c r="B4460" t="str" cm="1">
        <f t="array" ref="B4460">_xlfn.XLOOKUP(C4460, INDEX([2]!카테고리매핑,,2), INDEX([2]!카테고리매핑,,1), "미등록 카테고리")</f>
        <v>유제품</v>
      </c>
      <c r="C4460" t="s">
        <v>211</v>
      </c>
      <c r="D4460" t="str">
        <f>VLOOKUP(C4460, '[2]VLOOKUP 함수용 카테고리'!$A$1:$B$59, 2, 0)</f>
        <v>DAIRY</v>
      </c>
      <c r="E4460" t="s">
        <v>212</v>
      </c>
      <c r="F4460" t="s">
        <v>543</v>
      </c>
    </row>
    <row r="4461" spans="1:6" x14ac:dyDescent="0.3">
      <c r="A4461" t="s">
        <v>6962</v>
      </c>
      <c r="B4461" t="str" cm="1">
        <f t="array" ref="B4461">_xlfn.XLOOKUP(C4461, INDEX([2]!카테고리매핑,,2), INDEX([2]!카테고리매핑,,1), "미등록 카테고리")</f>
        <v>육류/계란</v>
      </c>
      <c r="C4461" t="s">
        <v>428</v>
      </c>
      <c r="D4461" t="str">
        <f>VLOOKUP(C4461, '[2]VLOOKUP 함수용 카테고리'!$A$1:$B$59, 2, 0)</f>
        <v>PROCESSED_MEAT</v>
      </c>
      <c r="E4461" t="s">
        <v>790</v>
      </c>
      <c r="F4461" t="s">
        <v>1141</v>
      </c>
    </row>
    <row r="4462" spans="1:6" x14ac:dyDescent="0.3">
      <c r="A4462" t="s">
        <v>6963</v>
      </c>
      <c r="B4462" t="str" cm="1">
        <f t="array" ref="B4462">_xlfn.XLOOKUP(C4462, INDEX([2]!카테고리매핑,,2), INDEX([2]!카테고리매핑,,1), "미등록 카테고리")</f>
        <v>간식류</v>
      </c>
      <c r="C4462" t="s">
        <v>11</v>
      </c>
      <c r="D4462" t="str">
        <f>VLOOKUP(C4462, '[2]VLOOKUP 함수용 카테고리'!$A$1:$B$59, 2, 0)</f>
        <v>SNACK</v>
      </c>
      <c r="E4462" t="s">
        <v>6964</v>
      </c>
      <c r="F4462" t="s">
        <v>2115</v>
      </c>
    </row>
    <row r="4463" spans="1:6" x14ac:dyDescent="0.3">
      <c r="A4463" t="s">
        <v>6965</v>
      </c>
      <c r="B4463" t="str" cm="1">
        <f t="array" ref="B4463">_xlfn.XLOOKUP(C4463, INDEX([2]!카테고리매핑,,2), INDEX([2]!카테고리매핑,,1), "미등록 카테고리")</f>
        <v>간식류</v>
      </c>
      <c r="C4463" t="s">
        <v>11</v>
      </c>
      <c r="D4463" t="str">
        <f>VLOOKUP(C4463, '[2]VLOOKUP 함수용 카테고리'!$A$1:$B$59, 2, 0)</f>
        <v>SNACK</v>
      </c>
      <c r="E4463" t="s">
        <v>6966</v>
      </c>
      <c r="F4463" t="s">
        <v>198</v>
      </c>
    </row>
    <row r="4464" spans="1:6" x14ac:dyDescent="0.3">
      <c r="A4464" t="s">
        <v>6967</v>
      </c>
      <c r="B4464" t="str" cm="1">
        <f t="array" ref="B4464">_xlfn.XLOOKUP(C4464, INDEX([2]!카테고리매핑,,2), INDEX([2]!카테고리매핑,,1), "미등록 카테고리")</f>
        <v>과일/견과류</v>
      </c>
      <c r="C4464" t="s">
        <v>1179</v>
      </c>
      <c r="D4464" t="str">
        <f>VLOOKUP(C4464, '[2]VLOOKUP 함수용 카테고리'!$A$1:$B$59, 2, 0)</f>
        <v>RAW_FRUIT</v>
      </c>
      <c r="E4464" t="s">
        <v>1238</v>
      </c>
      <c r="F4464" t="s">
        <v>6968</v>
      </c>
    </row>
    <row r="4465" spans="1:6" x14ac:dyDescent="0.3">
      <c r="A4465" t="s">
        <v>6969</v>
      </c>
      <c r="B4465" t="str" cm="1">
        <f t="array" ref="B4465">_xlfn.XLOOKUP(C4465, INDEX([2]!카테고리매핑,,2), INDEX([2]!카테고리매핑,,1), "미등록 카테고리")</f>
        <v>음료</v>
      </c>
      <c r="C4465" t="s">
        <v>242</v>
      </c>
      <c r="D4465" t="str">
        <f>VLOOKUP(C4465, '[2]VLOOKUP 함수용 카테고리'!$A$1:$B$59, 2, 0)</f>
        <v>BEVERAGE</v>
      </c>
      <c r="E4465" t="s">
        <v>7655</v>
      </c>
      <c r="F4465" t="s">
        <v>6970</v>
      </c>
    </row>
    <row r="4466" spans="1:6" x14ac:dyDescent="0.3">
      <c r="A4466" t="s">
        <v>6971</v>
      </c>
      <c r="B4466" t="str" cm="1">
        <f t="array" ref="B4466">_xlfn.XLOOKUP(C4466, INDEX([2]!카테고리매핑,,2), INDEX([2]!카테고리매핑,,1), "미등록 카테고리")</f>
        <v>간식류</v>
      </c>
      <c r="C4466" t="s">
        <v>11</v>
      </c>
      <c r="D4466" t="str">
        <f>VLOOKUP(C4466, '[2]VLOOKUP 함수용 카테고리'!$A$1:$B$59, 2, 0)</f>
        <v>SNACK</v>
      </c>
      <c r="E4466" t="s">
        <v>371</v>
      </c>
      <c r="F4466" t="s">
        <v>7929</v>
      </c>
    </row>
    <row r="4467" spans="1:6" x14ac:dyDescent="0.3">
      <c r="A4467" t="s">
        <v>6972</v>
      </c>
      <c r="B4467" t="str" cm="1">
        <f t="array" ref="B4467">_xlfn.XLOOKUP(C4467, INDEX([2]!카테고리매핑,,2), INDEX([2]!카테고리매핑,,1), "미등록 카테고리")</f>
        <v>수산물</v>
      </c>
      <c r="C4467" t="s">
        <v>101</v>
      </c>
      <c r="D4467" t="str">
        <f>VLOOKUP(C4467, '[2]VLOOKUP 함수용 카테고리'!$A$1:$B$59, 2, 0)</f>
        <v>DRIED_SEAFOOD</v>
      </c>
      <c r="E4467" t="s">
        <v>665</v>
      </c>
      <c r="F4467" t="s">
        <v>666</v>
      </c>
    </row>
    <row r="4468" spans="1:6" x14ac:dyDescent="0.3">
      <c r="A4468" t="s">
        <v>6973</v>
      </c>
      <c r="B4468" t="str" cm="1">
        <f t="array" ref="B4468">_xlfn.XLOOKUP(C4468, INDEX([2]!카테고리매핑,,2), INDEX([2]!카테고리매핑,,1), "미등록 카테고리")</f>
        <v>음료</v>
      </c>
      <c r="C4468" t="s">
        <v>23</v>
      </c>
      <c r="D4468" t="str">
        <f>VLOOKUP(C4468, '[2]VLOOKUP 함수용 카테고리'!$A$1:$B$59, 2, 0)</f>
        <v>BEVERAGE</v>
      </c>
      <c r="E4468" t="s">
        <v>6974</v>
      </c>
      <c r="F4468" t="s">
        <v>2702</v>
      </c>
    </row>
    <row r="4469" spans="1:6" x14ac:dyDescent="0.3">
      <c r="A4469" t="s">
        <v>6975</v>
      </c>
      <c r="B4469" t="str" cm="1">
        <f t="array" ref="B4469">_xlfn.XLOOKUP(C4469, INDEX([2]!카테고리매핑,,2), INDEX([2]!카테고리매핑,,1), "미등록 카테고리")</f>
        <v>상온식품</v>
      </c>
      <c r="C4469" t="s">
        <v>276</v>
      </c>
      <c r="D4469" t="str">
        <f>VLOOKUP(C4469, '[2]VLOOKUP 함수용 카테고리'!$A$1:$B$59, 2, 0)</f>
        <v>DRIED_SEAFOOD</v>
      </c>
      <c r="E4469" t="s">
        <v>277</v>
      </c>
      <c r="F4469" t="s">
        <v>2474</v>
      </c>
    </row>
    <row r="4470" spans="1:6" x14ac:dyDescent="0.3">
      <c r="A4470" t="s">
        <v>6976</v>
      </c>
      <c r="B4470" t="str" cm="1">
        <f t="array" ref="B4470">_xlfn.XLOOKUP(C4470, INDEX([2]!카테고리매핑,,2), INDEX([2]!카테고리매핑,,1), "미등록 카테고리")</f>
        <v>간식류</v>
      </c>
      <c r="C4470" t="s">
        <v>63</v>
      </c>
      <c r="D4470" t="str">
        <f>VLOOKUP(C4470, '[2]VLOOKUP 함수용 카테고리'!$A$1:$B$59, 2, 0)</f>
        <v>BAKERY</v>
      </c>
      <c r="E4470" t="s">
        <v>496</v>
      </c>
      <c r="F4470" t="s">
        <v>6977</v>
      </c>
    </row>
    <row r="4471" spans="1:6" x14ac:dyDescent="0.3">
      <c r="A4471" t="s">
        <v>6978</v>
      </c>
      <c r="B4471" t="str" cm="1">
        <f t="array" ref="B4471">_xlfn.XLOOKUP(C4471, INDEX([2]!카테고리매핑,,2), INDEX([2]!카테고리매핑,,1), "미등록 카테고리")</f>
        <v>음료</v>
      </c>
      <c r="C4471" t="s">
        <v>242</v>
      </c>
      <c r="D4471" t="str">
        <f>VLOOKUP(C4471, '[2]VLOOKUP 함수용 카테고리'!$A$1:$B$59, 2, 0)</f>
        <v>BEVERAGE</v>
      </c>
      <c r="E4471" t="s">
        <v>6979</v>
      </c>
      <c r="F4471" t="s">
        <v>7930</v>
      </c>
    </row>
    <row r="4472" spans="1:6" x14ac:dyDescent="0.3">
      <c r="A4472" t="s">
        <v>6980</v>
      </c>
      <c r="B4472" t="str" cm="1">
        <f t="array" ref="B4472">_xlfn.XLOOKUP(C4472, INDEX([2]!카테고리매핑,,2), INDEX([2]!카테고리매핑,,1), "미등록 카테고리")</f>
        <v>육류/계란</v>
      </c>
      <c r="C4472" t="s">
        <v>149</v>
      </c>
      <c r="D4472" t="str">
        <f>VLOOKUP(C4472, '[2]VLOOKUP 함수용 카테고리'!$A$1:$B$59, 2, 0)</f>
        <v>RAW_MEAT</v>
      </c>
      <c r="E4472" t="s">
        <v>1630</v>
      </c>
      <c r="F4472" t="s">
        <v>72</v>
      </c>
    </row>
    <row r="4473" spans="1:6" x14ac:dyDescent="0.3">
      <c r="A4473" t="s">
        <v>6981</v>
      </c>
      <c r="B4473" t="str" cm="1">
        <f t="array" ref="B4473">_xlfn.XLOOKUP(C4473, INDEX([2]!카테고리매핑,,2), INDEX([2]!카테고리매핑,,1), "미등록 카테고리")</f>
        <v>상온식품</v>
      </c>
      <c r="C4473" t="s">
        <v>276</v>
      </c>
      <c r="D4473" t="str">
        <f>VLOOKUP(C4473, '[2]VLOOKUP 함수용 카테고리'!$A$1:$B$59, 2, 0)</f>
        <v>DRIED_SEAFOOD</v>
      </c>
      <c r="E4473" t="s">
        <v>277</v>
      </c>
      <c r="F4473" t="s">
        <v>7931</v>
      </c>
    </row>
    <row r="4474" spans="1:6" x14ac:dyDescent="0.3">
      <c r="A4474" t="s">
        <v>6982</v>
      </c>
      <c r="B4474" t="str" cm="1">
        <f t="array" ref="B4474">_xlfn.XLOOKUP(C4474, INDEX([2]!카테고리매핑,,2), INDEX([2]!카테고리매핑,,1), "미등록 카테고리")</f>
        <v>음료</v>
      </c>
      <c r="C4474" t="s">
        <v>23</v>
      </c>
      <c r="D4474" t="str">
        <f>VLOOKUP(C4474, '[2]VLOOKUP 함수용 카테고리'!$A$1:$B$59, 2, 0)</f>
        <v>BEVERAGE</v>
      </c>
      <c r="E4474" t="s">
        <v>74</v>
      </c>
      <c r="F4474" t="s">
        <v>7932</v>
      </c>
    </row>
    <row r="4475" spans="1:6" x14ac:dyDescent="0.3">
      <c r="A4475" t="s">
        <v>6983</v>
      </c>
      <c r="B4475" t="str" cm="1">
        <f t="array" ref="B4475">_xlfn.XLOOKUP(C4475, INDEX([2]!카테고리매핑,,2), INDEX([2]!카테고리매핑,,1), "미등록 카테고리")</f>
        <v>음료</v>
      </c>
      <c r="C4475" t="s">
        <v>23</v>
      </c>
      <c r="D4475" t="str">
        <f>VLOOKUP(C4475, '[2]VLOOKUP 함수용 카테고리'!$A$1:$B$59, 2, 0)</f>
        <v>BEVERAGE</v>
      </c>
      <c r="E4475" t="s">
        <v>24</v>
      </c>
      <c r="F4475" t="s">
        <v>5367</v>
      </c>
    </row>
    <row r="4476" spans="1:6" x14ac:dyDescent="0.3">
      <c r="A4476" t="s">
        <v>6984</v>
      </c>
      <c r="B4476" t="str" cm="1">
        <f t="array" ref="B4476">_xlfn.XLOOKUP(C4476, INDEX([2]!카테고리매핑,,2), INDEX([2]!카테고리매핑,,1), "미등록 카테고리")</f>
        <v>간편식</v>
      </c>
      <c r="C4476" t="s">
        <v>131</v>
      </c>
      <c r="D4476" t="str">
        <f>VLOOKUP(C4476, '[2]VLOOKUP 함수용 카테고리'!$A$1:$B$59, 2, 0)</f>
        <v>SIMPLE_PROCESSED</v>
      </c>
      <c r="E4476" t="s">
        <v>6985</v>
      </c>
      <c r="F4476" t="s">
        <v>237</v>
      </c>
    </row>
    <row r="4477" spans="1:6" x14ac:dyDescent="0.3">
      <c r="A4477" t="s">
        <v>6986</v>
      </c>
      <c r="B4477" t="str" cm="1">
        <f t="array" ref="B4477">_xlfn.XLOOKUP(C4477, INDEX([2]!카테고리매핑,,2), INDEX([2]!카테고리매핑,,1), "미등록 카테고리")</f>
        <v>채소/곡물류</v>
      </c>
      <c r="C4477" t="s">
        <v>301</v>
      </c>
      <c r="D4477" t="str">
        <f>VLOOKUP(C4477, '[2]VLOOKUP 함수용 카테고리'!$A$1:$B$59, 2, 0)</f>
        <v>GRAIN</v>
      </c>
      <c r="E4477" t="s">
        <v>611</v>
      </c>
      <c r="F4477" t="s">
        <v>303</v>
      </c>
    </row>
    <row r="4478" spans="1:6" x14ac:dyDescent="0.3">
      <c r="A4478" t="s">
        <v>6987</v>
      </c>
      <c r="B4478" t="str" cm="1">
        <f t="array" ref="B4478">_xlfn.XLOOKUP(C4478, INDEX([2]!카테고리매핑,,2), INDEX([2]!카테고리매핑,,1), "미등록 카테고리")</f>
        <v>간식류</v>
      </c>
      <c r="C4478" t="s">
        <v>11</v>
      </c>
      <c r="D4478" t="str">
        <f>VLOOKUP(C4478, '[2]VLOOKUP 함수용 카테고리'!$A$1:$B$59, 2, 0)</f>
        <v>SNACK</v>
      </c>
      <c r="E4478" t="s">
        <v>371</v>
      </c>
      <c r="F4478" t="s">
        <v>1332</v>
      </c>
    </row>
    <row r="4479" spans="1:6" x14ac:dyDescent="0.3">
      <c r="A4479" t="s">
        <v>4440</v>
      </c>
      <c r="B4479" t="str" cm="1">
        <f t="array" ref="B4479">_xlfn.XLOOKUP(C4479, INDEX([2]!카테고리매핑,,2), INDEX([2]!카테고리매핑,,1), "미등록 카테고리")</f>
        <v>조미료</v>
      </c>
      <c r="C4479" t="s">
        <v>127</v>
      </c>
      <c r="D4479" t="str">
        <f>VLOOKUP(C4479, '[2]VLOOKUP 함수용 카테고리'!$A$1:$B$59, 2, 0)</f>
        <v>SAUCE_SEASONING</v>
      </c>
      <c r="E4479" t="s">
        <v>6988</v>
      </c>
      <c r="F4479" t="s">
        <v>4442</v>
      </c>
    </row>
    <row r="4480" spans="1:6" x14ac:dyDescent="0.3">
      <c r="A4480" t="s">
        <v>6989</v>
      </c>
      <c r="B4480" t="str" cm="1">
        <f t="array" ref="B4480">_xlfn.XLOOKUP(C4480, INDEX([2]!카테고리매핑,,2), INDEX([2]!카테고리매핑,,1), "미등록 카테고리")</f>
        <v>술</v>
      </c>
      <c r="C4480" t="s">
        <v>42</v>
      </c>
      <c r="D4480" t="str">
        <f>VLOOKUP(C4480, '[2]VLOOKUP 함수용 카테고리'!$A$1:$B$59, 2, 0)</f>
        <v>ALCOHOL</v>
      </c>
      <c r="E4480" t="s">
        <v>347</v>
      </c>
      <c r="F4480" t="s">
        <v>7933</v>
      </c>
    </row>
    <row r="4481" spans="1:6" x14ac:dyDescent="0.3">
      <c r="A4481" t="s">
        <v>6990</v>
      </c>
      <c r="B4481" t="str" cm="1">
        <f t="array" ref="B4481">_xlfn.XLOOKUP(C4481, INDEX([2]!카테고리매핑,,2), INDEX([2]!카테고리매핑,,1), "미등록 카테고리")</f>
        <v>육류/계란</v>
      </c>
      <c r="C4481" t="s">
        <v>34</v>
      </c>
      <c r="D4481" t="str">
        <f>VLOOKUP(C4481, '[2]VLOOKUP 함수용 카테고리'!$A$1:$B$59, 2, 0)</f>
        <v>RAW_MEAT</v>
      </c>
      <c r="E4481" t="s">
        <v>35</v>
      </c>
      <c r="F4481" t="s">
        <v>6991</v>
      </c>
    </row>
    <row r="4482" spans="1:6" x14ac:dyDescent="0.3">
      <c r="A4482" t="s">
        <v>6992</v>
      </c>
      <c r="B4482" t="str" cm="1">
        <f t="array" ref="B4482">_xlfn.XLOOKUP(C4482, INDEX([2]!카테고리매핑,,2), INDEX([2]!카테고리매핑,,1), "미등록 카테고리")</f>
        <v>간식류</v>
      </c>
      <c r="C4482" t="s">
        <v>15</v>
      </c>
      <c r="D4482" t="str">
        <f>VLOOKUP(C4482, '[2]VLOOKUP 함수용 카테고리'!$A$1:$B$59, 2, 0)</f>
        <v>BAKERY</v>
      </c>
      <c r="E4482" t="s">
        <v>200</v>
      </c>
      <c r="F4482" t="s">
        <v>5431</v>
      </c>
    </row>
    <row r="4483" spans="1:6" x14ac:dyDescent="0.3">
      <c r="A4483" t="s">
        <v>6993</v>
      </c>
      <c r="B4483" t="str" cm="1">
        <f t="array" ref="B4483">_xlfn.XLOOKUP(C4483, INDEX([2]!카테고리매핑,,2), INDEX([2]!카테고리매핑,,1), "미등록 카테고리")</f>
        <v>간편식</v>
      </c>
      <c r="C4483" t="s">
        <v>131</v>
      </c>
      <c r="D4483" t="str">
        <f>VLOOKUP(C4483, '[2]VLOOKUP 함수용 카테고리'!$A$1:$B$59, 2, 0)</f>
        <v>SIMPLE_PROCESSED</v>
      </c>
      <c r="E4483" t="s">
        <v>6994</v>
      </c>
      <c r="F4483" t="s">
        <v>237</v>
      </c>
    </row>
    <row r="4484" spans="1:6" x14ac:dyDescent="0.3">
      <c r="A4484" t="s">
        <v>6995</v>
      </c>
      <c r="B4484" t="str" cm="1">
        <f t="array" ref="B4484">_xlfn.XLOOKUP(C4484, INDEX([2]!카테고리매핑,,2), INDEX([2]!카테고리매핑,,1), "미등록 카테고리")</f>
        <v>유제품</v>
      </c>
      <c r="C4484" t="s">
        <v>98</v>
      </c>
      <c r="D4484" t="str">
        <f>VLOOKUP(C4484, '[2]VLOOKUP 함수용 카테고리'!$A$1:$B$59, 2, 0)</f>
        <v>DAIRY</v>
      </c>
      <c r="E4484" t="s">
        <v>6996</v>
      </c>
      <c r="F4484" t="s">
        <v>2950</v>
      </c>
    </row>
    <row r="4485" spans="1:6" x14ac:dyDescent="0.3">
      <c r="A4485" t="s">
        <v>6997</v>
      </c>
      <c r="B4485" t="str" cm="1">
        <f t="array" ref="B4485">_xlfn.XLOOKUP(C4485, INDEX([2]!카테고리매핑,,2), INDEX([2]!카테고리매핑,,1), "미등록 카테고리")</f>
        <v>육류/계란</v>
      </c>
      <c r="C4485" t="s">
        <v>105</v>
      </c>
      <c r="D4485" t="str">
        <f>VLOOKUP(C4485, '[2]VLOOKUP 함수용 카테고리'!$A$1:$B$59, 2, 0)</f>
        <v>RAW_MEAT</v>
      </c>
      <c r="E4485" t="s">
        <v>2085</v>
      </c>
      <c r="F4485" t="s">
        <v>151</v>
      </c>
    </row>
    <row r="4486" spans="1:6" x14ac:dyDescent="0.3">
      <c r="A4486" t="s">
        <v>6998</v>
      </c>
      <c r="B4486" t="str" cm="1">
        <f t="array" ref="B4486">_xlfn.XLOOKUP(C4486, INDEX([2]!카테고리매핑,,2), INDEX([2]!카테고리매핑,,1), "미등록 카테고리")</f>
        <v>채소/곡물류</v>
      </c>
      <c r="C4486" t="s">
        <v>7</v>
      </c>
      <c r="D4486" t="str">
        <f>VLOOKUP(C4486, '[2]VLOOKUP 함수용 카테고리'!$A$1:$B$59, 2, 0)</f>
        <v>RAW_PRODUCE</v>
      </c>
      <c r="E4486" t="s">
        <v>1898</v>
      </c>
    </row>
    <row r="4487" spans="1:6" x14ac:dyDescent="0.3">
      <c r="A4487" t="s">
        <v>6999</v>
      </c>
      <c r="B4487" t="str" cm="1">
        <f t="array" ref="B4487">_xlfn.XLOOKUP(C4487, INDEX([2]!카테고리매핑,,2), INDEX([2]!카테고리매핑,,1), "미등록 카테고리")</f>
        <v>간식류</v>
      </c>
      <c r="C4487" t="s">
        <v>63</v>
      </c>
      <c r="D4487" t="str">
        <f>VLOOKUP(C4487, '[2]VLOOKUP 함수용 카테고리'!$A$1:$B$59, 2, 0)</f>
        <v>BAKERY</v>
      </c>
      <c r="E4487" t="s">
        <v>1594</v>
      </c>
      <c r="F4487" t="s">
        <v>3487</v>
      </c>
    </row>
    <row r="4488" spans="1:6" x14ac:dyDescent="0.3">
      <c r="A4488" t="s">
        <v>7000</v>
      </c>
      <c r="B4488" t="str" cm="1">
        <f t="array" ref="B4488">_xlfn.XLOOKUP(C4488, INDEX([2]!카테고리매핑,,2), INDEX([2]!카테고리매핑,,1), "미등록 카테고리")</f>
        <v>간식류</v>
      </c>
      <c r="C4488" t="s">
        <v>63</v>
      </c>
      <c r="D4488" t="str">
        <f>VLOOKUP(C4488, '[2]VLOOKUP 함수용 카테고리'!$A$1:$B$59, 2, 0)</f>
        <v>BAKERY</v>
      </c>
      <c r="E4488" t="s">
        <v>496</v>
      </c>
      <c r="F4488" t="s">
        <v>1765</v>
      </c>
    </row>
    <row r="4489" spans="1:6" x14ac:dyDescent="0.3">
      <c r="A4489" t="s">
        <v>7001</v>
      </c>
      <c r="B4489" t="str" cm="1">
        <f t="array" ref="B4489">_xlfn.XLOOKUP(C4489, INDEX([2]!카테고리매핑,,2), INDEX([2]!카테고리매핑,,1), "미등록 카테고리")</f>
        <v>수산물</v>
      </c>
      <c r="C4489" t="s">
        <v>263</v>
      </c>
      <c r="D4489" t="str">
        <f>VLOOKUP(C4489, '[2]VLOOKUP 함수용 카테고리'!$A$1:$B$59, 2, 0)</f>
        <v>RAW_SEAFOOD</v>
      </c>
      <c r="E4489" t="s">
        <v>264</v>
      </c>
      <c r="F4489" t="s">
        <v>151</v>
      </c>
    </row>
    <row r="4490" spans="1:6" x14ac:dyDescent="0.3">
      <c r="A4490" t="s">
        <v>7002</v>
      </c>
      <c r="B4490" t="str" cm="1">
        <f t="array" ref="B4490">_xlfn.XLOOKUP(C4490, INDEX([2]!카테고리매핑,,2), INDEX([2]!카테고리매핑,,1), "미등록 카테고리")</f>
        <v>간편식</v>
      </c>
      <c r="C4490" t="s">
        <v>158</v>
      </c>
      <c r="D4490" t="str">
        <f>VLOOKUP(C4490, '[2]VLOOKUP 함수용 카테고리'!$A$1:$B$59, 2, 0)</f>
        <v>INSTANT</v>
      </c>
      <c r="E4490" t="s">
        <v>7003</v>
      </c>
      <c r="F4490" t="s">
        <v>156</v>
      </c>
    </row>
    <row r="4491" spans="1:6" x14ac:dyDescent="0.3">
      <c r="A4491" t="s">
        <v>7004</v>
      </c>
      <c r="B4491" t="str" cm="1">
        <f t="array" ref="B4491">_xlfn.XLOOKUP(C4491, INDEX([2]!카테고리매핑,,2), INDEX([2]!카테고리매핑,,1), "미등록 카테고리")</f>
        <v>유제품</v>
      </c>
      <c r="C4491" t="s">
        <v>123</v>
      </c>
      <c r="D4491" t="str">
        <f>VLOOKUP(C4491, '[2]VLOOKUP 함수용 카테고리'!$A$1:$B$59, 2, 0)</f>
        <v>DAIRY</v>
      </c>
      <c r="E4491" t="s">
        <v>190</v>
      </c>
      <c r="F4491" t="s">
        <v>623</v>
      </c>
    </row>
    <row r="4492" spans="1:6" x14ac:dyDescent="0.3">
      <c r="A4492" t="s">
        <v>7005</v>
      </c>
      <c r="B4492" t="str" cm="1">
        <f t="array" ref="B4492">_xlfn.XLOOKUP(C4492, INDEX([2]!카테고리매핑,,2), INDEX([2]!카테고리매핑,,1), "미등록 카테고리")</f>
        <v>음료</v>
      </c>
      <c r="C4492" t="s">
        <v>23</v>
      </c>
      <c r="D4492" t="str">
        <f>VLOOKUP(C4492, '[2]VLOOKUP 함수용 카테고리'!$A$1:$B$59, 2, 0)</f>
        <v>BEVERAGE</v>
      </c>
      <c r="E4492" t="s">
        <v>1156</v>
      </c>
      <c r="F4492" t="s">
        <v>7006</v>
      </c>
    </row>
    <row r="4493" spans="1:6" x14ac:dyDescent="0.3">
      <c r="A4493" t="s">
        <v>7007</v>
      </c>
      <c r="B4493" t="str" cm="1">
        <f t="array" ref="B4493">_xlfn.XLOOKUP(C4493, INDEX([2]!카테고리매핑,,2), INDEX([2]!카테고리매핑,,1), "미등록 카테고리")</f>
        <v>음료</v>
      </c>
      <c r="C4493" t="s">
        <v>708</v>
      </c>
      <c r="D4493" t="str">
        <f>VLOOKUP(C4493, '[2]VLOOKUP 함수용 카테고리'!$A$1:$B$59, 2, 0)</f>
        <v>BEVERAGE</v>
      </c>
      <c r="E4493" t="s">
        <v>708</v>
      </c>
      <c r="F4493" t="s">
        <v>7740</v>
      </c>
    </row>
    <row r="4494" spans="1:6" x14ac:dyDescent="0.3">
      <c r="A4494" t="s">
        <v>7008</v>
      </c>
      <c r="B4494" t="str" cm="1">
        <f t="array" ref="B4494">_xlfn.XLOOKUP(C4494, INDEX([2]!카테고리매핑,,2), INDEX([2]!카테고리매핑,,1), "미등록 카테고리")</f>
        <v>조미료</v>
      </c>
      <c r="C4494" t="s">
        <v>127</v>
      </c>
      <c r="D4494" t="str">
        <f>VLOOKUP(C4494, '[2]VLOOKUP 함수용 카테고리'!$A$1:$B$59, 2, 0)</f>
        <v>SAUCE_SEASONING</v>
      </c>
      <c r="E4494" t="s">
        <v>248</v>
      </c>
      <c r="F4494" t="s">
        <v>4790</v>
      </c>
    </row>
    <row r="4495" spans="1:6" x14ac:dyDescent="0.3">
      <c r="A4495" t="s">
        <v>7009</v>
      </c>
      <c r="B4495" t="str" cm="1">
        <f t="array" ref="B4495">_xlfn.XLOOKUP(C4495, INDEX([2]!카테고리매핑,,2), INDEX([2]!카테고리매핑,,1), "미등록 카테고리")</f>
        <v>채소/곡물류</v>
      </c>
      <c r="C4495" t="s">
        <v>7</v>
      </c>
      <c r="D4495" t="str">
        <f>VLOOKUP(C4495, '[2]VLOOKUP 함수용 카테고리'!$A$1:$B$59, 2, 0)</f>
        <v>RAW_PRODUCE</v>
      </c>
      <c r="E4495" t="s">
        <v>5281</v>
      </c>
      <c r="F4495" t="s">
        <v>151</v>
      </c>
    </row>
    <row r="4496" spans="1:6" x14ac:dyDescent="0.3">
      <c r="A4496" t="s">
        <v>7010</v>
      </c>
      <c r="B4496" t="str" cm="1">
        <f t="array" ref="B4496">_xlfn.XLOOKUP(C4496, INDEX([2]!카테고리매핑,,2), INDEX([2]!카테고리매핑,,1), "미등록 카테고리")</f>
        <v>육류/계란</v>
      </c>
      <c r="C4496" t="s">
        <v>298</v>
      </c>
      <c r="D4496" t="str">
        <f>VLOOKUP(C4496, '[2]VLOOKUP 함수용 카테고리'!$A$1:$B$59, 2, 0)</f>
        <v>RAW_MEAT</v>
      </c>
      <c r="E4496" t="s">
        <v>298</v>
      </c>
      <c r="F4496" t="s">
        <v>541</v>
      </c>
    </row>
    <row r="4497" spans="1:6" x14ac:dyDescent="0.3">
      <c r="A4497" t="s">
        <v>7011</v>
      </c>
      <c r="B4497" t="str" cm="1">
        <f t="array" ref="B4497">_xlfn.XLOOKUP(C4497, INDEX([2]!카테고리매핑,,2), INDEX([2]!카테고리매핑,,1), "미등록 카테고리")</f>
        <v>조미료</v>
      </c>
      <c r="C4497" t="s">
        <v>127</v>
      </c>
      <c r="D4497" t="str">
        <f>VLOOKUP(C4497, '[2]VLOOKUP 함수용 카테고리'!$A$1:$B$59, 2, 0)</f>
        <v>SAUCE_SEASONING</v>
      </c>
      <c r="E4497" t="s">
        <v>4529</v>
      </c>
      <c r="F4497" t="s">
        <v>1154</v>
      </c>
    </row>
    <row r="4498" spans="1:6" x14ac:dyDescent="0.3">
      <c r="A4498" t="s">
        <v>7012</v>
      </c>
      <c r="B4498" t="str" cm="1">
        <f t="array" ref="B4498">_xlfn.XLOOKUP(C4498, INDEX([2]!카테고리매핑,,2), INDEX([2]!카테고리매핑,,1), "미등록 카테고리")</f>
        <v>조미료</v>
      </c>
      <c r="C4498" t="s">
        <v>127</v>
      </c>
      <c r="D4498" t="str">
        <f>VLOOKUP(C4498, '[2]VLOOKUP 함수용 카테고리'!$A$1:$B$59, 2, 0)</f>
        <v>SAUCE_SEASONING</v>
      </c>
      <c r="E4498" t="s">
        <v>1441</v>
      </c>
      <c r="F4498" t="s">
        <v>7934</v>
      </c>
    </row>
    <row r="4499" spans="1:6" x14ac:dyDescent="0.3">
      <c r="A4499" t="s">
        <v>7013</v>
      </c>
      <c r="B4499" t="str" cm="1">
        <f t="array" ref="B4499">_xlfn.XLOOKUP(C4499, INDEX([2]!카테고리매핑,,2), INDEX([2]!카테고리매핑,,1), "미등록 카테고리")</f>
        <v>수산물</v>
      </c>
      <c r="C4499" t="s">
        <v>203</v>
      </c>
      <c r="D4499" t="str">
        <f>VLOOKUP(C4499, '[2]VLOOKUP 함수용 카테고리'!$A$1:$B$59, 2, 0)</f>
        <v>RAW_SEAFOOD</v>
      </c>
      <c r="E4499" t="s">
        <v>2043</v>
      </c>
    </row>
    <row r="4500" spans="1:6" x14ac:dyDescent="0.3">
      <c r="A4500" t="s">
        <v>7014</v>
      </c>
      <c r="B4500" t="str" cm="1">
        <f t="array" ref="B4500">_xlfn.XLOOKUP(C4500, INDEX([2]!카테고리매핑,,2), INDEX([2]!카테고리매핑,,1), "미등록 카테고리")</f>
        <v>음료</v>
      </c>
      <c r="C4500" t="s">
        <v>23</v>
      </c>
      <c r="D4500" t="str">
        <f>VLOOKUP(C4500, '[2]VLOOKUP 함수용 카테고리'!$A$1:$B$59, 2, 0)</f>
        <v>BEVERAGE</v>
      </c>
      <c r="E4500" t="s">
        <v>778</v>
      </c>
      <c r="F4500" t="s">
        <v>7935</v>
      </c>
    </row>
    <row r="4501" spans="1:6" x14ac:dyDescent="0.3">
      <c r="A4501" t="s">
        <v>7015</v>
      </c>
      <c r="B4501" t="str" cm="1">
        <f t="array" ref="B4501">_xlfn.XLOOKUP(C4501, INDEX([2]!카테고리매핑,,2), INDEX([2]!카테고리매핑,,1), "미등록 카테고리")</f>
        <v>수산물</v>
      </c>
      <c r="C4501" t="s">
        <v>183</v>
      </c>
      <c r="D4501" t="str">
        <f>VLOOKUP(C4501, '[2]VLOOKUP 함수용 카테고리'!$A$1:$B$59, 2, 0)</f>
        <v>DRIED_SEAFOOD</v>
      </c>
      <c r="E4501" t="s">
        <v>466</v>
      </c>
      <c r="F4501" t="s">
        <v>3735</v>
      </c>
    </row>
    <row r="4502" spans="1:6" x14ac:dyDescent="0.3">
      <c r="A4502" t="s">
        <v>7016</v>
      </c>
      <c r="B4502" t="str" cm="1">
        <f t="array" ref="B4502">_xlfn.XLOOKUP(C4502, INDEX([2]!카테고리매핑,,2), INDEX([2]!카테고리매핑,,1), "미등록 카테고리")</f>
        <v>상온식품</v>
      </c>
      <c r="C4502" t="s">
        <v>276</v>
      </c>
      <c r="D4502" t="str">
        <f>VLOOKUP(C4502, '[2]VLOOKUP 함수용 카테고리'!$A$1:$B$59, 2, 0)</f>
        <v>DRIED_SEAFOOD</v>
      </c>
      <c r="E4502" t="s">
        <v>277</v>
      </c>
      <c r="F4502" t="s">
        <v>7865</v>
      </c>
    </row>
    <row r="4503" spans="1:6" x14ac:dyDescent="0.3">
      <c r="A4503" t="s">
        <v>7017</v>
      </c>
      <c r="B4503" t="str" cm="1">
        <f t="array" ref="B4503">_xlfn.XLOOKUP(C4503, INDEX([2]!카테고리매핑,,2), INDEX([2]!카테고리매핑,,1), "미등록 카테고리")</f>
        <v>간식류</v>
      </c>
      <c r="C4503" t="s">
        <v>38</v>
      </c>
      <c r="D4503" t="str">
        <f>VLOOKUP(C4503, '[2]VLOOKUP 함수용 카테고리'!$A$1:$B$59, 2, 0)</f>
        <v>SNACK</v>
      </c>
      <c r="E4503" t="s">
        <v>39</v>
      </c>
      <c r="F4503" t="s">
        <v>5311</v>
      </c>
    </row>
    <row r="4504" spans="1:6" x14ac:dyDescent="0.3">
      <c r="A4504" t="s">
        <v>7018</v>
      </c>
      <c r="B4504" t="str" cm="1">
        <f t="array" ref="B4504">_xlfn.XLOOKUP(C4504, INDEX([2]!카테고리매핑,,2), INDEX([2]!카테고리매핑,,1), "미등록 카테고리")</f>
        <v>음료</v>
      </c>
      <c r="C4504" t="s">
        <v>23</v>
      </c>
      <c r="D4504" t="str">
        <f>VLOOKUP(C4504, '[2]VLOOKUP 함수용 카테고리'!$A$1:$B$59, 2, 0)</f>
        <v>BEVERAGE</v>
      </c>
      <c r="E4504" t="s">
        <v>24</v>
      </c>
      <c r="F4504" t="s">
        <v>7936</v>
      </c>
    </row>
    <row r="4505" spans="1:6" x14ac:dyDescent="0.3">
      <c r="A4505" t="s">
        <v>7019</v>
      </c>
      <c r="B4505" t="str" cm="1">
        <f t="array" ref="B4505">_xlfn.XLOOKUP(C4505, INDEX([2]!카테고리매핑,,2), INDEX([2]!카테고리매핑,,1), "미등록 카테고리")</f>
        <v>간편식</v>
      </c>
      <c r="C4505" t="s">
        <v>19</v>
      </c>
      <c r="D4505" t="str">
        <f>VLOOKUP(C4505, '[2]VLOOKUP 함수용 카테고리'!$A$1:$B$59, 2, 0)</f>
        <v>FROZEN_MEAL</v>
      </c>
      <c r="E4505" t="s">
        <v>6519</v>
      </c>
      <c r="F4505" t="s">
        <v>2890</v>
      </c>
    </row>
    <row r="4506" spans="1:6" x14ac:dyDescent="0.3">
      <c r="A4506" t="s">
        <v>7020</v>
      </c>
      <c r="B4506" t="str" cm="1">
        <f t="array" ref="B4506">_xlfn.XLOOKUP(C4506, INDEX([2]!카테고리매핑,,2), INDEX([2]!카테고리매핑,,1), "미등록 카테고리")</f>
        <v>조미료</v>
      </c>
      <c r="C4506" t="s">
        <v>127</v>
      </c>
      <c r="D4506" t="str">
        <f>VLOOKUP(C4506, '[2]VLOOKUP 함수용 카테고리'!$A$1:$B$59, 2, 0)</f>
        <v>SAUCE_SEASONING</v>
      </c>
      <c r="E4506" t="s">
        <v>3334</v>
      </c>
      <c r="F4506" t="s">
        <v>3335</v>
      </c>
    </row>
    <row r="4507" spans="1:6" x14ac:dyDescent="0.3">
      <c r="A4507" t="s">
        <v>7021</v>
      </c>
      <c r="B4507" t="str" cm="1">
        <f t="array" ref="B4507">_xlfn.XLOOKUP(C4507, INDEX([2]!카테고리매핑,,2), INDEX([2]!카테고리매핑,,1), "미등록 카테고리")</f>
        <v>간식류</v>
      </c>
      <c r="C4507" t="s">
        <v>63</v>
      </c>
      <c r="D4507" t="str">
        <f>VLOOKUP(C4507, '[2]VLOOKUP 함수용 카테고리'!$A$1:$B$59, 2, 0)</f>
        <v>BAKERY</v>
      </c>
      <c r="E4507" t="s">
        <v>3512</v>
      </c>
      <c r="F4507" t="s">
        <v>3713</v>
      </c>
    </row>
    <row r="4508" spans="1:6" x14ac:dyDescent="0.3">
      <c r="A4508" t="s">
        <v>7022</v>
      </c>
      <c r="B4508" t="str" cm="1">
        <f t="array" ref="B4508">_xlfn.XLOOKUP(C4508, INDEX([2]!카테고리매핑,,2), INDEX([2]!카테고리매핑,,1), "미등록 카테고리")</f>
        <v>상온식품</v>
      </c>
      <c r="C4508" t="s">
        <v>769</v>
      </c>
      <c r="D4508" t="str">
        <f>VLOOKUP(C4508, '[2]VLOOKUP 함수용 카테고리'!$A$1:$B$59, 2, 0)</f>
        <v>GRAIN</v>
      </c>
      <c r="E4508" t="s">
        <v>770</v>
      </c>
      <c r="F4508" t="s">
        <v>2089</v>
      </c>
    </row>
    <row r="4509" spans="1:6" x14ac:dyDescent="0.3">
      <c r="A4509" t="s">
        <v>7023</v>
      </c>
      <c r="B4509" t="str" cm="1">
        <f t="array" ref="B4509">_xlfn.XLOOKUP(C4509, INDEX([2]!카테고리매핑,,2), INDEX([2]!카테고리매핑,,1), "미등록 카테고리")</f>
        <v>조미료</v>
      </c>
      <c r="C4509" t="s">
        <v>127</v>
      </c>
      <c r="D4509" t="str">
        <f>VLOOKUP(C4509, '[2]VLOOKUP 함수용 카테고리'!$A$1:$B$59, 2, 0)</f>
        <v>SAUCE_SEASONING</v>
      </c>
      <c r="E4509" t="s">
        <v>6988</v>
      </c>
      <c r="F4509" t="s">
        <v>7937</v>
      </c>
    </row>
    <row r="4510" spans="1:6" x14ac:dyDescent="0.3">
      <c r="A4510" t="s">
        <v>7024</v>
      </c>
      <c r="B4510" t="str" cm="1">
        <f t="array" ref="B4510">_xlfn.XLOOKUP(C4510, INDEX([2]!카테고리매핑,,2), INDEX([2]!카테고리매핑,,1), "미등록 카테고리")</f>
        <v>간편식</v>
      </c>
      <c r="C4510" t="s">
        <v>46</v>
      </c>
      <c r="D4510" t="str">
        <f>VLOOKUP(C4510, '[2]VLOOKUP 함수용 카테고리'!$A$1:$B$59, 2, 0)</f>
        <v>RTC_MEAL</v>
      </c>
      <c r="E4510" t="s">
        <v>46</v>
      </c>
      <c r="F4510" t="s">
        <v>6489</v>
      </c>
    </row>
    <row r="4511" spans="1:6" x14ac:dyDescent="0.3">
      <c r="A4511" t="s">
        <v>7025</v>
      </c>
      <c r="B4511" t="str" cm="1">
        <f t="array" ref="B4511">_xlfn.XLOOKUP(C4511, INDEX([2]!카테고리매핑,,2), INDEX([2]!카테고리매핑,,1), "미등록 카테고리")</f>
        <v>간편식</v>
      </c>
      <c r="C4511" t="s">
        <v>131</v>
      </c>
      <c r="D4511" t="str">
        <f>VLOOKUP(C4511, '[2]VLOOKUP 함수용 카테고리'!$A$1:$B$59, 2, 0)</f>
        <v>SIMPLE_PROCESSED</v>
      </c>
      <c r="E4511" t="s">
        <v>678</v>
      </c>
      <c r="F4511" t="s">
        <v>6568</v>
      </c>
    </row>
    <row r="4512" spans="1:6" x14ac:dyDescent="0.3">
      <c r="A4512" t="s">
        <v>1776</v>
      </c>
      <c r="B4512" t="str" cm="1">
        <f t="array" ref="B4512">_xlfn.XLOOKUP(C4512, INDEX([2]!카테고리매핑,,2), INDEX([2]!카테고리매핑,,1), "미등록 카테고리")</f>
        <v>과일/견과류</v>
      </c>
      <c r="C4512" t="s">
        <v>654</v>
      </c>
      <c r="D4512" t="str">
        <f>VLOOKUP(C4512, '[2]VLOOKUP 함수용 카테고리'!$A$1:$B$59, 2, 0)</f>
        <v>RAW_FRUIT</v>
      </c>
      <c r="E4512" t="s">
        <v>1744</v>
      </c>
      <c r="F4512" t="s">
        <v>7938</v>
      </c>
    </row>
    <row r="4513" spans="1:6" x14ac:dyDescent="0.3">
      <c r="A4513" t="s">
        <v>7026</v>
      </c>
      <c r="B4513" t="str" cm="1">
        <f t="array" ref="B4513">_xlfn.XLOOKUP(C4513, INDEX([2]!카테고리매핑,,2), INDEX([2]!카테고리매핑,,1), "미등록 카테고리")</f>
        <v>채소/곡물류</v>
      </c>
      <c r="C4513" t="s">
        <v>7</v>
      </c>
      <c r="D4513" t="str">
        <f>VLOOKUP(C4513, '[2]VLOOKUP 함수용 카테고리'!$A$1:$B$59, 2, 0)</f>
        <v>RAW_PRODUCE</v>
      </c>
      <c r="E4513" t="s">
        <v>331</v>
      </c>
    </row>
    <row r="4514" spans="1:6" x14ac:dyDescent="0.3">
      <c r="A4514" t="s">
        <v>7027</v>
      </c>
      <c r="B4514" t="str" cm="1">
        <f t="array" ref="B4514">_xlfn.XLOOKUP(C4514, INDEX([2]!카테고리매핑,,2), INDEX([2]!카테고리매핑,,1), "미등록 카테고리")</f>
        <v>육류/계란</v>
      </c>
      <c r="C4514" t="s">
        <v>149</v>
      </c>
      <c r="D4514" t="str">
        <f>VLOOKUP(C4514, '[2]VLOOKUP 함수용 카테고리'!$A$1:$B$59, 2, 0)</f>
        <v>RAW_MEAT</v>
      </c>
      <c r="E4514" t="s">
        <v>7028</v>
      </c>
      <c r="F4514" t="s">
        <v>574</v>
      </c>
    </row>
    <row r="4515" spans="1:6" x14ac:dyDescent="0.3">
      <c r="A4515" t="s">
        <v>7029</v>
      </c>
      <c r="B4515" t="str" cm="1">
        <f t="array" ref="B4515">_xlfn.XLOOKUP(C4515, INDEX([2]!카테고리매핑,,2), INDEX([2]!카테고리매핑,,1), "미등록 카테고리")</f>
        <v>육류/계란</v>
      </c>
      <c r="C4515" t="s">
        <v>298</v>
      </c>
      <c r="D4515" t="str">
        <f>VLOOKUP(C4515, '[2]VLOOKUP 함수용 카테고리'!$A$1:$B$59, 2, 0)</f>
        <v>RAW_MEAT</v>
      </c>
      <c r="E4515" t="s">
        <v>298</v>
      </c>
      <c r="F4515" t="s">
        <v>350</v>
      </c>
    </row>
    <row r="4516" spans="1:6" x14ac:dyDescent="0.3">
      <c r="A4516" t="s">
        <v>7030</v>
      </c>
      <c r="B4516" t="str" cm="1">
        <f t="array" ref="B4516">_xlfn.XLOOKUP(C4516, INDEX([2]!카테고리매핑,,2), INDEX([2]!카테고리매핑,,1), "미등록 카테고리")</f>
        <v>과일/견과류</v>
      </c>
      <c r="C4516" t="s">
        <v>654</v>
      </c>
      <c r="D4516" t="str">
        <f>VLOOKUP(C4516, '[2]VLOOKUP 함수용 카테고리'!$A$1:$B$59, 2, 0)</f>
        <v>RAW_FRUIT</v>
      </c>
      <c r="E4516" t="s">
        <v>4746</v>
      </c>
      <c r="F4516" t="s">
        <v>7031</v>
      </c>
    </row>
    <row r="4517" spans="1:6" x14ac:dyDescent="0.3">
      <c r="A4517" t="s">
        <v>7032</v>
      </c>
      <c r="B4517" t="str" cm="1">
        <f t="array" ref="B4517">_xlfn.XLOOKUP(C4517, INDEX([2]!카테고리매핑,,2), INDEX([2]!카테고리매핑,,1), "미등록 카테고리")</f>
        <v>육류/계란</v>
      </c>
      <c r="C4517" t="s">
        <v>428</v>
      </c>
      <c r="D4517" t="str">
        <f>VLOOKUP(C4517, '[2]VLOOKUP 함수용 카테고리'!$A$1:$B$59, 2, 0)</f>
        <v>PROCESSED_MEAT</v>
      </c>
      <c r="E4517" t="s">
        <v>776</v>
      </c>
      <c r="F4517" t="s">
        <v>1834</v>
      </c>
    </row>
    <row r="4518" spans="1:6" x14ac:dyDescent="0.3">
      <c r="A4518" t="s">
        <v>7033</v>
      </c>
      <c r="B4518" t="str" cm="1">
        <f t="array" ref="B4518">_xlfn.XLOOKUP(C4518, INDEX([2]!카테고리매핑,,2), INDEX([2]!카테고리매핑,,1), "미등록 카테고리")</f>
        <v>유제품</v>
      </c>
      <c r="C4518" t="s">
        <v>98</v>
      </c>
      <c r="D4518" t="str">
        <f>VLOOKUP(C4518, '[2]VLOOKUP 함수용 카테고리'!$A$1:$B$59, 2, 0)</f>
        <v>DAIRY</v>
      </c>
      <c r="E4518" t="s">
        <v>273</v>
      </c>
      <c r="F4518" t="s">
        <v>5309</v>
      </c>
    </row>
    <row r="4519" spans="1:6" x14ac:dyDescent="0.3">
      <c r="A4519" t="s">
        <v>7034</v>
      </c>
      <c r="B4519" t="str" cm="1">
        <f t="array" ref="B4519">_xlfn.XLOOKUP(C4519, INDEX([2]!카테고리매핑,,2), INDEX([2]!카테고리매핑,,1), "미등록 카테고리")</f>
        <v>음료</v>
      </c>
      <c r="C4519" t="s">
        <v>584</v>
      </c>
      <c r="D4519" t="str">
        <f>VLOOKUP(C4519, '[2]VLOOKUP 함수용 카테고리'!$A$1:$B$59, 2, 0)</f>
        <v>BEVERAGE</v>
      </c>
      <c r="E4519" t="s">
        <v>1869</v>
      </c>
      <c r="F4519" t="s">
        <v>54</v>
      </c>
    </row>
    <row r="4520" spans="1:6" x14ac:dyDescent="0.3">
      <c r="A4520" t="s">
        <v>7035</v>
      </c>
      <c r="B4520" t="str" cm="1">
        <f t="array" ref="B4520">_xlfn.XLOOKUP(C4520, INDEX([2]!카테고리매핑,,2), INDEX([2]!카테고리매핑,,1), "미등록 카테고리")</f>
        <v>조미료</v>
      </c>
      <c r="C4520" t="s">
        <v>127</v>
      </c>
      <c r="D4520" t="str">
        <f>VLOOKUP(C4520, '[2]VLOOKUP 함수용 카테고리'!$A$1:$B$59, 2, 0)</f>
        <v>SAUCE_SEASONING</v>
      </c>
      <c r="E4520" t="s">
        <v>7036</v>
      </c>
      <c r="F4520" t="s">
        <v>7037</v>
      </c>
    </row>
    <row r="4521" spans="1:6" x14ac:dyDescent="0.3">
      <c r="A4521" t="s">
        <v>7038</v>
      </c>
      <c r="B4521" t="str" cm="1">
        <f t="array" ref="B4521">_xlfn.XLOOKUP(C4521, INDEX([2]!카테고리매핑,,2), INDEX([2]!카테고리매핑,,1), "미등록 카테고리")</f>
        <v>간편식</v>
      </c>
      <c r="C4521" t="s">
        <v>158</v>
      </c>
      <c r="D4521" t="str">
        <f>VLOOKUP(C4521, '[2]VLOOKUP 함수용 카테고리'!$A$1:$B$59, 2, 0)</f>
        <v>INSTANT</v>
      </c>
      <c r="E4521" t="s">
        <v>4498</v>
      </c>
      <c r="F4521" t="s">
        <v>154</v>
      </c>
    </row>
    <row r="4522" spans="1:6" x14ac:dyDescent="0.3">
      <c r="A4522" t="s">
        <v>7039</v>
      </c>
      <c r="B4522" t="str" cm="1">
        <f t="array" ref="B4522">_xlfn.XLOOKUP(C4522, INDEX([2]!카테고리매핑,,2), INDEX([2]!카테고리매핑,,1), "미등록 카테고리")</f>
        <v>음료</v>
      </c>
      <c r="C4522" t="s">
        <v>23</v>
      </c>
      <c r="D4522" t="str">
        <f>VLOOKUP(C4522, '[2]VLOOKUP 함수용 카테고리'!$A$1:$B$59, 2, 0)</f>
        <v>BEVERAGE</v>
      </c>
      <c r="E4522" t="s">
        <v>288</v>
      </c>
      <c r="F4522" t="s">
        <v>605</v>
      </c>
    </row>
    <row r="4523" spans="1:6" x14ac:dyDescent="0.3">
      <c r="A4523" t="s">
        <v>7040</v>
      </c>
      <c r="B4523" t="str" cm="1">
        <f t="array" ref="B4523">_xlfn.XLOOKUP(C4523, INDEX([2]!카테고리매핑,,2), INDEX([2]!카테고리매핑,,1), "미등록 카테고리")</f>
        <v>유제품</v>
      </c>
      <c r="C4523" t="s">
        <v>123</v>
      </c>
      <c r="D4523" t="str">
        <f>VLOOKUP(C4523, '[2]VLOOKUP 함수용 카테고리'!$A$1:$B$59, 2, 0)</f>
        <v>DAIRY</v>
      </c>
      <c r="E4523" t="s">
        <v>190</v>
      </c>
      <c r="F4523" t="s">
        <v>4792</v>
      </c>
    </row>
    <row r="4524" spans="1:6" x14ac:dyDescent="0.3">
      <c r="A4524" t="s">
        <v>7041</v>
      </c>
      <c r="B4524" t="str" cm="1">
        <f t="array" ref="B4524">_xlfn.XLOOKUP(C4524, INDEX([2]!카테고리매핑,,2), INDEX([2]!카테고리매핑,,1), "미등록 카테고리")</f>
        <v>미등록 카테고리</v>
      </c>
      <c r="C4524" t="s">
        <v>334</v>
      </c>
      <c r="D4524" t="str">
        <f>VLOOKUP(C4524, '[2]VLOOKUP 함수용 카테고리'!$A$1:$B$59, 2, 0)</f>
        <v>UNKNOWN</v>
      </c>
      <c r="E4524" t="s">
        <v>334</v>
      </c>
      <c r="F4524" t="s">
        <v>7042</v>
      </c>
    </row>
    <row r="4525" spans="1:6" x14ac:dyDescent="0.3">
      <c r="A4525" t="s">
        <v>7043</v>
      </c>
      <c r="B4525" t="str" cm="1">
        <f t="array" ref="B4525">_xlfn.XLOOKUP(C4525, INDEX([2]!카테고리매핑,,2), INDEX([2]!카테고리매핑,,1), "미등록 카테고리")</f>
        <v>조미료</v>
      </c>
      <c r="C4525" t="s">
        <v>558</v>
      </c>
      <c r="D4525" t="str">
        <f>VLOOKUP(C4525, '[2]VLOOKUP 함수용 카테고리'!$A$1:$B$59, 2, 0)</f>
        <v>SAUCE_SEASONING</v>
      </c>
      <c r="E4525" t="s">
        <v>559</v>
      </c>
      <c r="F4525" t="s">
        <v>1923</v>
      </c>
    </row>
    <row r="4526" spans="1:6" x14ac:dyDescent="0.3">
      <c r="A4526" t="s">
        <v>7044</v>
      </c>
      <c r="B4526" t="str" cm="1">
        <f t="array" ref="B4526">_xlfn.XLOOKUP(C4526, INDEX([2]!카테고리매핑,,2), INDEX([2]!카테고리매핑,,1), "미등록 카테고리")</f>
        <v>수산물</v>
      </c>
      <c r="C4526" t="s">
        <v>1673</v>
      </c>
      <c r="D4526" t="str">
        <f>VLOOKUP(C4526, '[2]VLOOKUP 함수용 카테고리'!$A$1:$B$59, 2, 0)</f>
        <v>RAW_SEAFOOD</v>
      </c>
      <c r="E4526" t="s">
        <v>1674</v>
      </c>
      <c r="F4526" t="s">
        <v>6568</v>
      </c>
    </row>
    <row r="4527" spans="1:6" x14ac:dyDescent="0.3">
      <c r="A4527" t="s">
        <v>7045</v>
      </c>
      <c r="B4527" t="str" cm="1">
        <f t="array" ref="B4527">_xlfn.XLOOKUP(C4527, INDEX([2]!카테고리매핑,,2), INDEX([2]!카테고리매핑,,1), "미등록 카테고리")</f>
        <v>간편식</v>
      </c>
      <c r="C4527" t="s">
        <v>19</v>
      </c>
      <c r="D4527" t="str">
        <f>VLOOKUP(C4527, '[2]VLOOKUP 함수용 카테고리'!$A$1:$B$59, 2, 0)</f>
        <v>FROZEN_MEAL</v>
      </c>
      <c r="E4527" t="s">
        <v>7046</v>
      </c>
      <c r="F4527" t="s">
        <v>1484</v>
      </c>
    </row>
    <row r="4528" spans="1:6" x14ac:dyDescent="0.3">
      <c r="A4528" t="s">
        <v>7047</v>
      </c>
      <c r="B4528" t="str" cm="1">
        <f t="array" ref="B4528">_xlfn.XLOOKUP(C4528, INDEX([2]!카테고리매핑,,2), INDEX([2]!카테고리매핑,,1), "미등록 카테고리")</f>
        <v>간식류</v>
      </c>
      <c r="C4528" t="s">
        <v>15</v>
      </c>
      <c r="D4528" t="str">
        <f>VLOOKUP(C4528, '[2]VLOOKUP 함수용 카테고리'!$A$1:$B$59, 2, 0)</f>
        <v>BAKERY</v>
      </c>
      <c r="E4528" t="s">
        <v>1787</v>
      </c>
      <c r="F4528" t="s">
        <v>1788</v>
      </c>
    </row>
    <row r="4529" spans="1:6" x14ac:dyDescent="0.3">
      <c r="A4529" t="s">
        <v>7048</v>
      </c>
      <c r="B4529" t="str" cm="1">
        <f t="array" ref="B4529">_xlfn.XLOOKUP(C4529, INDEX([2]!카테고리매핑,,2), INDEX([2]!카테고리매핑,,1), "미등록 카테고리")</f>
        <v>조미료</v>
      </c>
      <c r="C4529" t="s">
        <v>127</v>
      </c>
      <c r="D4529" t="str">
        <f>VLOOKUP(C4529, '[2]VLOOKUP 함수용 카테고리'!$A$1:$B$59, 2, 0)</f>
        <v>SAUCE_SEASONING</v>
      </c>
      <c r="E4529" t="s">
        <v>6780</v>
      </c>
      <c r="F4529" t="s">
        <v>341</v>
      </c>
    </row>
    <row r="4530" spans="1:6" x14ac:dyDescent="0.3">
      <c r="A4530" t="s">
        <v>7049</v>
      </c>
      <c r="B4530" t="str" cm="1">
        <f t="array" ref="B4530">_xlfn.XLOOKUP(C4530, INDEX([2]!카테고리매핑,,2), INDEX([2]!카테고리매핑,,1), "미등록 카테고리")</f>
        <v>유제품</v>
      </c>
      <c r="C4530" t="s">
        <v>98</v>
      </c>
      <c r="D4530" t="str">
        <f>VLOOKUP(C4530, '[2]VLOOKUP 함수용 카테고리'!$A$1:$B$59, 2, 0)</f>
        <v>DAIRY</v>
      </c>
      <c r="E4530" t="s">
        <v>7666</v>
      </c>
      <c r="F4530" t="s">
        <v>350</v>
      </c>
    </row>
    <row r="4531" spans="1:6" x14ac:dyDescent="0.3">
      <c r="A4531" t="s">
        <v>7050</v>
      </c>
      <c r="B4531" t="str" cm="1">
        <f t="array" ref="B4531">_xlfn.XLOOKUP(C4531, INDEX([2]!카테고리매핑,,2), INDEX([2]!카테고리매핑,,1), "미등록 카테고리")</f>
        <v>음료</v>
      </c>
      <c r="C4531" t="s">
        <v>242</v>
      </c>
      <c r="D4531" t="str">
        <f>VLOOKUP(C4531, '[2]VLOOKUP 함수용 카테고리'!$A$1:$B$59, 2, 0)</f>
        <v>BEVERAGE</v>
      </c>
      <c r="E4531" t="s">
        <v>7051</v>
      </c>
      <c r="F4531" t="s">
        <v>7052</v>
      </c>
    </row>
    <row r="4532" spans="1:6" x14ac:dyDescent="0.3">
      <c r="A4532" t="s">
        <v>7053</v>
      </c>
      <c r="B4532" t="str" cm="1">
        <f t="array" ref="B4532">_xlfn.XLOOKUP(C4532, INDEX([2]!카테고리매핑,,2), INDEX([2]!카테고리매핑,,1), "미등록 카테고리")</f>
        <v>육류/계란</v>
      </c>
      <c r="C4532" t="s">
        <v>298</v>
      </c>
      <c r="D4532" t="str">
        <f>VLOOKUP(C4532, '[2]VLOOKUP 함수용 카테고리'!$A$1:$B$59, 2, 0)</f>
        <v>RAW_MEAT</v>
      </c>
      <c r="E4532" t="s">
        <v>298</v>
      </c>
      <c r="F4532" t="s">
        <v>3436</v>
      </c>
    </row>
    <row r="4533" spans="1:6" x14ac:dyDescent="0.3">
      <c r="A4533" t="s">
        <v>7054</v>
      </c>
      <c r="B4533" t="str" cm="1">
        <f t="array" ref="B4533">_xlfn.XLOOKUP(C4533, INDEX([2]!카테고리매핑,,2), INDEX([2]!카테고리매핑,,1), "미등록 카테고리")</f>
        <v>수산물</v>
      </c>
      <c r="C4533" t="s">
        <v>140</v>
      </c>
      <c r="D4533" t="str">
        <f>VLOOKUP(C4533, '[2]VLOOKUP 함수용 카테고리'!$A$1:$B$59, 2, 0)</f>
        <v>SIMPLE_PROCESSED</v>
      </c>
      <c r="E4533" t="s">
        <v>141</v>
      </c>
      <c r="F4533" t="s">
        <v>72</v>
      </c>
    </row>
    <row r="4534" spans="1:6" x14ac:dyDescent="0.3">
      <c r="A4534" t="s">
        <v>7055</v>
      </c>
      <c r="B4534" t="str" cm="1">
        <f t="array" ref="B4534">_xlfn.XLOOKUP(C4534, INDEX([2]!카테고리매핑,,2), INDEX([2]!카테고리매핑,,1), "미등록 카테고리")</f>
        <v>조미료</v>
      </c>
      <c r="C4534" t="s">
        <v>117</v>
      </c>
      <c r="D4534" t="str">
        <f>VLOOKUP(C4534, '[2]VLOOKUP 함수용 카테고리'!$A$1:$B$59, 2, 0)</f>
        <v>SAUCE_SEASONING</v>
      </c>
      <c r="E4534" t="s">
        <v>7056</v>
      </c>
      <c r="F4534" t="s">
        <v>7057</v>
      </c>
    </row>
    <row r="4535" spans="1:6" x14ac:dyDescent="0.3">
      <c r="A4535" t="s">
        <v>7058</v>
      </c>
      <c r="B4535" t="str" cm="1">
        <f t="array" ref="B4535">_xlfn.XLOOKUP(C4535, INDEX([2]!카테고리매핑,,2), INDEX([2]!카테고리매핑,,1), "미등록 카테고리")</f>
        <v>채소/곡물류</v>
      </c>
      <c r="C4535" t="s">
        <v>207</v>
      </c>
      <c r="D4535" t="str">
        <f>VLOOKUP(C4535, '[2]VLOOKUP 함수용 카테고리'!$A$1:$B$59, 2, 0)</f>
        <v>GRAIN</v>
      </c>
      <c r="E4535" t="s">
        <v>7059</v>
      </c>
      <c r="F4535" t="s">
        <v>7060</v>
      </c>
    </row>
    <row r="4536" spans="1:6" x14ac:dyDescent="0.3">
      <c r="A4536" t="s">
        <v>7061</v>
      </c>
      <c r="B4536" t="str" cm="1">
        <f t="array" ref="B4536">_xlfn.XLOOKUP(C4536, INDEX([2]!카테고리매핑,,2), INDEX([2]!카테고리매핑,,1), "미등록 카테고리")</f>
        <v>육류/계란</v>
      </c>
      <c r="C4536" t="s">
        <v>149</v>
      </c>
      <c r="D4536" t="str">
        <f>VLOOKUP(C4536, '[2]VLOOKUP 함수용 카테고리'!$A$1:$B$59, 2, 0)</f>
        <v>RAW_MEAT</v>
      </c>
      <c r="E4536" t="s">
        <v>1151</v>
      </c>
      <c r="F4536" t="s">
        <v>1425</v>
      </c>
    </row>
    <row r="4537" spans="1:6" x14ac:dyDescent="0.3">
      <c r="A4537" t="s">
        <v>7062</v>
      </c>
      <c r="B4537" t="str" cm="1">
        <f t="array" ref="B4537">_xlfn.XLOOKUP(C4537, INDEX([2]!카테고리매핑,,2), INDEX([2]!카테고리매핑,,1), "미등록 카테고리")</f>
        <v>음료</v>
      </c>
      <c r="C4537" t="s">
        <v>23</v>
      </c>
      <c r="D4537" t="str">
        <f>VLOOKUP(C4537, '[2]VLOOKUP 함수용 카테고리'!$A$1:$B$59, 2, 0)</f>
        <v>BEVERAGE</v>
      </c>
      <c r="E4537" t="s">
        <v>1156</v>
      </c>
      <c r="F4537" t="s">
        <v>7939</v>
      </c>
    </row>
    <row r="4538" spans="1:6" x14ac:dyDescent="0.3">
      <c r="A4538" t="s">
        <v>7063</v>
      </c>
      <c r="B4538" t="str" cm="1">
        <f t="array" ref="B4538">_xlfn.XLOOKUP(C4538, INDEX([2]!카테고리매핑,,2), INDEX([2]!카테고리매핑,,1), "미등록 카테고리")</f>
        <v>술</v>
      </c>
      <c r="C4538" t="s">
        <v>42</v>
      </c>
      <c r="D4538" t="str">
        <f>VLOOKUP(C4538, '[2]VLOOKUP 함수용 카테고리'!$A$1:$B$59, 2, 0)</f>
        <v>ALCOHOL</v>
      </c>
      <c r="E4538" t="s">
        <v>1074</v>
      </c>
      <c r="F4538" t="s">
        <v>7940</v>
      </c>
    </row>
    <row r="4539" spans="1:6" x14ac:dyDescent="0.3">
      <c r="A4539" t="s">
        <v>7064</v>
      </c>
      <c r="B4539" t="str" cm="1">
        <f t="array" ref="B4539">_xlfn.XLOOKUP(C4539, INDEX([2]!카테고리매핑,,2), INDEX([2]!카테고리매핑,,1), "미등록 카테고리")</f>
        <v>과일/견과류</v>
      </c>
      <c r="C4539" t="s">
        <v>5029</v>
      </c>
      <c r="D4539" t="str">
        <f>VLOOKUP(C4539, '[2]VLOOKUP 함수용 카테고리'!$A$1:$B$59, 2, 0)</f>
        <v>SIMPLE_PROCESSED</v>
      </c>
      <c r="E4539" t="s">
        <v>7065</v>
      </c>
      <c r="F4539" t="s">
        <v>7066</v>
      </c>
    </row>
    <row r="4540" spans="1:6" x14ac:dyDescent="0.3">
      <c r="A4540" t="s">
        <v>7067</v>
      </c>
      <c r="B4540" t="str" cm="1">
        <f t="array" ref="B4540">_xlfn.XLOOKUP(C4540, INDEX([2]!카테고리매핑,,2), INDEX([2]!카테고리매핑,,1), "미등록 카테고리")</f>
        <v>조미료</v>
      </c>
      <c r="C4540" t="s">
        <v>83</v>
      </c>
      <c r="D4540" t="str">
        <f>VLOOKUP(C4540, '[2]VLOOKUP 함수용 카테고리'!$A$1:$B$59, 2, 0)</f>
        <v>SAUCE_SEASONING</v>
      </c>
      <c r="E4540" t="s">
        <v>7667</v>
      </c>
      <c r="F4540" t="s">
        <v>646</v>
      </c>
    </row>
    <row r="4541" spans="1:6" x14ac:dyDescent="0.3">
      <c r="A4541" t="s">
        <v>7068</v>
      </c>
      <c r="B4541" t="str" cm="1">
        <f t="array" ref="B4541">_xlfn.XLOOKUP(C4541, INDEX([2]!카테고리매핑,,2), INDEX([2]!카테고리매핑,,1), "미등록 카테고리")</f>
        <v>육류/계란</v>
      </c>
      <c r="C4541" t="s">
        <v>149</v>
      </c>
      <c r="D4541" t="str">
        <f>VLOOKUP(C4541, '[2]VLOOKUP 함수용 카테고리'!$A$1:$B$59, 2, 0)</f>
        <v>RAW_MEAT</v>
      </c>
      <c r="E4541" t="s">
        <v>1151</v>
      </c>
      <c r="F4541" t="s">
        <v>3716</v>
      </c>
    </row>
    <row r="4542" spans="1:6" x14ac:dyDescent="0.3">
      <c r="A4542" t="s">
        <v>7069</v>
      </c>
      <c r="B4542" t="str" cm="1">
        <f t="array" ref="B4542">_xlfn.XLOOKUP(C4542, INDEX([2]!카테고리매핑,,2), INDEX([2]!카테고리매핑,,1), "미등록 카테고리")</f>
        <v>음료</v>
      </c>
      <c r="C4542" t="s">
        <v>23</v>
      </c>
      <c r="D4542" t="str">
        <f>VLOOKUP(C4542, '[2]VLOOKUP 함수용 카테고리'!$A$1:$B$59, 2, 0)</f>
        <v>BEVERAGE</v>
      </c>
      <c r="E4542" t="s">
        <v>355</v>
      </c>
      <c r="F4542" t="s">
        <v>3005</v>
      </c>
    </row>
    <row r="4543" spans="1:6" x14ac:dyDescent="0.3">
      <c r="A4543" t="s">
        <v>7070</v>
      </c>
      <c r="B4543" t="str" cm="1">
        <f t="array" ref="B4543">_xlfn.XLOOKUP(C4543, INDEX([2]!카테고리매핑,,2), INDEX([2]!카테고리매핑,,1), "미등록 카테고리")</f>
        <v>과일/견과류</v>
      </c>
      <c r="C4543" t="s">
        <v>654</v>
      </c>
      <c r="D4543" t="str">
        <f>VLOOKUP(C4543, '[2]VLOOKUP 함수용 카테고리'!$A$1:$B$59, 2, 0)</f>
        <v>RAW_FRUIT</v>
      </c>
      <c r="E4543" t="s">
        <v>4746</v>
      </c>
      <c r="F4543" t="s">
        <v>7941</v>
      </c>
    </row>
    <row r="4544" spans="1:6" x14ac:dyDescent="0.3">
      <c r="A4544" t="s">
        <v>7071</v>
      </c>
      <c r="B4544" t="str" cm="1">
        <f t="array" ref="B4544">_xlfn.XLOOKUP(C4544, INDEX([2]!카테고리매핑,,2), INDEX([2]!카테고리매핑,,1), "미등록 카테고리")</f>
        <v>과일/견과류</v>
      </c>
      <c r="C4544" t="s">
        <v>654</v>
      </c>
      <c r="D4544" t="str">
        <f>VLOOKUP(C4544, '[2]VLOOKUP 함수용 카테고리'!$A$1:$B$59, 2, 0)</f>
        <v>RAW_FRUIT</v>
      </c>
      <c r="E4544" t="s">
        <v>2177</v>
      </c>
    </row>
    <row r="4545" spans="1:6" x14ac:dyDescent="0.3">
      <c r="A4545" t="s">
        <v>7072</v>
      </c>
      <c r="B4545" t="str" cm="1">
        <f t="array" ref="B4545">_xlfn.XLOOKUP(C4545, INDEX([2]!카테고리매핑,,2), INDEX([2]!카테고리매핑,,1), "미등록 카테고리")</f>
        <v>간편식</v>
      </c>
      <c r="C4545" t="s">
        <v>256</v>
      </c>
      <c r="D4545" t="str">
        <f>VLOOKUP(C4545, '[2]VLOOKUP 함수용 카테고리'!$A$1:$B$59, 2, 0)</f>
        <v>RTC_MEAL</v>
      </c>
      <c r="E4545" t="s">
        <v>256</v>
      </c>
    </row>
    <row r="4546" spans="1:6" x14ac:dyDescent="0.3">
      <c r="A4546" t="s">
        <v>7073</v>
      </c>
      <c r="B4546" t="str" cm="1">
        <f t="array" ref="B4546">_xlfn.XLOOKUP(C4546, INDEX([2]!카테고리매핑,,2), INDEX([2]!카테고리매핑,,1), "미등록 카테고리")</f>
        <v>육류/계란</v>
      </c>
      <c r="C4546" t="s">
        <v>34</v>
      </c>
      <c r="D4546" t="str">
        <f>VLOOKUP(C4546, '[2]VLOOKUP 함수용 카테고리'!$A$1:$B$59, 2, 0)</f>
        <v>RAW_MEAT</v>
      </c>
      <c r="E4546" t="s">
        <v>35</v>
      </c>
      <c r="F4546" t="s">
        <v>1982</v>
      </c>
    </row>
    <row r="4547" spans="1:6" x14ac:dyDescent="0.3">
      <c r="A4547" t="s">
        <v>7074</v>
      </c>
      <c r="B4547" t="str" cm="1">
        <f t="array" ref="B4547">_xlfn.XLOOKUP(C4547, INDEX([2]!카테고리매핑,,2), INDEX([2]!카테고리매핑,,1), "미등록 카테고리")</f>
        <v>채소/곡물류</v>
      </c>
      <c r="C4547" t="s">
        <v>27</v>
      </c>
      <c r="D4547" t="str">
        <f>VLOOKUP(C4547, '[2]VLOOKUP 함수용 카테고리'!$A$1:$B$59, 2, 0)</f>
        <v>SIMPLE_PROCESSED</v>
      </c>
      <c r="E4547" t="s">
        <v>2344</v>
      </c>
    </row>
    <row r="4548" spans="1:6" x14ac:dyDescent="0.3">
      <c r="A4548" t="s">
        <v>7075</v>
      </c>
      <c r="B4548" t="str" cm="1">
        <f t="array" ref="B4548">_xlfn.XLOOKUP(C4548, INDEX([2]!카테고리매핑,,2), INDEX([2]!카테고리매핑,,1), "미등록 카테고리")</f>
        <v>유제품</v>
      </c>
      <c r="C4548" t="s">
        <v>123</v>
      </c>
      <c r="D4548" t="str">
        <f>VLOOKUP(C4548, '[2]VLOOKUP 함수용 카테고리'!$A$1:$B$59, 2, 0)</f>
        <v>DAIRY</v>
      </c>
      <c r="E4548" t="s">
        <v>239</v>
      </c>
      <c r="F4548" t="s">
        <v>7942</v>
      </c>
    </row>
    <row r="4549" spans="1:6" x14ac:dyDescent="0.3">
      <c r="A4549" t="s">
        <v>7076</v>
      </c>
      <c r="B4549" t="str" cm="1">
        <f t="array" ref="B4549">_xlfn.XLOOKUP(C4549, INDEX([2]!카테고리매핑,,2), INDEX([2]!카테고리매핑,,1), "미등록 카테고리")</f>
        <v>간편식</v>
      </c>
      <c r="C4549" t="s">
        <v>158</v>
      </c>
      <c r="D4549" t="str">
        <f>VLOOKUP(C4549, '[2]VLOOKUP 함수용 카테고리'!$A$1:$B$59, 2, 0)</f>
        <v>INSTANT</v>
      </c>
      <c r="E4549" t="s">
        <v>6762</v>
      </c>
      <c r="F4549" t="s">
        <v>129</v>
      </c>
    </row>
    <row r="4550" spans="1:6" x14ac:dyDescent="0.3">
      <c r="A4550" t="s">
        <v>7077</v>
      </c>
      <c r="B4550" t="str" cm="1">
        <f t="array" ref="B4550">_xlfn.XLOOKUP(C4550, INDEX([2]!카테고리매핑,,2), INDEX([2]!카테고리매핑,,1), "미등록 카테고리")</f>
        <v>수산물</v>
      </c>
      <c r="C4550" t="s">
        <v>101</v>
      </c>
      <c r="D4550" t="str">
        <f>VLOOKUP(C4550, '[2]VLOOKUP 함수용 카테고리'!$A$1:$B$59, 2, 0)</f>
        <v>DRIED_SEAFOOD</v>
      </c>
      <c r="E4550" t="s">
        <v>1706</v>
      </c>
      <c r="F4550" t="s">
        <v>7078</v>
      </c>
    </row>
    <row r="4551" spans="1:6" x14ac:dyDescent="0.3">
      <c r="A4551" t="s">
        <v>7079</v>
      </c>
      <c r="B4551" t="str" cm="1">
        <f t="array" ref="B4551">_xlfn.XLOOKUP(C4551, INDEX([2]!카테고리매핑,,2), INDEX([2]!카테고리매핑,,1), "미등록 카테고리")</f>
        <v>간편식</v>
      </c>
      <c r="C4551" t="s">
        <v>158</v>
      </c>
      <c r="D4551" t="str">
        <f>VLOOKUP(C4551, '[2]VLOOKUP 함수용 카테고리'!$A$1:$B$59, 2, 0)</f>
        <v>INSTANT</v>
      </c>
      <c r="E4551" t="s">
        <v>7080</v>
      </c>
      <c r="F4551" t="s">
        <v>129</v>
      </c>
    </row>
    <row r="4552" spans="1:6" x14ac:dyDescent="0.3">
      <c r="A4552" t="s">
        <v>7081</v>
      </c>
      <c r="B4552" t="str" cm="1">
        <f t="array" ref="B4552">_xlfn.XLOOKUP(C4552, INDEX([2]!카테고리매핑,,2), INDEX([2]!카테고리매핑,,1), "미등록 카테고리")</f>
        <v>유제품</v>
      </c>
      <c r="C4552" t="s">
        <v>123</v>
      </c>
      <c r="D4552" t="str">
        <f>VLOOKUP(C4552, '[2]VLOOKUP 함수용 카테고리'!$A$1:$B$59, 2, 0)</f>
        <v>DAIRY</v>
      </c>
      <c r="E4552" t="s">
        <v>622</v>
      </c>
      <c r="F4552" t="s">
        <v>350</v>
      </c>
    </row>
    <row r="4553" spans="1:6" x14ac:dyDescent="0.3">
      <c r="A4553" t="s">
        <v>7082</v>
      </c>
      <c r="B4553" t="str" cm="1">
        <f t="array" ref="B4553">_xlfn.XLOOKUP(C4553, INDEX([2]!카테고리매핑,,2), INDEX([2]!카테고리매핑,,1), "미등록 카테고리")</f>
        <v>간식류</v>
      </c>
      <c r="C4553" t="s">
        <v>63</v>
      </c>
      <c r="D4553" t="str">
        <f>VLOOKUP(C4553, '[2]VLOOKUP 함수용 카테고리'!$A$1:$B$59, 2, 0)</f>
        <v>BAKERY</v>
      </c>
      <c r="E4553" t="s">
        <v>5408</v>
      </c>
      <c r="F4553" t="s">
        <v>7083</v>
      </c>
    </row>
    <row r="4554" spans="1:6" x14ac:dyDescent="0.3">
      <c r="A4554" t="s">
        <v>7084</v>
      </c>
      <c r="B4554" t="str" cm="1">
        <f t="array" ref="B4554">_xlfn.XLOOKUP(C4554, INDEX([2]!카테고리매핑,,2), INDEX([2]!카테고리매핑,,1), "미등록 카테고리")</f>
        <v>간편식</v>
      </c>
      <c r="C4554" t="s">
        <v>131</v>
      </c>
      <c r="D4554" t="str">
        <f>VLOOKUP(C4554, '[2]VLOOKUP 함수용 카테고리'!$A$1:$B$59, 2, 0)</f>
        <v>SIMPLE_PROCESSED</v>
      </c>
      <c r="E4554" t="s">
        <v>3047</v>
      </c>
      <c r="F4554" t="s">
        <v>133</v>
      </c>
    </row>
    <row r="4555" spans="1:6" x14ac:dyDescent="0.3">
      <c r="A4555" t="s">
        <v>7085</v>
      </c>
      <c r="B4555" t="str" cm="1">
        <f t="array" ref="B4555">_xlfn.XLOOKUP(C4555, INDEX([2]!카테고리매핑,,2), INDEX([2]!카테고리매핑,,1), "미등록 카테고리")</f>
        <v>육류/계란</v>
      </c>
      <c r="C4555" t="s">
        <v>428</v>
      </c>
      <c r="D4555" t="str">
        <f>VLOOKUP(C4555, '[2]VLOOKUP 함수용 카테고리'!$A$1:$B$59, 2, 0)</f>
        <v>PROCESSED_MEAT</v>
      </c>
      <c r="E4555" t="s">
        <v>804</v>
      </c>
      <c r="F4555" t="s">
        <v>7943</v>
      </c>
    </row>
    <row r="4556" spans="1:6" x14ac:dyDescent="0.3">
      <c r="A4556" t="s">
        <v>7086</v>
      </c>
      <c r="B4556" t="str" cm="1">
        <f t="array" ref="B4556">_xlfn.XLOOKUP(C4556, INDEX([2]!카테고리매핑,,2), INDEX([2]!카테고리매핑,,1), "미등록 카테고리")</f>
        <v>채소/곡물류</v>
      </c>
      <c r="C4556" t="s">
        <v>7</v>
      </c>
      <c r="D4556" t="str">
        <f>VLOOKUP(C4556, '[2]VLOOKUP 함수용 카테고리'!$A$1:$B$59, 2, 0)</f>
        <v>RAW_PRODUCE</v>
      </c>
      <c r="E4556" t="s">
        <v>405</v>
      </c>
      <c r="F4556" t="s">
        <v>1457</v>
      </c>
    </row>
    <row r="4557" spans="1:6" x14ac:dyDescent="0.3">
      <c r="A4557" t="s">
        <v>2658</v>
      </c>
      <c r="B4557" t="str" cm="1">
        <f t="array" ref="B4557">_xlfn.XLOOKUP(C4557, INDEX([2]!카테고리매핑,,2), INDEX([2]!카테고리매핑,,1), "미등록 카테고리")</f>
        <v>과일/견과류</v>
      </c>
      <c r="C4557" t="s">
        <v>654</v>
      </c>
      <c r="D4557" t="str">
        <f>VLOOKUP(C4557, '[2]VLOOKUP 함수용 카테고리'!$A$1:$B$59, 2, 0)</f>
        <v>RAW_FRUIT</v>
      </c>
      <c r="E4557" t="s">
        <v>1741</v>
      </c>
      <c r="F4557" t="s">
        <v>44</v>
      </c>
    </row>
    <row r="4558" spans="1:6" x14ac:dyDescent="0.3">
      <c r="A4558" t="s">
        <v>7087</v>
      </c>
      <c r="B4558" t="str" cm="1">
        <f t="array" ref="B4558">_xlfn.XLOOKUP(C4558, INDEX([2]!카테고리매핑,,2), INDEX([2]!카테고리매핑,,1), "미등록 카테고리")</f>
        <v>채소/곡물류</v>
      </c>
      <c r="C4558" t="s">
        <v>7</v>
      </c>
      <c r="D4558" t="str">
        <f>VLOOKUP(C4558, '[2]VLOOKUP 함수용 카테고리'!$A$1:$B$59, 2, 0)</f>
        <v>RAW_PRODUCE</v>
      </c>
      <c r="E4558" t="s">
        <v>405</v>
      </c>
      <c r="F4558" t="s">
        <v>6476</v>
      </c>
    </row>
    <row r="4559" spans="1:6" x14ac:dyDescent="0.3">
      <c r="A4559" t="s">
        <v>7088</v>
      </c>
      <c r="B4559" t="str" cm="1">
        <f t="array" ref="B4559">_xlfn.XLOOKUP(C4559, INDEX([2]!카테고리매핑,,2), INDEX([2]!카테고리매핑,,1), "미등록 카테고리")</f>
        <v>술</v>
      </c>
      <c r="C4559" t="s">
        <v>42</v>
      </c>
      <c r="D4559" t="str">
        <f>VLOOKUP(C4559, '[2]VLOOKUP 함수용 카테고리'!$A$1:$B$59, 2, 0)</f>
        <v>ALCOHOL</v>
      </c>
      <c r="E4559" t="s">
        <v>1074</v>
      </c>
      <c r="F4559" t="s">
        <v>2823</v>
      </c>
    </row>
    <row r="4560" spans="1:6" x14ac:dyDescent="0.3">
      <c r="A4560" t="s">
        <v>7089</v>
      </c>
      <c r="B4560" t="str" cm="1">
        <f t="array" ref="B4560">_xlfn.XLOOKUP(C4560, INDEX([2]!카테고리매핑,,2), INDEX([2]!카테고리매핑,,1), "미등록 카테고리")</f>
        <v>유제품</v>
      </c>
      <c r="C4560" t="s">
        <v>211</v>
      </c>
      <c r="D4560" t="str">
        <f>VLOOKUP(C4560, '[2]VLOOKUP 함수용 카테고리'!$A$1:$B$59, 2, 0)</f>
        <v>DAIRY</v>
      </c>
      <c r="E4560" t="s">
        <v>211</v>
      </c>
      <c r="F4560" t="s">
        <v>7090</v>
      </c>
    </row>
    <row r="4561" spans="1:6" x14ac:dyDescent="0.3">
      <c r="A4561" t="s">
        <v>7091</v>
      </c>
      <c r="B4561" t="str" cm="1">
        <f t="array" ref="B4561">_xlfn.XLOOKUP(C4561, INDEX([2]!카테고리매핑,,2), INDEX([2]!카테고리매핑,,1), "미등록 카테고리")</f>
        <v>상온식품</v>
      </c>
      <c r="C4561" t="s">
        <v>769</v>
      </c>
      <c r="D4561" t="str">
        <f>VLOOKUP(C4561, '[2]VLOOKUP 함수용 카테고리'!$A$1:$B$59, 2, 0)</f>
        <v>GRAIN</v>
      </c>
      <c r="E4561" t="s">
        <v>770</v>
      </c>
      <c r="F4561" t="s">
        <v>7092</v>
      </c>
    </row>
    <row r="4562" spans="1:6" x14ac:dyDescent="0.3">
      <c r="A4562" t="s">
        <v>7093</v>
      </c>
      <c r="B4562" t="str" cm="1">
        <f t="array" ref="B4562">_xlfn.XLOOKUP(C4562, INDEX([2]!카테고리매핑,,2), INDEX([2]!카테고리매핑,,1), "미등록 카테고리")</f>
        <v>간편식</v>
      </c>
      <c r="C4562" t="s">
        <v>131</v>
      </c>
      <c r="D4562" t="str">
        <f>VLOOKUP(C4562, '[2]VLOOKUP 함수용 카테고리'!$A$1:$B$59, 2, 0)</f>
        <v>SIMPLE_PROCESSED</v>
      </c>
      <c r="E4562" t="s">
        <v>755</v>
      </c>
      <c r="F4562" t="s">
        <v>156</v>
      </c>
    </row>
    <row r="4563" spans="1:6" x14ac:dyDescent="0.3">
      <c r="A4563" t="s">
        <v>7094</v>
      </c>
      <c r="B4563" t="str" cm="1">
        <f t="array" ref="B4563">_xlfn.XLOOKUP(C4563, INDEX([2]!카테고리매핑,,2), INDEX([2]!카테고리매핑,,1), "미등록 카테고리")</f>
        <v>간식류</v>
      </c>
      <c r="C4563" t="s">
        <v>15</v>
      </c>
      <c r="D4563" t="str">
        <f>VLOOKUP(C4563, '[2]VLOOKUP 함수용 카테고리'!$A$1:$B$59, 2, 0)</f>
        <v>BAKERY</v>
      </c>
      <c r="E4563" t="s">
        <v>1787</v>
      </c>
      <c r="F4563" t="s">
        <v>198</v>
      </c>
    </row>
    <row r="4564" spans="1:6" x14ac:dyDescent="0.3">
      <c r="A4564" t="s">
        <v>7095</v>
      </c>
      <c r="B4564" t="str" cm="1">
        <f t="array" ref="B4564">_xlfn.XLOOKUP(C4564, INDEX([2]!카테고리매핑,,2), INDEX([2]!카테고리매핑,,1), "미등록 카테고리")</f>
        <v>유제품</v>
      </c>
      <c r="C4564" t="s">
        <v>98</v>
      </c>
      <c r="D4564" t="str">
        <f>VLOOKUP(C4564, '[2]VLOOKUP 함수용 카테고리'!$A$1:$B$59, 2, 0)</f>
        <v>DAIRY</v>
      </c>
      <c r="E4564" t="s">
        <v>98</v>
      </c>
      <c r="F4564" t="s">
        <v>99</v>
      </c>
    </row>
    <row r="4565" spans="1:6" x14ac:dyDescent="0.3">
      <c r="A4565" t="s">
        <v>7096</v>
      </c>
      <c r="B4565" t="str" cm="1">
        <f t="array" ref="B4565">_xlfn.XLOOKUP(C4565, INDEX([2]!카테고리매핑,,2), INDEX([2]!카테고리매핑,,1), "미등록 카테고리")</f>
        <v>조미료</v>
      </c>
      <c r="C4565" t="s">
        <v>127</v>
      </c>
      <c r="D4565" t="str">
        <f>VLOOKUP(C4565, '[2]VLOOKUP 함수용 카테고리'!$A$1:$B$59, 2, 0)</f>
        <v>SAUCE_SEASONING</v>
      </c>
      <c r="E4565" t="s">
        <v>349</v>
      </c>
      <c r="F4565" t="s">
        <v>182</v>
      </c>
    </row>
    <row r="4566" spans="1:6" x14ac:dyDescent="0.3">
      <c r="A4566" t="s">
        <v>7097</v>
      </c>
      <c r="B4566" t="str" cm="1">
        <f t="array" ref="B4566">_xlfn.XLOOKUP(C4566, INDEX([2]!카테고리매핑,,2), INDEX([2]!카테고리매핑,,1), "미등록 카테고리")</f>
        <v>간식류</v>
      </c>
      <c r="C4566" t="s">
        <v>109</v>
      </c>
      <c r="D4566" t="str">
        <f>VLOOKUP(C4566, '[2]VLOOKUP 함수용 카테고리'!$A$1:$B$59, 2, 0)</f>
        <v>SNACK</v>
      </c>
      <c r="E4566" t="s">
        <v>109</v>
      </c>
      <c r="F4566" t="s">
        <v>538</v>
      </c>
    </row>
    <row r="4567" spans="1:6" x14ac:dyDescent="0.3">
      <c r="A4567" t="s">
        <v>7098</v>
      </c>
      <c r="B4567" t="str" cm="1">
        <f t="array" ref="B4567">_xlfn.XLOOKUP(C4567, INDEX([2]!카테고리매핑,,2), INDEX([2]!카테고리매핑,,1), "미등록 카테고리")</f>
        <v>간식류</v>
      </c>
      <c r="C4567" t="s">
        <v>38</v>
      </c>
      <c r="D4567" t="str">
        <f>VLOOKUP(C4567, '[2]VLOOKUP 함수용 카테고리'!$A$1:$B$59, 2, 0)</f>
        <v>SNACK</v>
      </c>
      <c r="E4567" t="s">
        <v>179</v>
      </c>
      <c r="F4567" t="s">
        <v>125</v>
      </c>
    </row>
    <row r="4568" spans="1:6" x14ac:dyDescent="0.3">
      <c r="A4568" t="s">
        <v>7099</v>
      </c>
      <c r="B4568" t="str" cm="1">
        <f t="array" ref="B4568">_xlfn.XLOOKUP(C4568, INDEX([2]!카테고리매핑,,2), INDEX([2]!카테고리매핑,,1), "미등록 카테고리")</f>
        <v>육류/계란</v>
      </c>
      <c r="C4568" t="s">
        <v>149</v>
      </c>
      <c r="D4568" t="str">
        <f>VLOOKUP(C4568, '[2]VLOOKUP 함수용 카테고리'!$A$1:$B$59, 2, 0)</f>
        <v>RAW_MEAT</v>
      </c>
      <c r="E4568" t="s">
        <v>150</v>
      </c>
      <c r="F4568" t="s">
        <v>7100</v>
      </c>
    </row>
    <row r="4569" spans="1:6" x14ac:dyDescent="0.3">
      <c r="A4569" t="s">
        <v>7101</v>
      </c>
      <c r="B4569" t="str" cm="1">
        <f t="array" ref="B4569">_xlfn.XLOOKUP(C4569, INDEX([2]!카테고리매핑,,2), INDEX([2]!카테고리매핑,,1), "미등록 카테고리")</f>
        <v>간식류</v>
      </c>
      <c r="C4569" t="s">
        <v>15</v>
      </c>
      <c r="D4569" t="str">
        <f>VLOOKUP(C4569, '[2]VLOOKUP 함수용 카테고리'!$A$1:$B$59, 2, 0)</f>
        <v>BAKERY</v>
      </c>
      <c r="E4569" t="s">
        <v>200</v>
      </c>
      <c r="F4569" t="s">
        <v>5873</v>
      </c>
    </row>
    <row r="4570" spans="1:6" x14ac:dyDescent="0.3">
      <c r="A4570" t="s">
        <v>7102</v>
      </c>
      <c r="B4570" t="str" cm="1">
        <f t="array" ref="B4570">_xlfn.XLOOKUP(C4570, INDEX([2]!카테고리매핑,,2), INDEX([2]!카테고리매핑,,1), "미등록 카테고리")</f>
        <v>채소/곡물류</v>
      </c>
      <c r="C4570" t="s">
        <v>27</v>
      </c>
      <c r="D4570" t="str">
        <f>VLOOKUP(C4570, '[2]VLOOKUP 함수용 카테고리'!$A$1:$B$59, 2, 0)</f>
        <v>SIMPLE_PROCESSED</v>
      </c>
      <c r="E4570" t="s">
        <v>28</v>
      </c>
      <c r="F4570" t="s">
        <v>350</v>
      </c>
    </row>
    <row r="4571" spans="1:6" x14ac:dyDescent="0.3">
      <c r="A4571" t="s">
        <v>7103</v>
      </c>
      <c r="B4571" t="str" cm="1">
        <f t="array" ref="B4571">_xlfn.XLOOKUP(C4571, INDEX([2]!카테고리매핑,,2), INDEX([2]!카테고리매핑,,1), "미등록 카테고리")</f>
        <v>간식류</v>
      </c>
      <c r="C4571" t="s">
        <v>38</v>
      </c>
      <c r="D4571" t="str">
        <f>VLOOKUP(C4571, '[2]VLOOKUP 함수용 카테고리'!$A$1:$B$59, 2, 0)</f>
        <v>SNACK</v>
      </c>
      <c r="E4571" t="s">
        <v>179</v>
      </c>
      <c r="F4571" t="s">
        <v>734</v>
      </c>
    </row>
    <row r="4572" spans="1:6" x14ac:dyDescent="0.3">
      <c r="A4572" t="s">
        <v>7104</v>
      </c>
      <c r="B4572" t="str" cm="1">
        <f t="array" ref="B4572">_xlfn.XLOOKUP(C4572, INDEX([2]!카테고리매핑,,2), INDEX([2]!카테고리매핑,,1), "미등록 카테고리")</f>
        <v>간식류</v>
      </c>
      <c r="C4572" t="s">
        <v>11</v>
      </c>
      <c r="D4572" t="str">
        <f>VLOOKUP(C4572, '[2]VLOOKUP 함수용 카테고리'!$A$1:$B$59, 2, 0)</f>
        <v>SNACK</v>
      </c>
      <c r="E4572" t="s">
        <v>6964</v>
      </c>
      <c r="F4572" t="s">
        <v>54</v>
      </c>
    </row>
    <row r="4573" spans="1:6" x14ac:dyDescent="0.3">
      <c r="A4573" t="s">
        <v>7105</v>
      </c>
      <c r="B4573" t="str" cm="1">
        <f t="array" ref="B4573">_xlfn.XLOOKUP(C4573, INDEX([2]!카테고리매핑,,2), INDEX([2]!카테고리매핑,,1), "미등록 카테고리")</f>
        <v>유제품</v>
      </c>
      <c r="C4573" t="s">
        <v>123</v>
      </c>
      <c r="D4573" t="str">
        <f>VLOOKUP(C4573, '[2]VLOOKUP 함수용 카테고리'!$A$1:$B$59, 2, 0)</f>
        <v>DAIRY</v>
      </c>
      <c r="E4573" t="s">
        <v>190</v>
      </c>
      <c r="F4573" t="s">
        <v>4695</v>
      </c>
    </row>
    <row r="4574" spans="1:6" x14ac:dyDescent="0.3">
      <c r="A4574" t="s">
        <v>7106</v>
      </c>
      <c r="B4574" t="str" cm="1">
        <f t="array" ref="B4574">_xlfn.XLOOKUP(C4574, INDEX([2]!카테고리매핑,,2), INDEX([2]!카테고리매핑,,1), "미등록 카테고리")</f>
        <v>과일/견과류</v>
      </c>
      <c r="C4574" t="s">
        <v>5029</v>
      </c>
      <c r="D4574" t="str">
        <f>VLOOKUP(C4574, '[2]VLOOKUP 함수용 카테고리'!$A$1:$B$59, 2, 0)</f>
        <v>SIMPLE_PROCESSED</v>
      </c>
      <c r="E4574" t="s">
        <v>5527</v>
      </c>
    </row>
    <row r="4575" spans="1:6" x14ac:dyDescent="0.3">
      <c r="A4575" t="s">
        <v>7107</v>
      </c>
      <c r="B4575" t="str" cm="1">
        <f t="array" ref="B4575">_xlfn.XLOOKUP(C4575, INDEX([2]!카테고리매핑,,2), INDEX([2]!카테고리매핑,,1), "미등록 카테고리")</f>
        <v>간식류</v>
      </c>
      <c r="C4575" t="s">
        <v>38</v>
      </c>
      <c r="D4575" t="str">
        <f>VLOOKUP(C4575, '[2]VLOOKUP 함수용 카테고리'!$A$1:$B$59, 2, 0)</f>
        <v>SNACK</v>
      </c>
      <c r="E4575" t="s">
        <v>7108</v>
      </c>
      <c r="F4575" t="s">
        <v>7944</v>
      </c>
    </row>
    <row r="4576" spans="1:6" x14ac:dyDescent="0.3">
      <c r="A4576" t="s">
        <v>7109</v>
      </c>
      <c r="B4576" t="str" cm="1">
        <f t="array" ref="B4576">_xlfn.XLOOKUP(C4576, INDEX([2]!카테고리매핑,,2), INDEX([2]!카테고리매핑,,1), "미등록 카테고리")</f>
        <v>채소/곡물류</v>
      </c>
      <c r="C4576" t="s">
        <v>207</v>
      </c>
      <c r="D4576" t="str">
        <f>VLOOKUP(C4576, '[2]VLOOKUP 함수용 카테고리'!$A$1:$B$59, 2, 0)</f>
        <v>GRAIN</v>
      </c>
      <c r="E4576" t="s">
        <v>2588</v>
      </c>
      <c r="F4576" t="s">
        <v>7110</v>
      </c>
    </row>
    <row r="4577" spans="1:6" x14ac:dyDescent="0.3">
      <c r="A4577" t="s">
        <v>7111</v>
      </c>
      <c r="B4577" t="str" cm="1">
        <f t="array" ref="B4577">_xlfn.XLOOKUP(C4577, INDEX([2]!카테고리매핑,,2), INDEX([2]!카테고리매핑,,1), "미등록 카테고리")</f>
        <v>음료</v>
      </c>
      <c r="C4577" t="s">
        <v>708</v>
      </c>
      <c r="D4577" t="str">
        <f>VLOOKUP(C4577, '[2]VLOOKUP 함수용 카테고리'!$A$1:$B$59, 2, 0)</f>
        <v>BEVERAGE</v>
      </c>
      <c r="E4577" t="s">
        <v>708</v>
      </c>
      <c r="F4577" t="s">
        <v>156</v>
      </c>
    </row>
    <row r="4578" spans="1:6" x14ac:dyDescent="0.3">
      <c r="A4578" t="s">
        <v>7112</v>
      </c>
      <c r="B4578" t="str" cm="1">
        <f t="array" ref="B4578">_xlfn.XLOOKUP(C4578, INDEX([2]!카테고리매핑,,2), INDEX([2]!카테고리매핑,,1), "미등록 카테고리")</f>
        <v>조미료</v>
      </c>
      <c r="C4578" t="s">
        <v>558</v>
      </c>
      <c r="D4578" t="str">
        <f>VLOOKUP(C4578, '[2]VLOOKUP 함수용 카테고리'!$A$1:$B$59, 2, 0)</f>
        <v>SAUCE_SEASONING</v>
      </c>
      <c r="E4578" t="s">
        <v>559</v>
      </c>
      <c r="F4578" t="s">
        <v>129</v>
      </c>
    </row>
    <row r="4579" spans="1:6" x14ac:dyDescent="0.3">
      <c r="A4579" t="s">
        <v>7113</v>
      </c>
      <c r="B4579" t="str" cm="1">
        <f t="array" ref="B4579">_xlfn.XLOOKUP(C4579, INDEX([2]!카테고리매핑,,2), INDEX([2]!카테고리매핑,,1), "미등록 카테고리")</f>
        <v>유제품</v>
      </c>
      <c r="C4579" t="s">
        <v>98</v>
      </c>
      <c r="D4579" t="str">
        <f>VLOOKUP(C4579, '[2]VLOOKUP 함수용 카테고리'!$A$1:$B$59, 2, 0)</f>
        <v>DAIRY</v>
      </c>
      <c r="E4579" t="s">
        <v>273</v>
      </c>
      <c r="F4579" t="s">
        <v>475</v>
      </c>
    </row>
    <row r="4580" spans="1:6" x14ac:dyDescent="0.3">
      <c r="A4580" t="s">
        <v>7114</v>
      </c>
      <c r="B4580" t="str" cm="1">
        <f t="array" ref="B4580">_xlfn.XLOOKUP(C4580, INDEX([2]!카테고리매핑,,2), INDEX([2]!카테고리매핑,,1), "미등록 카테고리")</f>
        <v>음료</v>
      </c>
      <c r="C4580" t="s">
        <v>708</v>
      </c>
      <c r="D4580" t="str">
        <f>VLOOKUP(C4580, '[2]VLOOKUP 함수용 카테고리'!$A$1:$B$59, 2, 0)</f>
        <v>BEVERAGE</v>
      </c>
      <c r="E4580" t="s">
        <v>708</v>
      </c>
      <c r="F4580" t="s">
        <v>7740</v>
      </c>
    </row>
    <row r="4581" spans="1:6" x14ac:dyDescent="0.3">
      <c r="A4581" t="s">
        <v>7115</v>
      </c>
      <c r="B4581" t="str" cm="1">
        <f t="array" ref="B4581">_xlfn.XLOOKUP(C4581, INDEX([2]!카테고리매핑,,2), INDEX([2]!카테고리매핑,,1), "미등록 카테고리")</f>
        <v>간편식</v>
      </c>
      <c r="C4581" t="s">
        <v>161</v>
      </c>
      <c r="D4581" t="str">
        <f>VLOOKUP(C4581, '[2]VLOOKUP 함수용 카테고리'!$A$1:$B$59, 2, 0)</f>
        <v>RTC_MEAL</v>
      </c>
      <c r="E4581" t="s">
        <v>162</v>
      </c>
    </row>
    <row r="4582" spans="1:6" x14ac:dyDescent="0.3">
      <c r="A4582" t="s">
        <v>7116</v>
      </c>
      <c r="B4582" t="str" cm="1">
        <f t="array" ref="B4582">_xlfn.XLOOKUP(C4582, INDEX([2]!카테고리매핑,,2), INDEX([2]!카테고리매핑,,1), "미등록 카테고리")</f>
        <v>상온식품</v>
      </c>
      <c r="C4582" t="s">
        <v>276</v>
      </c>
      <c r="D4582" t="str">
        <f>VLOOKUP(C4582, '[2]VLOOKUP 함수용 카테고리'!$A$1:$B$59, 2, 0)</f>
        <v>DRIED_SEAFOOD</v>
      </c>
      <c r="E4582" t="s">
        <v>277</v>
      </c>
      <c r="F4582" t="s">
        <v>3504</v>
      </c>
    </row>
    <row r="4583" spans="1:6" x14ac:dyDescent="0.3">
      <c r="A4583" t="s">
        <v>7117</v>
      </c>
      <c r="B4583" t="str" cm="1">
        <f t="array" ref="B4583">_xlfn.XLOOKUP(C4583, INDEX([2]!카테고리매핑,,2), INDEX([2]!카테고리매핑,,1), "미등록 카테고리")</f>
        <v>조미료</v>
      </c>
      <c r="C4583" t="s">
        <v>84</v>
      </c>
      <c r="D4583" t="str">
        <f>VLOOKUP(C4583, '[2]VLOOKUP 함수용 카테고리'!$A$1:$B$59, 2, 0)</f>
        <v>SAUCE_SEASONING</v>
      </c>
      <c r="E4583" t="s">
        <v>85</v>
      </c>
      <c r="F4583" t="s">
        <v>7945</v>
      </c>
    </row>
    <row r="4584" spans="1:6" x14ac:dyDescent="0.3">
      <c r="A4584" t="s">
        <v>7118</v>
      </c>
      <c r="B4584" t="str" cm="1">
        <f t="array" ref="B4584">_xlfn.XLOOKUP(C4584, INDEX([2]!카테고리매핑,,2), INDEX([2]!카테고리매핑,,1), "미등록 카테고리")</f>
        <v>육류/계란</v>
      </c>
      <c r="C4584" t="s">
        <v>149</v>
      </c>
      <c r="D4584" t="str">
        <f>VLOOKUP(C4584, '[2]VLOOKUP 함수용 카테고리'!$A$1:$B$59, 2, 0)</f>
        <v>RAW_MEAT</v>
      </c>
      <c r="E4584" t="s">
        <v>7119</v>
      </c>
      <c r="F4584" t="s">
        <v>1510</v>
      </c>
    </row>
    <row r="4585" spans="1:6" x14ac:dyDescent="0.3">
      <c r="A4585" t="s">
        <v>7120</v>
      </c>
      <c r="B4585" t="str" cm="1">
        <f t="array" ref="B4585">_xlfn.XLOOKUP(C4585, INDEX([2]!카테고리매핑,,2), INDEX([2]!카테고리매핑,,1), "미등록 카테고리")</f>
        <v>간식류</v>
      </c>
      <c r="C4585" t="s">
        <v>15</v>
      </c>
      <c r="D4585" t="str">
        <f>VLOOKUP(C4585, '[2]VLOOKUP 함수용 카테고리'!$A$1:$B$59, 2, 0)</f>
        <v>BAKERY</v>
      </c>
      <c r="E4585" t="s">
        <v>6313</v>
      </c>
      <c r="F4585" t="s">
        <v>7121</v>
      </c>
    </row>
    <row r="4586" spans="1:6" x14ac:dyDescent="0.3">
      <c r="A4586" t="s">
        <v>7122</v>
      </c>
      <c r="B4586" t="str" cm="1">
        <f t="array" ref="B4586">_xlfn.XLOOKUP(C4586, INDEX([2]!카테고리매핑,,2), INDEX([2]!카테고리매핑,,1), "미등록 카테고리")</f>
        <v>간식류</v>
      </c>
      <c r="C4586" t="s">
        <v>11</v>
      </c>
      <c r="D4586" t="str">
        <f>VLOOKUP(C4586, '[2]VLOOKUP 함수용 카테고리'!$A$1:$B$59, 2, 0)</f>
        <v>SNACK</v>
      </c>
      <c r="E4586" t="s">
        <v>7123</v>
      </c>
      <c r="F4586" t="s">
        <v>7124</v>
      </c>
    </row>
    <row r="4587" spans="1:6" x14ac:dyDescent="0.3">
      <c r="A4587" t="s">
        <v>1375</v>
      </c>
      <c r="B4587" t="str" cm="1">
        <f t="array" ref="B4587">_xlfn.XLOOKUP(C4587, INDEX([2]!카테고리매핑,,2), INDEX([2]!카테고리매핑,,1), "미등록 카테고리")</f>
        <v>과일/견과류</v>
      </c>
      <c r="C4587" t="s">
        <v>654</v>
      </c>
      <c r="D4587" t="str">
        <f>VLOOKUP(C4587, '[2]VLOOKUP 함수용 카테고리'!$A$1:$B$59, 2, 0)</f>
        <v>RAW_FRUIT</v>
      </c>
      <c r="E4587" t="s">
        <v>1376</v>
      </c>
      <c r="F4587" t="s">
        <v>151</v>
      </c>
    </row>
    <row r="4588" spans="1:6" x14ac:dyDescent="0.3">
      <c r="A4588" t="s">
        <v>7125</v>
      </c>
      <c r="B4588" t="str" cm="1">
        <f t="array" ref="B4588">_xlfn.XLOOKUP(C4588, INDEX([2]!카테고리매핑,,2), INDEX([2]!카테고리매핑,,1), "미등록 카테고리")</f>
        <v>간식류</v>
      </c>
      <c r="C4588" t="s">
        <v>11</v>
      </c>
      <c r="D4588" t="str">
        <f>VLOOKUP(C4588, '[2]VLOOKUP 함수용 카테고리'!$A$1:$B$59, 2, 0)</f>
        <v>SNACK</v>
      </c>
      <c r="E4588" t="s">
        <v>153</v>
      </c>
      <c r="F4588" t="s">
        <v>303</v>
      </c>
    </row>
    <row r="4589" spans="1:6" x14ac:dyDescent="0.3">
      <c r="A4589" t="s">
        <v>7126</v>
      </c>
      <c r="B4589" t="str" cm="1">
        <f t="array" ref="B4589">_xlfn.XLOOKUP(C4589, INDEX([2]!카테고리매핑,,2), INDEX([2]!카테고리매핑,,1), "미등록 카테고리")</f>
        <v>조미료</v>
      </c>
      <c r="C4589" t="s">
        <v>117</v>
      </c>
      <c r="D4589" t="str">
        <f>VLOOKUP(C4589, '[2]VLOOKUP 함수용 카테고리'!$A$1:$B$59, 2, 0)</f>
        <v>SAUCE_SEASONING</v>
      </c>
      <c r="E4589" t="s">
        <v>118</v>
      </c>
      <c r="F4589" t="s">
        <v>646</v>
      </c>
    </row>
    <row r="4590" spans="1:6" x14ac:dyDescent="0.3">
      <c r="A4590" t="s">
        <v>7127</v>
      </c>
      <c r="B4590" t="str" cm="1">
        <f t="array" ref="B4590">_xlfn.XLOOKUP(C4590, INDEX([2]!카테고리매핑,,2), INDEX([2]!카테고리매핑,,1), "미등록 카테고리")</f>
        <v>채소/곡물류</v>
      </c>
      <c r="C4590" t="s">
        <v>7</v>
      </c>
      <c r="D4590" t="str">
        <f>VLOOKUP(C4590, '[2]VLOOKUP 함수용 카테고리'!$A$1:$B$59, 2, 0)</f>
        <v>RAW_PRODUCE</v>
      </c>
      <c r="E4590" t="s">
        <v>743</v>
      </c>
    </row>
    <row r="4591" spans="1:6" x14ac:dyDescent="0.3">
      <c r="A4591" t="s">
        <v>7128</v>
      </c>
      <c r="B4591" t="str" cm="1">
        <f t="array" ref="B4591">_xlfn.XLOOKUP(C4591, INDEX([2]!카테고리매핑,,2), INDEX([2]!카테고리매핑,,1), "미등록 카테고리")</f>
        <v>간식류</v>
      </c>
      <c r="C4591" t="s">
        <v>11</v>
      </c>
      <c r="D4591" t="str">
        <f>VLOOKUP(C4591, '[2]VLOOKUP 함수용 카테고리'!$A$1:$B$59, 2, 0)</f>
        <v>SNACK</v>
      </c>
      <c r="E4591" t="s">
        <v>361</v>
      </c>
      <c r="F4591" t="s">
        <v>2875</v>
      </c>
    </row>
    <row r="4592" spans="1:6" x14ac:dyDescent="0.3">
      <c r="A4592" t="s">
        <v>7129</v>
      </c>
      <c r="B4592" t="str" cm="1">
        <f t="array" ref="B4592">_xlfn.XLOOKUP(C4592, INDEX([2]!카테고리매핑,,2), INDEX([2]!카테고리매핑,,1), "미등록 카테고리")</f>
        <v>유제품</v>
      </c>
      <c r="C4592" t="s">
        <v>211</v>
      </c>
      <c r="D4592" t="str">
        <f>VLOOKUP(C4592, '[2]VLOOKUP 함수용 카테고리'!$A$1:$B$59, 2, 0)</f>
        <v>DAIRY</v>
      </c>
      <c r="E4592" t="s">
        <v>211</v>
      </c>
      <c r="F4592" t="s">
        <v>2716</v>
      </c>
    </row>
    <row r="4593" spans="1:6" x14ac:dyDescent="0.3">
      <c r="A4593" t="s">
        <v>7130</v>
      </c>
      <c r="B4593" t="str" cm="1">
        <f t="array" ref="B4593">_xlfn.XLOOKUP(C4593, INDEX([2]!카테고리매핑,,2), INDEX([2]!카테고리매핑,,1), "미등록 카테고리")</f>
        <v>간식류</v>
      </c>
      <c r="C4593" t="s">
        <v>38</v>
      </c>
      <c r="D4593" t="str">
        <f>VLOOKUP(C4593, '[2]VLOOKUP 함수용 카테고리'!$A$1:$B$59, 2, 0)</f>
        <v>SNACK</v>
      </c>
      <c r="E4593" t="s">
        <v>39</v>
      </c>
      <c r="F4593" t="s">
        <v>7131</v>
      </c>
    </row>
    <row r="4594" spans="1:6" x14ac:dyDescent="0.3">
      <c r="A4594" t="s">
        <v>7132</v>
      </c>
      <c r="B4594" t="str" cm="1">
        <f t="array" ref="B4594">_xlfn.XLOOKUP(C4594, INDEX([2]!카테고리매핑,,2), INDEX([2]!카테고리매핑,,1), "미등록 카테고리")</f>
        <v>수산물</v>
      </c>
      <c r="C4594" t="s">
        <v>183</v>
      </c>
      <c r="D4594" t="str">
        <f>VLOOKUP(C4594, '[2]VLOOKUP 함수용 카테고리'!$A$1:$B$59, 2, 0)</f>
        <v>DRIED_SEAFOOD</v>
      </c>
      <c r="E4594" t="s">
        <v>466</v>
      </c>
      <c r="F4594" t="s">
        <v>7891</v>
      </c>
    </row>
    <row r="4595" spans="1:6" x14ac:dyDescent="0.3">
      <c r="A4595" t="s">
        <v>7133</v>
      </c>
      <c r="B4595" t="str" cm="1">
        <f t="array" ref="B4595">_xlfn.XLOOKUP(C4595, INDEX([2]!카테고리매핑,,2), INDEX([2]!카테고리매핑,,1), "미등록 카테고리")</f>
        <v>간편식</v>
      </c>
      <c r="C4595" t="s">
        <v>19</v>
      </c>
      <c r="D4595" t="str">
        <f>VLOOKUP(C4595, '[2]VLOOKUP 함수용 카테고리'!$A$1:$B$59, 2, 0)</f>
        <v>FROZEN_MEAL</v>
      </c>
      <c r="E4595" t="s">
        <v>6334</v>
      </c>
      <c r="F4595" t="s">
        <v>541</v>
      </c>
    </row>
    <row r="4596" spans="1:6" x14ac:dyDescent="0.3">
      <c r="A4596" t="s">
        <v>7134</v>
      </c>
      <c r="B4596" t="str" cm="1">
        <f t="array" ref="B4596">_xlfn.XLOOKUP(C4596, INDEX([2]!카테고리매핑,,2), INDEX([2]!카테고리매핑,,1), "미등록 카테고리")</f>
        <v>조미료</v>
      </c>
      <c r="C4596" t="s">
        <v>127</v>
      </c>
      <c r="D4596" t="str">
        <f>VLOOKUP(C4596, '[2]VLOOKUP 함수용 카테고리'!$A$1:$B$59, 2, 0)</f>
        <v>SAUCE_SEASONING</v>
      </c>
      <c r="E4596" t="s">
        <v>7135</v>
      </c>
      <c r="F4596" t="s">
        <v>136</v>
      </c>
    </row>
    <row r="4597" spans="1:6" x14ac:dyDescent="0.3">
      <c r="A4597" t="s">
        <v>7136</v>
      </c>
      <c r="B4597" t="str" cm="1">
        <f t="array" ref="B4597">_xlfn.XLOOKUP(C4597, INDEX([2]!카테고리매핑,,2), INDEX([2]!카테고리매핑,,1), "미등록 카테고리")</f>
        <v>간편식</v>
      </c>
      <c r="C4597" t="s">
        <v>131</v>
      </c>
      <c r="D4597" t="str">
        <f>VLOOKUP(C4597, '[2]VLOOKUP 함수용 카테고리'!$A$1:$B$59, 2, 0)</f>
        <v>SIMPLE_PROCESSED</v>
      </c>
      <c r="E4597" t="s">
        <v>7137</v>
      </c>
      <c r="F4597" t="s">
        <v>7138</v>
      </c>
    </row>
    <row r="4598" spans="1:6" x14ac:dyDescent="0.3">
      <c r="A4598" t="s">
        <v>7139</v>
      </c>
      <c r="B4598" t="str" cm="1">
        <f t="array" ref="B4598">_xlfn.XLOOKUP(C4598, INDEX([2]!카테고리매핑,,2), INDEX([2]!카테고리매핑,,1), "미등록 카테고리")</f>
        <v>조미료</v>
      </c>
      <c r="C4598" t="s">
        <v>127</v>
      </c>
      <c r="D4598" t="str">
        <f>VLOOKUP(C4598, '[2]VLOOKUP 함수용 카테고리'!$A$1:$B$59, 2, 0)</f>
        <v>SAUCE_SEASONING</v>
      </c>
      <c r="E4598" t="s">
        <v>436</v>
      </c>
      <c r="F4598" t="s">
        <v>129</v>
      </c>
    </row>
    <row r="4599" spans="1:6" x14ac:dyDescent="0.3">
      <c r="A4599" t="s">
        <v>7140</v>
      </c>
      <c r="B4599" t="str" cm="1">
        <f t="array" ref="B4599">_xlfn.XLOOKUP(C4599, INDEX([2]!카테고리매핑,,2), INDEX([2]!카테고리매핑,,1), "미등록 카테고리")</f>
        <v>채소/곡물류</v>
      </c>
      <c r="C4599" t="s">
        <v>301</v>
      </c>
      <c r="D4599" t="str">
        <f>VLOOKUP(C4599, '[2]VLOOKUP 함수용 카테고리'!$A$1:$B$59, 2, 0)</f>
        <v>GRAIN</v>
      </c>
      <c r="E4599" t="s">
        <v>611</v>
      </c>
      <c r="F4599" t="s">
        <v>7946</v>
      </c>
    </row>
    <row r="4600" spans="1:6" x14ac:dyDescent="0.3">
      <c r="A4600" t="s">
        <v>7141</v>
      </c>
      <c r="B4600" t="str" cm="1">
        <f t="array" ref="B4600">_xlfn.XLOOKUP(C4600, INDEX([2]!카테고리매핑,,2), INDEX([2]!카테고리매핑,,1), "미등록 카테고리")</f>
        <v>유제품</v>
      </c>
      <c r="C4600" t="s">
        <v>123</v>
      </c>
      <c r="D4600" t="str">
        <f>VLOOKUP(C4600, '[2]VLOOKUP 함수용 카테고리'!$A$1:$B$59, 2, 0)</f>
        <v>DAIRY</v>
      </c>
      <c r="E4600" t="s">
        <v>190</v>
      </c>
      <c r="F4600" t="s">
        <v>623</v>
      </c>
    </row>
    <row r="4601" spans="1:6" x14ac:dyDescent="0.3">
      <c r="A4601" t="s">
        <v>7142</v>
      </c>
      <c r="B4601" t="str" cm="1">
        <f t="array" ref="B4601">_xlfn.XLOOKUP(C4601, INDEX([2]!카테고리매핑,,2), INDEX([2]!카테고리매핑,,1), "미등록 카테고리")</f>
        <v>간편식</v>
      </c>
      <c r="C4601" t="s">
        <v>131</v>
      </c>
      <c r="D4601" t="str">
        <f>VLOOKUP(C4601, '[2]VLOOKUP 함수용 카테고리'!$A$1:$B$59, 2, 0)</f>
        <v>SIMPLE_PROCESSED</v>
      </c>
      <c r="E4601" t="s">
        <v>7143</v>
      </c>
      <c r="F4601" t="s">
        <v>1960</v>
      </c>
    </row>
    <row r="4602" spans="1:6" x14ac:dyDescent="0.3">
      <c r="A4602" t="s">
        <v>7144</v>
      </c>
      <c r="B4602" t="str" cm="1">
        <f t="array" ref="B4602">_xlfn.XLOOKUP(C4602, INDEX([2]!카테고리매핑,,2), INDEX([2]!카테고리매핑,,1), "미등록 카테고리")</f>
        <v>간식류</v>
      </c>
      <c r="C4602" t="s">
        <v>11</v>
      </c>
      <c r="D4602" t="str">
        <f>VLOOKUP(C4602, '[2]VLOOKUP 함수용 카테고리'!$A$1:$B$59, 2, 0)</f>
        <v>SNACK</v>
      </c>
      <c r="E4602" t="s">
        <v>371</v>
      </c>
      <c r="F4602" t="s">
        <v>1231</v>
      </c>
    </row>
    <row r="4603" spans="1:6" x14ac:dyDescent="0.3">
      <c r="A4603" t="s">
        <v>7145</v>
      </c>
      <c r="B4603" t="str" cm="1">
        <f t="array" ref="B4603">_xlfn.XLOOKUP(C4603, INDEX([2]!카테고리매핑,,2), INDEX([2]!카테고리매핑,,1), "미등록 카테고리")</f>
        <v>간편식</v>
      </c>
      <c r="C4603" t="s">
        <v>256</v>
      </c>
      <c r="D4603" t="str">
        <f>VLOOKUP(C4603, '[2]VLOOKUP 함수용 카테고리'!$A$1:$B$59, 2, 0)</f>
        <v>RTC_MEAL</v>
      </c>
      <c r="E4603" t="s">
        <v>256</v>
      </c>
      <c r="F4603" t="s">
        <v>7947</v>
      </c>
    </row>
    <row r="4604" spans="1:6" x14ac:dyDescent="0.3">
      <c r="A4604" t="s">
        <v>7146</v>
      </c>
      <c r="B4604" t="str" cm="1">
        <f t="array" ref="B4604">_xlfn.XLOOKUP(C4604, INDEX([2]!카테고리매핑,,2), INDEX([2]!카테고리매핑,,1), "미등록 카테고리")</f>
        <v>수산물</v>
      </c>
      <c r="C4604" t="s">
        <v>229</v>
      </c>
      <c r="D4604" t="str">
        <f>VLOOKUP(C4604, '[2]VLOOKUP 함수용 카테고리'!$A$1:$B$59, 2, 0)</f>
        <v>RAW_SEAFOOD</v>
      </c>
      <c r="E4604" t="s">
        <v>230</v>
      </c>
      <c r="F4604" t="s">
        <v>451</v>
      </c>
    </row>
    <row r="4605" spans="1:6" x14ac:dyDescent="0.3">
      <c r="A4605" t="s">
        <v>7147</v>
      </c>
      <c r="B4605" t="str" cm="1">
        <f t="array" ref="B4605">_xlfn.XLOOKUP(C4605, INDEX([2]!카테고리매핑,,2), INDEX([2]!카테고리매핑,,1), "미등록 카테고리")</f>
        <v>조미료</v>
      </c>
      <c r="C4605" t="s">
        <v>127</v>
      </c>
      <c r="D4605" t="str">
        <f>VLOOKUP(C4605, '[2]VLOOKUP 함수용 카테고리'!$A$1:$B$59, 2, 0)</f>
        <v>SAUCE_SEASONING</v>
      </c>
      <c r="E4605" t="s">
        <v>436</v>
      </c>
      <c r="F4605" t="s">
        <v>5172</v>
      </c>
    </row>
    <row r="4606" spans="1:6" x14ac:dyDescent="0.3">
      <c r="A4606" t="s">
        <v>7148</v>
      </c>
      <c r="B4606" t="str" cm="1">
        <f t="array" ref="B4606">_xlfn.XLOOKUP(C4606, INDEX([2]!카테고리매핑,,2), INDEX([2]!카테고리매핑,,1), "미등록 카테고리")</f>
        <v>간편식</v>
      </c>
      <c r="C4606" t="s">
        <v>256</v>
      </c>
      <c r="D4606" t="str">
        <f>VLOOKUP(C4606, '[2]VLOOKUP 함수용 카테고리'!$A$1:$B$59, 2, 0)</f>
        <v>RTC_MEAL</v>
      </c>
      <c r="E4606" t="s">
        <v>256</v>
      </c>
      <c r="F4606" t="s">
        <v>2880</v>
      </c>
    </row>
    <row r="4607" spans="1:6" x14ac:dyDescent="0.3">
      <c r="A4607" t="s">
        <v>7149</v>
      </c>
      <c r="B4607" t="str" cm="1">
        <f t="array" ref="B4607">_xlfn.XLOOKUP(C4607, INDEX([2]!카테고리매핑,,2), INDEX([2]!카테고리매핑,,1), "미등록 카테고리")</f>
        <v>조미료</v>
      </c>
      <c r="C4607" t="s">
        <v>127</v>
      </c>
      <c r="D4607" t="str">
        <f>VLOOKUP(C4607, '[2]VLOOKUP 함수용 카테고리'!$A$1:$B$59, 2, 0)</f>
        <v>SAUCE_SEASONING</v>
      </c>
      <c r="E4607" t="s">
        <v>436</v>
      </c>
      <c r="F4607" t="s">
        <v>182</v>
      </c>
    </row>
    <row r="4608" spans="1:6" x14ac:dyDescent="0.3">
      <c r="A4608" t="s">
        <v>7150</v>
      </c>
      <c r="B4608" t="str" cm="1">
        <f t="array" ref="B4608">_xlfn.XLOOKUP(C4608, INDEX([2]!카테고리매핑,,2), INDEX([2]!카테고리매핑,,1), "미등록 카테고리")</f>
        <v>채소/곡물류</v>
      </c>
      <c r="C4608" t="s">
        <v>7</v>
      </c>
      <c r="D4608" t="str">
        <f>VLOOKUP(C4608, '[2]VLOOKUP 함수용 카테고리'!$A$1:$B$59, 2, 0)</f>
        <v>RAW_PRODUCE</v>
      </c>
      <c r="E4608" t="s">
        <v>1058</v>
      </c>
      <c r="F4608" t="s">
        <v>350</v>
      </c>
    </row>
    <row r="4609" spans="1:6" x14ac:dyDescent="0.3">
      <c r="A4609" t="s">
        <v>7151</v>
      </c>
      <c r="B4609" t="str" cm="1">
        <f t="array" ref="B4609">_xlfn.XLOOKUP(C4609, INDEX([2]!카테고리매핑,,2), INDEX([2]!카테고리매핑,,1), "미등록 카테고리")</f>
        <v>조미료</v>
      </c>
      <c r="C4609" t="s">
        <v>84</v>
      </c>
      <c r="D4609" t="str">
        <f>VLOOKUP(C4609, '[2]VLOOKUP 함수용 카테고리'!$A$1:$B$59, 2, 0)</f>
        <v>SAUCE_SEASONING</v>
      </c>
      <c r="E4609" t="s">
        <v>6724</v>
      </c>
      <c r="F4609" t="s">
        <v>7152</v>
      </c>
    </row>
    <row r="4610" spans="1:6" x14ac:dyDescent="0.3">
      <c r="A4610" t="s">
        <v>7153</v>
      </c>
      <c r="B4610" t="str" cm="1">
        <f t="array" ref="B4610">_xlfn.XLOOKUP(C4610, INDEX([2]!카테고리매핑,,2), INDEX([2]!카테고리매핑,,1), "미등록 카테고리")</f>
        <v>조미료</v>
      </c>
      <c r="C4610" t="s">
        <v>83</v>
      </c>
      <c r="D4610" t="str">
        <f>VLOOKUP(C4610, '[2]VLOOKUP 함수용 카테고리'!$A$1:$B$59, 2, 0)</f>
        <v>SAUCE_SEASONING</v>
      </c>
      <c r="E4610" t="s">
        <v>1165</v>
      </c>
      <c r="F4610" t="s">
        <v>646</v>
      </c>
    </row>
    <row r="4611" spans="1:6" x14ac:dyDescent="0.3">
      <c r="A4611" t="s">
        <v>3539</v>
      </c>
      <c r="B4611" t="str" cm="1">
        <f t="array" ref="B4611">_xlfn.XLOOKUP(C4611, INDEX([2]!카테고리매핑,,2), INDEX([2]!카테고리매핑,,1), "미등록 카테고리")</f>
        <v>채소/곡물류</v>
      </c>
      <c r="C4611" t="s">
        <v>7</v>
      </c>
      <c r="D4611" t="str">
        <f>VLOOKUP(C4611, '[2]VLOOKUP 함수용 카테고리'!$A$1:$B$59, 2, 0)</f>
        <v>RAW_PRODUCE</v>
      </c>
      <c r="E4611" t="s">
        <v>1177</v>
      </c>
      <c r="F4611" t="s">
        <v>406</v>
      </c>
    </row>
    <row r="4612" spans="1:6" x14ac:dyDescent="0.3">
      <c r="A4612" t="s">
        <v>7154</v>
      </c>
      <c r="B4612" t="str" cm="1">
        <f t="array" ref="B4612">_xlfn.XLOOKUP(C4612, INDEX([2]!카테고리매핑,,2), INDEX([2]!카테고리매핑,,1), "미등록 카테고리")</f>
        <v>조미료</v>
      </c>
      <c r="C4612" t="s">
        <v>127</v>
      </c>
      <c r="D4612" t="str">
        <f>VLOOKUP(C4612, '[2]VLOOKUP 함수용 카테고리'!$A$1:$B$59, 2, 0)</f>
        <v>SAUCE_SEASONING</v>
      </c>
      <c r="E4612" t="s">
        <v>2646</v>
      </c>
      <c r="F4612" t="s">
        <v>7155</v>
      </c>
    </row>
    <row r="4613" spans="1:6" x14ac:dyDescent="0.3">
      <c r="A4613" t="s">
        <v>7156</v>
      </c>
      <c r="B4613" t="str" cm="1">
        <f t="array" ref="B4613">_xlfn.XLOOKUP(C4613, INDEX([2]!카테고리매핑,,2), INDEX([2]!카테고리매핑,,1), "미등록 카테고리")</f>
        <v>음료</v>
      </c>
      <c r="C4613" t="s">
        <v>23</v>
      </c>
      <c r="D4613" t="str">
        <f>VLOOKUP(C4613, '[2]VLOOKUP 함수용 카테고리'!$A$1:$B$59, 2, 0)</f>
        <v>BEVERAGE</v>
      </c>
      <c r="E4613" t="s">
        <v>355</v>
      </c>
      <c r="F4613" t="s">
        <v>356</v>
      </c>
    </row>
    <row r="4614" spans="1:6" x14ac:dyDescent="0.3">
      <c r="A4614" t="s">
        <v>7157</v>
      </c>
      <c r="B4614" t="str" cm="1">
        <f t="array" ref="B4614">_xlfn.XLOOKUP(C4614, INDEX([2]!카테고리매핑,,2), INDEX([2]!카테고리매핑,,1), "미등록 카테고리")</f>
        <v>육류/계란</v>
      </c>
      <c r="C4614" t="s">
        <v>34</v>
      </c>
      <c r="D4614" t="str">
        <f>VLOOKUP(C4614, '[2]VLOOKUP 함수용 카테고리'!$A$1:$B$59, 2, 0)</f>
        <v>RAW_MEAT</v>
      </c>
      <c r="E4614" t="s">
        <v>2839</v>
      </c>
      <c r="F4614" t="s">
        <v>1915</v>
      </c>
    </row>
    <row r="4615" spans="1:6" x14ac:dyDescent="0.3">
      <c r="A4615" t="s">
        <v>7158</v>
      </c>
      <c r="B4615" t="str" cm="1">
        <f t="array" ref="B4615">_xlfn.XLOOKUP(C4615, INDEX([2]!카테고리매핑,,2), INDEX([2]!카테고리매핑,,1), "미등록 카테고리")</f>
        <v>육류/계란</v>
      </c>
      <c r="C4615" t="s">
        <v>298</v>
      </c>
      <c r="D4615" t="str">
        <f>VLOOKUP(C4615, '[2]VLOOKUP 함수용 카테고리'!$A$1:$B$59, 2, 0)</f>
        <v>RAW_MEAT</v>
      </c>
      <c r="E4615" t="s">
        <v>751</v>
      </c>
      <c r="F4615" t="s">
        <v>571</v>
      </c>
    </row>
    <row r="4616" spans="1:6" x14ac:dyDescent="0.3">
      <c r="A4616" t="s">
        <v>7159</v>
      </c>
      <c r="B4616" t="str" cm="1">
        <f t="array" ref="B4616">_xlfn.XLOOKUP(C4616, INDEX([2]!카테고리매핑,,2), INDEX([2]!카테고리매핑,,1), "미등록 카테고리")</f>
        <v>과일/견과류</v>
      </c>
      <c r="C4616" t="s">
        <v>1179</v>
      </c>
      <c r="D4616" t="str">
        <f>VLOOKUP(C4616, '[2]VLOOKUP 함수용 카테고리'!$A$1:$B$59, 2, 0)</f>
        <v>RAW_FRUIT</v>
      </c>
      <c r="E4616" t="s">
        <v>7160</v>
      </c>
      <c r="F4616" t="s">
        <v>7161</v>
      </c>
    </row>
    <row r="4617" spans="1:6" x14ac:dyDescent="0.3">
      <c r="A4617" t="s">
        <v>7162</v>
      </c>
      <c r="B4617" t="str" cm="1">
        <f t="array" ref="B4617">_xlfn.XLOOKUP(C4617, INDEX([2]!카테고리매핑,,2), INDEX([2]!카테고리매핑,,1), "미등록 카테고리")</f>
        <v>간편식</v>
      </c>
      <c r="C4617" t="s">
        <v>131</v>
      </c>
      <c r="D4617" t="str">
        <f>VLOOKUP(C4617, '[2]VLOOKUP 함수용 카테고리'!$A$1:$B$59, 2, 0)</f>
        <v>SIMPLE_PROCESSED</v>
      </c>
      <c r="E4617" t="s">
        <v>7163</v>
      </c>
      <c r="F4617" t="s">
        <v>133</v>
      </c>
    </row>
    <row r="4618" spans="1:6" x14ac:dyDescent="0.3">
      <c r="A4618" t="s">
        <v>7164</v>
      </c>
      <c r="B4618" t="str" cm="1">
        <f t="array" ref="B4618">_xlfn.XLOOKUP(C4618, INDEX([2]!카테고리매핑,,2), INDEX([2]!카테고리매핑,,1), "미등록 카테고리")</f>
        <v>음료</v>
      </c>
      <c r="C4618" t="s">
        <v>23</v>
      </c>
      <c r="D4618" t="str">
        <f>VLOOKUP(C4618, '[2]VLOOKUP 함수용 카테고리'!$A$1:$B$59, 2, 0)</f>
        <v>BEVERAGE</v>
      </c>
      <c r="E4618" t="s">
        <v>355</v>
      </c>
      <c r="F4618" t="s">
        <v>6446</v>
      </c>
    </row>
    <row r="4619" spans="1:6" x14ac:dyDescent="0.3">
      <c r="A4619" t="s">
        <v>7165</v>
      </c>
      <c r="B4619" t="str" cm="1">
        <f t="array" ref="B4619">_xlfn.XLOOKUP(C4619, INDEX([2]!카테고리매핑,,2), INDEX([2]!카테고리매핑,,1), "미등록 카테고리")</f>
        <v>유제품</v>
      </c>
      <c r="C4619" t="s">
        <v>98</v>
      </c>
      <c r="D4619" t="str">
        <f>VLOOKUP(C4619, '[2]VLOOKUP 함수용 카테고리'!$A$1:$B$59, 2, 0)</f>
        <v>DAIRY</v>
      </c>
      <c r="E4619" t="s">
        <v>1466</v>
      </c>
      <c r="F4619" t="s">
        <v>1467</v>
      </c>
    </row>
    <row r="4620" spans="1:6" x14ac:dyDescent="0.3">
      <c r="A4620" t="s">
        <v>7166</v>
      </c>
      <c r="B4620" t="str" cm="1">
        <f t="array" ref="B4620">_xlfn.XLOOKUP(C4620, INDEX([2]!카테고리매핑,,2), INDEX([2]!카테고리매핑,,1), "미등록 카테고리")</f>
        <v>음료</v>
      </c>
      <c r="C4620" t="s">
        <v>23</v>
      </c>
      <c r="D4620" t="str">
        <f>VLOOKUP(C4620, '[2]VLOOKUP 함수용 카테고리'!$A$1:$B$59, 2, 0)</f>
        <v>BEVERAGE</v>
      </c>
      <c r="E4620" t="s">
        <v>3705</v>
      </c>
      <c r="F4620" t="s">
        <v>7948</v>
      </c>
    </row>
    <row r="4621" spans="1:6" x14ac:dyDescent="0.3">
      <c r="A4621" t="s">
        <v>7167</v>
      </c>
      <c r="B4621" t="str" cm="1">
        <f t="array" ref="B4621">_xlfn.XLOOKUP(C4621, INDEX([2]!카테고리매핑,,2), INDEX([2]!카테고리매핑,,1), "미등록 카테고리")</f>
        <v>간식류</v>
      </c>
      <c r="C4621" t="s">
        <v>15</v>
      </c>
      <c r="D4621" t="str">
        <f>VLOOKUP(C4621, '[2]VLOOKUP 함수용 카테고리'!$A$1:$B$59, 2, 0)</f>
        <v>BAKERY</v>
      </c>
      <c r="E4621" t="s">
        <v>1787</v>
      </c>
      <c r="F4621" t="s">
        <v>2858</v>
      </c>
    </row>
    <row r="4622" spans="1:6" x14ac:dyDescent="0.3">
      <c r="A4622" t="s">
        <v>7168</v>
      </c>
      <c r="B4622" t="str" cm="1">
        <f t="array" ref="B4622">_xlfn.XLOOKUP(C4622, INDEX([2]!카테고리매핑,,2), INDEX([2]!카테고리매핑,,1), "미등록 카테고리")</f>
        <v>채소/곡물류</v>
      </c>
      <c r="C4622" t="s">
        <v>7</v>
      </c>
      <c r="D4622" t="str">
        <f>VLOOKUP(C4622, '[2]VLOOKUP 함수용 카테고리'!$A$1:$B$59, 2, 0)</f>
        <v>RAW_PRODUCE</v>
      </c>
      <c r="E4622" t="s">
        <v>188</v>
      </c>
      <c r="F4622" t="s">
        <v>2174</v>
      </c>
    </row>
    <row r="4623" spans="1:6" x14ac:dyDescent="0.3">
      <c r="A4623" t="s">
        <v>7169</v>
      </c>
      <c r="B4623" t="str" cm="1">
        <f t="array" ref="B4623">_xlfn.XLOOKUP(C4623, INDEX([2]!카테고리매핑,,2), INDEX([2]!카테고리매핑,,1), "미등록 카테고리")</f>
        <v>간식류</v>
      </c>
      <c r="C4623" t="s">
        <v>11</v>
      </c>
      <c r="D4623" t="str">
        <f>VLOOKUP(C4623, '[2]VLOOKUP 함수용 카테고리'!$A$1:$B$59, 2, 0)</f>
        <v>SNACK</v>
      </c>
      <c r="E4623" t="s">
        <v>81</v>
      </c>
      <c r="F4623" t="s">
        <v>7944</v>
      </c>
    </row>
    <row r="4624" spans="1:6" x14ac:dyDescent="0.3">
      <c r="A4624" t="s">
        <v>7170</v>
      </c>
      <c r="B4624" t="str" cm="1">
        <f t="array" ref="B4624">_xlfn.XLOOKUP(C4624, INDEX([2]!카테고리매핑,,2), INDEX([2]!카테고리매핑,,1), "미등록 카테고리")</f>
        <v>육류/계란</v>
      </c>
      <c r="C4624" t="s">
        <v>298</v>
      </c>
      <c r="D4624" t="str">
        <f>VLOOKUP(C4624, '[2]VLOOKUP 함수용 카테고리'!$A$1:$B$59, 2, 0)</f>
        <v>RAW_MEAT</v>
      </c>
      <c r="E4624" t="s">
        <v>298</v>
      </c>
      <c r="F4624" t="s">
        <v>151</v>
      </c>
    </row>
    <row r="4625" spans="1:6" x14ac:dyDescent="0.3">
      <c r="A4625" t="s">
        <v>7171</v>
      </c>
      <c r="B4625" t="str" cm="1">
        <f t="array" ref="B4625">_xlfn.XLOOKUP(C4625, INDEX([2]!카테고리매핑,,2), INDEX([2]!카테고리매핑,,1), "미등록 카테고리")</f>
        <v>술</v>
      </c>
      <c r="C4625" t="s">
        <v>42</v>
      </c>
      <c r="D4625" t="str">
        <f>VLOOKUP(C4625, '[2]VLOOKUP 함수용 카테고리'!$A$1:$B$59, 2, 0)</f>
        <v>ALCOHOL</v>
      </c>
      <c r="E4625" t="s">
        <v>43</v>
      </c>
      <c r="F4625" t="s">
        <v>7949</v>
      </c>
    </row>
    <row r="4626" spans="1:6" x14ac:dyDescent="0.3">
      <c r="A4626" t="s">
        <v>7172</v>
      </c>
      <c r="B4626" t="str" cm="1">
        <f t="array" ref="B4626">_xlfn.XLOOKUP(C4626, INDEX([2]!카테고리매핑,,2), INDEX([2]!카테고리매핑,,1), "미등록 카테고리")</f>
        <v>음료</v>
      </c>
      <c r="C4626" t="s">
        <v>23</v>
      </c>
      <c r="D4626" t="str">
        <f>VLOOKUP(C4626, '[2]VLOOKUP 함수용 카테고리'!$A$1:$B$59, 2, 0)</f>
        <v>BEVERAGE</v>
      </c>
      <c r="E4626" t="s">
        <v>74</v>
      </c>
      <c r="F4626" t="s">
        <v>7699</v>
      </c>
    </row>
    <row r="4627" spans="1:6" x14ac:dyDescent="0.3">
      <c r="A4627" t="s">
        <v>7173</v>
      </c>
      <c r="B4627" t="str" cm="1">
        <f t="array" ref="B4627">_xlfn.XLOOKUP(C4627, INDEX([2]!카테고리매핑,,2), INDEX([2]!카테고리매핑,,1), "미등록 카테고리")</f>
        <v>수산물</v>
      </c>
      <c r="C4627" t="s">
        <v>183</v>
      </c>
      <c r="D4627" t="str">
        <f>VLOOKUP(C4627, '[2]VLOOKUP 함수용 카테고리'!$A$1:$B$59, 2, 0)</f>
        <v>DRIED_SEAFOOD</v>
      </c>
      <c r="E4627" t="s">
        <v>466</v>
      </c>
      <c r="F4627" t="s">
        <v>129</v>
      </c>
    </row>
    <row r="4628" spans="1:6" x14ac:dyDescent="0.3">
      <c r="A4628" t="s">
        <v>7174</v>
      </c>
      <c r="B4628" t="str" cm="1">
        <f t="array" ref="B4628">_xlfn.XLOOKUP(C4628, INDEX([2]!카테고리매핑,,2), INDEX([2]!카테고리매핑,,1), "미등록 카테고리")</f>
        <v>수산물</v>
      </c>
      <c r="C4628" t="s">
        <v>140</v>
      </c>
      <c r="D4628" t="str">
        <f>VLOOKUP(C4628, '[2]VLOOKUP 함수용 카테고리'!$A$1:$B$59, 2, 0)</f>
        <v>SIMPLE_PROCESSED</v>
      </c>
      <c r="E4628" t="s">
        <v>141</v>
      </c>
      <c r="F4628" t="s">
        <v>2446</v>
      </c>
    </row>
    <row r="4629" spans="1:6" x14ac:dyDescent="0.3">
      <c r="A4629" t="s">
        <v>7175</v>
      </c>
      <c r="B4629" t="str" cm="1">
        <f t="array" ref="B4629">_xlfn.XLOOKUP(C4629, INDEX([2]!카테고리매핑,,2), INDEX([2]!카테고리매핑,,1), "미등록 카테고리")</f>
        <v>수산물</v>
      </c>
      <c r="C4629" t="s">
        <v>101</v>
      </c>
      <c r="D4629" t="str">
        <f>VLOOKUP(C4629, '[2]VLOOKUP 함수용 카테고리'!$A$1:$B$59, 2, 0)</f>
        <v>DRIED_SEAFOOD</v>
      </c>
      <c r="E4629" t="s">
        <v>693</v>
      </c>
    </row>
    <row r="4630" spans="1:6" x14ac:dyDescent="0.3">
      <c r="A4630" t="s">
        <v>7176</v>
      </c>
      <c r="B4630" t="str" cm="1">
        <f t="array" ref="B4630">_xlfn.XLOOKUP(C4630, INDEX([2]!카테고리매핑,,2), INDEX([2]!카테고리매핑,,1), "미등록 카테고리")</f>
        <v>유제품</v>
      </c>
      <c r="C4630" t="s">
        <v>123</v>
      </c>
      <c r="D4630" t="str">
        <f>VLOOKUP(C4630, '[2]VLOOKUP 함수용 카테고리'!$A$1:$B$59, 2, 0)</f>
        <v>DAIRY</v>
      </c>
      <c r="E4630" t="s">
        <v>949</v>
      </c>
      <c r="F4630" t="s">
        <v>475</v>
      </c>
    </row>
    <row r="4631" spans="1:6" x14ac:dyDescent="0.3">
      <c r="A4631" t="s">
        <v>7177</v>
      </c>
      <c r="B4631" t="str" cm="1">
        <f t="array" ref="B4631">_xlfn.XLOOKUP(C4631, INDEX([2]!카테고리매핑,,2), INDEX([2]!카테고리매핑,,1), "미등록 카테고리")</f>
        <v>채소/곡물류</v>
      </c>
      <c r="C4631" t="s">
        <v>301</v>
      </c>
      <c r="D4631" t="str">
        <f>VLOOKUP(C4631, '[2]VLOOKUP 함수용 카테고리'!$A$1:$B$59, 2, 0)</f>
        <v>GRAIN</v>
      </c>
      <c r="E4631" t="s">
        <v>611</v>
      </c>
      <c r="F4631" t="s">
        <v>7895</v>
      </c>
    </row>
    <row r="4632" spans="1:6" x14ac:dyDescent="0.3">
      <c r="A4632" t="s">
        <v>7178</v>
      </c>
      <c r="B4632" t="str" cm="1">
        <f t="array" ref="B4632">_xlfn.XLOOKUP(C4632, INDEX([2]!카테고리매핑,,2), INDEX([2]!카테고리매핑,,1), "미등록 카테고리")</f>
        <v>유제품</v>
      </c>
      <c r="C4632" t="s">
        <v>98</v>
      </c>
      <c r="D4632" t="str">
        <f>VLOOKUP(C4632, '[2]VLOOKUP 함수용 카테고리'!$A$1:$B$59, 2, 0)</f>
        <v>DAIRY</v>
      </c>
      <c r="E4632" t="s">
        <v>6737</v>
      </c>
      <c r="F4632" t="s">
        <v>7950</v>
      </c>
    </row>
    <row r="4633" spans="1:6" x14ac:dyDescent="0.3">
      <c r="A4633" t="s">
        <v>7179</v>
      </c>
      <c r="B4633" t="str" cm="1">
        <f t="array" ref="B4633">_xlfn.XLOOKUP(C4633, INDEX([2]!카테고리매핑,,2), INDEX([2]!카테고리매핑,,1), "미등록 카테고리")</f>
        <v>조미료</v>
      </c>
      <c r="C4633" t="s">
        <v>127</v>
      </c>
      <c r="D4633" t="str">
        <f>VLOOKUP(C4633, '[2]VLOOKUP 함수용 카테고리'!$A$1:$B$59, 2, 0)</f>
        <v>SAUCE_SEASONING</v>
      </c>
      <c r="E4633" t="s">
        <v>7180</v>
      </c>
      <c r="F4633" t="s">
        <v>1326</v>
      </c>
    </row>
    <row r="4634" spans="1:6" x14ac:dyDescent="0.3">
      <c r="A4634" t="s">
        <v>7181</v>
      </c>
      <c r="B4634" t="str" cm="1">
        <f t="array" ref="B4634">_xlfn.XLOOKUP(C4634, INDEX([2]!카테고리매핑,,2), INDEX([2]!카테고리매핑,,1), "미등록 카테고리")</f>
        <v>간식류</v>
      </c>
      <c r="C4634" t="s">
        <v>63</v>
      </c>
      <c r="D4634" t="str">
        <f>VLOOKUP(C4634, '[2]VLOOKUP 함수용 카테고리'!$A$1:$B$59, 2, 0)</f>
        <v>BAKERY</v>
      </c>
      <c r="E4634" t="s">
        <v>3947</v>
      </c>
      <c r="F4634" t="s">
        <v>7182</v>
      </c>
    </row>
    <row r="4635" spans="1:6" x14ac:dyDescent="0.3">
      <c r="A4635" t="s">
        <v>7183</v>
      </c>
      <c r="B4635" t="str" cm="1">
        <f t="array" ref="B4635">_xlfn.XLOOKUP(C4635, INDEX([2]!카테고리매핑,,2), INDEX([2]!카테고리매핑,,1), "미등록 카테고리")</f>
        <v>간편식</v>
      </c>
      <c r="C4635" t="s">
        <v>19</v>
      </c>
      <c r="D4635" t="str">
        <f>VLOOKUP(C4635, '[2]VLOOKUP 함수용 카테고리'!$A$1:$B$59, 2, 0)</f>
        <v>FROZEN_MEAL</v>
      </c>
      <c r="E4635" t="s">
        <v>7184</v>
      </c>
      <c r="F4635" t="s">
        <v>156</v>
      </c>
    </row>
    <row r="4636" spans="1:6" x14ac:dyDescent="0.3">
      <c r="A4636" t="s">
        <v>7185</v>
      </c>
      <c r="B4636" t="str" cm="1">
        <f t="array" ref="B4636">_xlfn.XLOOKUP(C4636, INDEX([2]!카테고리매핑,,2), INDEX([2]!카테고리매핑,,1), "미등록 카테고리")</f>
        <v>육류/계란</v>
      </c>
      <c r="C4636" t="s">
        <v>428</v>
      </c>
      <c r="D4636" t="str">
        <f>VLOOKUP(C4636, '[2]VLOOKUP 함수용 카테고리'!$A$1:$B$59, 2, 0)</f>
        <v>PROCESSED_MEAT</v>
      </c>
      <c r="E4636" t="s">
        <v>943</v>
      </c>
      <c r="F4636" t="s">
        <v>7688</v>
      </c>
    </row>
    <row r="4637" spans="1:6" x14ac:dyDescent="0.3">
      <c r="A4637" t="s">
        <v>7186</v>
      </c>
      <c r="B4637" t="str" cm="1">
        <f t="array" ref="B4637">_xlfn.XLOOKUP(C4637, INDEX([2]!카테고리매핑,,2), INDEX([2]!카테고리매핑,,1), "미등록 카테고리")</f>
        <v>채소/곡물류</v>
      </c>
      <c r="C4637" t="s">
        <v>301</v>
      </c>
      <c r="D4637" t="str">
        <f>VLOOKUP(C4637, '[2]VLOOKUP 함수용 카테고리'!$A$1:$B$59, 2, 0)</f>
        <v>GRAIN</v>
      </c>
      <c r="E4637" t="s">
        <v>490</v>
      </c>
      <c r="F4637" t="s">
        <v>7951</v>
      </c>
    </row>
    <row r="4638" spans="1:6" x14ac:dyDescent="0.3">
      <c r="A4638" t="s">
        <v>7187</v>
      </c>
      <c r="B4638" t="str" cm="1">
        <f t="array" ref="B4638">_xlfn.XLOOKUP(C4638, INDEX([2]!카테고리매핑,,2), INDEX([2]!카테고리매핑,,1), "미등록 카테고리")</f>
        <v>채소/곡물류</v>
      </c>
      <c r="C4638" t="s">
        <v>301</v>
      </c>
      <c r="D4638" t="str">
        <f>VLOOKUP(C4638, '[2]VLOOKUP 함수용 카테고리'!$A$1:$B$59, 2, 0)</f>
        <v>GRAIN</v>
      </c>
      <c r="E4638" t="s">
        <v>2023</v>
      </c>
      <c r="F4638" t="s">
        <v>7188</v>
      </c>
    </row>
    <row r="4639" spans="1:6" x14ac:dyDescent="0.3">
      <c r="A4639" t="s">
        <v>7189</v>
      </c>
      <c r="B4639" t="str" cm="1">
        <f t="array" ref="B4639">_xlfn.XLOOKUP(C4639, INDEX([2]!카테고리매핑,,2), INDEX([2]!카테고리매핑,,1), "미등록 카테고리")</f>
        <v>조미료</v>
      </c>
      <c r="C4639" t="s">
        <v>127</v>
      </c>
      <c r="D4639" t="str">
        <f>VLOOKUP(C4639, '[2]VLOOKUP 함수용 카테고리'!$A$1:$B$59, 2, 0)</f>
        <v>SAUCE_SEASONING</v>
      </c>
      <c r="E4639" t="s">
        <v>7190</v>
      </c>
      <c r="F4639" t="s">
        <v>7191</v>
      </c>
    </row>
    <row r="4640" spans="1:6" x14ac:dyDescent="0.3">
      <c r="A4640" t="s">
        <v>7192</v>
      </c>
      <c r="B4640" t="str" cm="1">
        <f t="array" ref="B4640">_xlfn.XLOOKUP(C4640, INDEX([2]!카테고리매핑,,2), INDEX([2]!카테고리매핑,,1), "미등록 카테고리")</f>
        <v>수산물</v>
      </c>
      <c r="C4640" t="s">
        <v>101</v>
      </c>
      <c r="D4640" t="str">
        <f>VLOOKUP(C4640, '[2]VLOOKUP 함수용 카테고리'!$A$1:$B$59, 2, 0)</f>
        <v>DRIED_SEAFOOD</v>
      </c>
      <c r="E4640" t="s">
        <v>665</v>
      </c>
      <c r="F4640" t="s">
        <v>4408</v>
      </c>
    </row>
    <row r="4641" spans="1:6" x14ac:dyDescent="0.3">
      <c r="A4641" t="s">
        <v>7193</v>
      </c>
      <c r="B4641" t="str" cm="1">
        <f t="array" ref="B4641">_xlfn.XLOOKUP(C4641, INDEX([2]!카테고리매핑,,2), INDEX([2]!카테고리매핑,,1), "미등록 카테고리")</f>
        <v>간식류</v>
      </c>
      <c r="C4641" t="s">
        <v>11</v>
      </c>
      <c r="D4641" t="str">
        <f>VLOOKUP(C4641, '[2]VLOOKUP 함수용 카테고리'!$A$1:$B$59, 2, 0)</f>
        <v>SNACK</v>
      </c>
      <c r="E4641" t="s">
        <v>153</v>
      </c>
      <c r="F4641" t="s">
        <v>1784</v>
      </c>
    </row>
    <row r="4642" spans="1:6" x14ac:dyDescent="0.3">
      <c r="A4642" t="s">
        <v>7194</v>
      </c>
      <c r="B4642" t="str" cm="1">
        <f t="array" ref="B4642">_xlfn.XLOOKUP(C4642, INDEX([2]!카테고리매핑,,2), INDEX([2]!카테고리매핑,,1), "미등록 카테고리")</f>
        <v>간식류</v>
      </c>
      <c r="C4642" t="s">
        <v>15</v>
      </c>
      <c r="D4642" t="str">
        <f>VLOOKUP(C4642, '[2]VLOOKUP 함수용 카테고리'!$A$1:$B$59, 2, 0)</f>
        <v>BAKERY</v>
      </c>
      <c r="E4642" t="s">
        <v>200</v>
      </c>
    </row>
    <row r="4643" spans="1:6" x14ac:dyDescent="0.3">
      <c r="A4643" t="s">
        <v>7195</v>
      </c>
      <c r="B4643" t="str" cm="1">
        <f t="array" ref="B4643">_xlfn.XLOOKUP(C4643, INDEX([2]!카테고리매핑,,2), INDEX([2]!카테고리매핑,,1), "미등록 카테고리")</f>
        <v>간편식</v>
      </c>
      <c r="C4643" t="s">
        <v>46</v>
      </c>
      <c r="D4643" t="str">
        <f>VLOOKUP(C4643, '[2]VLOOKUP 함수용 카테고리'!$A$1:$B$59, 2, 0)</f>
        <v>RTC_MEAL</v>
      </c>
      <c r="E4643" t="s">
        <v>46</v>
      </c>
      <c r="F4643" t="s">
        <v>7196</v>
      </c>
    </row>
    <row r="4644" spans="1:6" x14ac:dyDescent="0.3">
      <c r="A4644" t="s">
        <v>7197</v>
      </c>
      <c r="B4644" t="str" cm="1">
        <f t="array" ref="B4644">_xlfn.XLOOKUP(C4644, INDEX([2]!카테고리매핑,,2), INDEX([2]!카테고리매핑,,1), "미등록 카테고리")</f>
        <v>수산물</v>
      </c>
      <c r="C4644" t="s">
        <v>203</v>
      </c>
      <c r="D4644" t="str">
        <f>VLOOKUP(C4644, '[2]VLOOKUP 함수용 카테고리'!$A$1:$B$59, 2, 0)</f>
        <v>RAW_SEAFOOD</v>
      </c>
      <c r="E4644" t="s">
        <v>1801</v>
      </c>
      <c r="F4644" t="s">
        <v>151</v>
      </c>
    </row>
    <row r="4645" spans="1:6" x14ac:dyDescent="0.3">
      <c r="A4645" t="s">
        <v>7198</v>
      </c>
      <c r="B4645" t="str" cm="1">
        <f t="array" ref="B4645">_xlfn.XLOOKUP(C4645, INDEX([2]!카테고리매핑,,2), INDEX([2]!카테고리매핑,,1), "미등록 카테고리")</f>
        <v>상온식품</v>
      </c>
      <c r="C4645" t="s">
        <v>835</v>
      </c>
      <c r="D4645" t="str">
        <f>VLOOKUP(C4645, '[2]VLOOKUP 함수용 카테고리'!$A$1:$B$59, 2, 0)</f>
        <v>SAUCE_SEASONING</v>
      </c>
      <c r="E4645" t="s">
        <v>7199</v>
      </c>
      <c r="F4645" t="s">
        <v>7200</v>
      </c>
    </row>
    <row r="4646" spans="1:6" x14ac:dyDescent="0.3">
      <c r="A4646" t="s">
        <v>7201</v>
      </c>
      <c r="B4646" t="str" cm="1">
        <f t="array" ref="B4646">_xlfn.XLOOKUP(C4646, INDEX([2]!카테고리매핑,,2), INDEX([2]!카테고리매핑,,1), "미등록 카테고리")</f>
        <v>간편식</v>
      </c>
      <c r="C4646" t="s">
        <v>167</v>
      </c>
      <c r="D4646" t="str">
        <f>VLOOKUP(C4646, '[2]VLOOKUP 함수용 카테고리'!$A$1:$B$59, 2, 0)</f>
        <v>INSTANT</v>
      </c>
      <c r="E4646" t="s">
        <v>7202</v>
      </c>
    </row>
    <row r="4647" spans="1:6" x14ac:dyDescent="0.3">
      <c r="A4647" t="s">
        <v>7203</v>
      </c>
      <c r="B4647" t="str" cm="1">
        <f t="array" ref="B4647">_xlfn.XLOOKUP(C4647, INDEX([2]!카테고리매핑,,2), INDEX([2]!카테고리매핑,,1), "미등록 카테고리")</f>
        <v>채소/곡물류</v>
      </c>
      <c r="C4647" t="s">
        <v>301</v>
      </c>
      <c r="D4647" t="str">
        <f>VLOOKUP(C4647, '[2]VLOOKUP 함수용 카테고리'!$A$1:$B$59, 2, 0)</f>
        <v>GRAIN</v>
      </c>
      <c r="E4647" t="s">
        <v>611</v>
      </c>
      <c r="F4647" t="s">
        <v>5493</v>
      </c>
    </row>
    <row r="4648" spans="1:6" x14ac:dyDescent="0.3">
      <c r="A4648" t="s">
        <v>7204</v>
      </c>
      <c r="B4648" t="str" cm="1">
        <f t="array" ref="B4648">_xlfn.XLOOKUP(C4648, INDEX([2]!카테고리매핑,,2), INDEX([2]!카테고리매핑,,1), "미등록 카테고리")</f>
        <v>음료</v>
      </c>
      <c r="C4648" t="s">
        <v>23</v>
      </c>
      <c r="D4648" t="str">
        <f>VLOOKUP(C4648, '[2]VLOOKUP 함수용 카테고리'!$A$1:$B$59, 2, 0)</f>
        <v>BEVERAGE</v>
      </c>
      <c r="E4648" t="s">
        <v>288</v>
      </c>
      <c r="F4648" t="s">
        <v>7205</v>
      </c>
    </row>
    <row r="4649" spans="1:6" x14ac:dyDescent="0.3">
      <c r="A4649" t="s">
        <v>7206</v>
      </c>
      <c r="B4649" t="str" cm="1">
        <f t="array" ref="B4649">_xlfn.XLOOKUP(C4649, INDEX([2]!카테고리매핑,,2), INDEX([2]!카테고리매핑,,1), "미등록 카테고리")</f>
        <v>조미료</v>
      </c>
      <c r="C4649" t="s">
        <v>127</v>
      </c>
      <c r="D4649" t="str">
        <f>VLOOKUP(C4649, '[2]VLOOKUP 함수용 카테고리'!$A$1:$B$59, 2, 0)</f>
        <v>SAUCE_SEASONING</v>
      </c>
      <c r="E4649" t="s">
        <v>6001</v>
      </c>
      <c r="F4649" t="s">
        <v>7207</v>
      </c>
    </row>
    <row r="4650" spans="1:6" x14ac:dyDescent="0.3">
      <c r="A4650" t="s">
        <v>7208</v>
      </c>
      <c r="B4650" t="str" cm="1">
        <f t="array" ref="B4650">_xlfn.XLOOKUP(C4650, INDEX([2]!카테고리매핑,,2), INDEX([2]!카테고리매핑,,1), "미등록 카테고리")</f>
        <v>음료</v>
      </c>
      <c r="C4650" t="s">
        <v>23</v>
      </c>
      <c r="D4650" t="str">
        <f>VLOOKUP(C4650, '[2]VLOOKUP 함수용 카테고리'!$A$1:$B$59, 2, 0)</f>
        <v>BEVERAGE</v>
      </c>
      <c r="E4650" t="s">
        <v>7209</v>
      </c>
      <c r="F4650" t="s">
        <v>7210</v>
      </c>
    </row>
    <row r="4651" spans="1:6" x14ac:dyDescent="0.3">
      <c r="A4651" t="s">
        <v>7211</v>
      </c>
      <c r="B4651" t="str" cm="1">
        <f t="array" ref="B4651">_xlfn.XLOOKUP(C4651, INDEX([2]!카테고리매핑,,2), INDEX([2]!카테고리매핑,,1), "미등록 카테고리")</f>
        <v>음료</v>
      </c>
      <c r="C4651" t="s">
        <v>23</v>
      </c>
      <c r="D4651" t="str">
        <f>VLOOKUP(C4651, '[2]VLOOKUP 함수용 카테고리'!$A$1:$B$59, 2, 0)</f>
        <v>BEVERAGE</v>
      </c>
      <c r="E4651" t="s">
        <v>355</v>
      </c>
      <c r="F4651" t="s">
        <v>356</v>
      </c>
    </row>
    <row r="4652" spans="1:6" x14ac:dyDescent="0.3">
      <c r="A4652" t="s">
        <v>7212</v>
      </c>
      <c r="B4652" t="str" cm="1">
        <f t="array" ref="B4652">_xlfn.XLOOKUP(C4652, INDEX([2]!카테고리매핑,,2), INDEX([2]!카테고리매핑,,1), "미등록 카테고리")</f>
        <v>유제품</v>
      </c>
      <c r="C4652" t="s">
        <v>211</v>
      </c>
      <c r="D4652" t="str">
        <f>VLOOKUP(C4652, '[2]VLOOKUP 함수용 카테고리'!$A$1:$B$59, 2, 0)</f>
        <v>DAIRY</v>
      </c>
      <c r="E4652" t="s">
        <v>211</v>
      </c>
      <c r="F4652" t="s">
        <v>193</v>
      </c>
    </row>
    <row r="4653" spans="1:6" x14ac:dyDescent="0.3">
      <c r="A4653" t="s">
        <v>7213</v>
      </c>
      <c r="B4653" t="str" cm="1">
        <f t="array" ref="B4653">_xlfn.XLOOKUP(C4653, INDEX([2]!카테고리매핑,,2), INDEX([2]!카테고리매핑,,1), "미등록 카테고리")</f>
        <v>육류/계란</v>
      </c>
      <c r="C4653" t="s">
        <v>428</v>
      </c>
      <c r="D4653" t="str">
        <f>VLOOKUP(C4653, '[2]VLOOKUP 함수용 카테고리'!$A$1:$B$59, 2, 0)</f>
        <v>PROCESSED_MEAT</v>
      </c>
      <c r="E4653" t="s">
        <v>790</v>
      </c>
      <c r="F4653" t="s">
        <v>54</v>
      </c>
    </row>
    <row r="4654" spans="1:6" x14ac:dyDescent="0.3">
      <c r="A4654" t="s">
        <v>7214</v>
      </c>
      <c r="B4654" t="str" cm="1">
        <f t="array" ref="B4654">_xlfn.XLOOKUP(C4654, INDEX([2]!카테고리매핑,,2), INDEX([2]!카테고리매핑,,1), "미등록 카테고리")</f>
        <v>간편식</v>
      </c>
      <c r="C4654" t="s">
        <v>167</v>
      </c>
      <c r="D4654" t="str">
        <f>VLOOKUP(C4654, '[2]VLOOKUP 함수용 카테고리'!$A$1:$B$59, 2, 0)</f>
        <v>INSTANT</v>
      </c>
      <c r="E4654" t="s">
        <v>7664</v>
      </c>
      <c r="F4654" t="s">
        <v>6991</v>
      </c>
    </row>
    <row r="4655" spans="1:6" x14ac:dyDescent="0.3">
      <c r="A4655" t="s">
        <v>7215</v>
      </c>
      <c r="B4655" t="str" cm="1">
        <f t="array" ref="B4655">_xlfn.XLOOKUP(C4655, INDEX([2]!카테고리매핑,,2), INDEX([2]!카테고리매핑,,1), "미등록 카테고리")</f>
        <v>간편식</v>
      </c>
      <c r="C4655" t="s">
        <v>19</v>
      </c>
      <c r="D4655" t="str">
        <f>VLOOKUP(C4655, '[2]VLOOKUP 함수용 카테고리'!$A$1:$B$59, 2, 0)</f>
        <v>FROZEN_MEAL</v>
      </c>
      <c r="E4655" t="s">
        <v>6384</v>
      </c>
      <c r="F4655" t="s">
        <v>156</v>
      </c>
    </row>
    <row r="4656" spans="1:6" x14ac:dyDescent="0.3">
      <c r="A4656" t="s">
        <v>7216</v>
      </c>
      <c r="B4656" t="str" cm="1">
        <f t="array" ref="B4656">_xlfn.XLOOKUP(C4656, INDEX([2]!카테고리매핑,,2), INDEX([2]!카테고리매핑,,1), "미등록 카테고리")</f>
        <v>간편식</v>
      </c>
      <c r="C4656" t="s">
        <v>167</v>
      </c>
      <c r="D4656" t="str">
        <f>VLOOKUP(C4656, '[2]VLOOKUP 함수용 카테고리'!$A$1:$B$59, 2, 0)</f>
        <v>INSTANT</v>
      </c>
      <c r="E4656" t="s">
        <v>3142</v>
      </c>
      <c r="F4656" t="s">
        <v>129</v>
      </c>
    </row>
    <row r="4657" spans="1:6" x14ac:dyDescent="0.3">
      <c r="A4657" t="s">
        <v>7217</v>
      </c>
      <c r="B4657" t="str" cm="1">
        <f t="array" ref="B4657">_xlfn.XLOOKUP(C4657, INDEX([2]!카테고리매핑,,2), INDEX([2]!카테고리매핑,,1), "미등록 카테고리")</f>
        <v>음료</v>
      </c>
      <c r="C4657" t="s">
        <v>23</v>
      </c>
      <c r="D4657" t="str">
        <f>VLOOKUP(C4657, '[2]VLOOKUP 함수용 카테고리'!$A$1:$B$59, 2, 0)</f>
        <v>BEVERAGE</v>
      </c>
      <c r="E4657" t="s">
        <v>24</v>
      </c>
      <c r="F4657" t="s">
        <v>5367</v>
      </c>
    </row>
    <row r="4658" spans="1:6" x14ac:dyDescent="0.3">
      <c r="A4658" t="s">
        <v>7218</v>
      </c>
      <c r="B4658" t="str" cm="1">
        <f t="array" ref="B4658">_xlfn.XLOOKUP(C4658, INDEX([2]!카테고리매핑,,2), INDEX([2]!카테고리매핑,,1), "미등록 카테고리")</f>
        <v>조미료</v>
      </c>
      <c r="C4658" t="s">
        <v>83</v>
      </c>
      <c r="D4658" t="str">
        <f>VLOOKUP(C4658, '[2]VLOOKUP 함수용 카테고리'!$A$1:$B$59, 2, 0)</f>
        <v>SAUCE_SEASONING</v>
      </c>
      <c r="E4658" t="s">
        <v>886</v>
      </c>
      <c r="F4658" t="s">
        <v>7219</v>
      </c>
    </row>
    <row r="4659" spans="1:6" x14ac:dyDescent="0.3">
      <c r="A4659" t="s">
        <v>7220</v>
      </c>
      <c r="B4659" t="str" cm="1">
        <f t="array" ref="B4659">_xlfn.XLOOKUP(C4659, INDEX([2]!카테고리매핑,,2), INDEX([2]!카테고리매핑,,1), "미등록 카테고리")</f>
        <v>상온식품</v>
      </c>
      <c r="C4659" t="s">
        <v>276</v>
      </c>
      <c r="D4659" t="str">
        <f>VLOOKUP(C4659, '[2]VLOOKUP 함수용 카테고리'!$A$1:$B$59, 2, 0)</f>
        <v>DRIED_SEAFOOD</v>
      </c>
      <c r="E4659" t="s">
        <v>277</v>
      </c>
      <c r="F4659" t="s">
        <v>541</v>
      </c>
    </row>
    <row r="4660" spans="1:6" x14ac:dyDescent="0.3">
      <c r="A4660" t="s">
        <v>7221</v>
      </c>
      <c r="B4660" t="str" cm="1">
        <f t="array" ref="B4660">_xlfn.XLOOKUP(C4660, INDEX([2]!카테고리매핑,,2), INDEX([2]!카테고리매핑,,1), "미등록 카테고리")</f>
        <v>간편식</v>
      </c>
      <c r="C4660" t="s">
        <v>161</v>
      </c>
      <c r="D4660" t="str">
        <f>VLOOKUP(C4660, '[2]VLOOKUP 함수용 카테고리'!$A$1:$B$59, 2, 0)</f>
        <v>RTC_MEAL</v>
      </c>
      <c r="E4660" t="s">
        <v>162</v>
      </c>
      <c r="F4660" t="s">
        <v>3651</v>
      </c>
    </row>
    <row r="4661" spans="1:6" x14ac:dyDescent="0.3">
      <c r="A4661" t="s">
        <v>7222</v>
      </c>
      <c r="B4661" t="str" cm="1">
        <f t="array" ref="B4661">_xlfn.XLOOKUP(C4661, INDEX([2]!카테고리매핑,,2), INDEX([2]!카테고리매핑,,1), "미등록 카테고리")</f>
        <v>육류/계란</v>
      </c>
      <c r="C4661" t="s">
        <v>34</v>
      </c>
      <c r="D4661" t="str">
        <f>VLOOKUP(C4661, '[2]VLOOKUP 함수용 카테고리'!$A$1:$B$59, 2, 0)</f>
        <v>RAW_MEAT</v>
      </c>
      <c r="E4661" t="s">
        <v>35</v>
      </c>
      <c r="F4661" t="s">
        <v>1217</v>
      </c>
    </row>
    <row r="4662" spans="1:6" x14ac:dyDescent="0.3">
      <c r="A4662" t="s">
        <v>7223</v>
      </c>
      <c r="B4662" t="str" cm="1">
        <f t="array" ref="B4662">_xlfn.XLOOKUP(C4662, INDEX([2]!카테고리매핑,,2), INDEX([2]!카테고리매핑,,1), "미등록 카테고리")</f>
        <v>과일/견과류</v>
      </c>
      <c r="C4662" t="s">
        <v>654</v>
      </c>
      <c r="D4662" t="str">
        <f>VLOOKUP(C4662, '[2]VLOOKUP 함수용 카테고리'!$A$1:$B$59, 2, 0)</f>
        <v>RAW_FRUIT</v>
      </c>
      <c r="E4662" t="s">
        <v>4746</v>
      </c>
      <c r="F4662" t="s">
        <v>7224</v>
      </c>
    </row>
    <row r="4663" spans="1:6" x14ac:dyDescent="0.3">
      <c r="A4663" t="s">
        <v>7225</v>
      </c>
      <c r="B4663" t="str" cm="1">
        <f t="array" ref="B4663">_xlfn.XLOOKUP(C4663, INDEX([2]!카테고리매핑,,2), INDEX([2]!카테고리매핑,,1), "미등록 카테고리")</f>
        <v>조미료</v>
      </c>
      <c r="C4663" t="s">
        <v>127</v>
      </c>
      <c r="D4663" t="str">
        <f>VLOOKUP(C4663, '[2]VLOOKUP 함수용 카테고리'!$A$1:$B$59, 2, 0)</f>
        <v>SAUCE_SEASONING</v>
      </c>
      <c r="E4663" t="s">
        <v>989</v>
      </c>
      <c r="F4663" t="s">
        <v>7952</v>
      </c>
    </row>
    <row r="4664" spans="1:6" x14ac:dyDescent="0.3">
      <c r="A4664" t="s">
        <v>7226</v>
      </c>
      <c r="B4664" t="str" cm="1">
        <f t="array" ref="B4664">_xlfn.XLOOKUP(C4664, INDEX([2]!카테고리매핑,,2), INDEX([2]!카테고리매핑,,1), "미등록 카테고리")</f>
        <v>과일/견과류</v>
      </c>
      <c r="C4664" t="s">
        <v>1179</v>
      </c>
      <c r="D4664" t="str">
        <f>VLOOKUP(C4664, '[2]VLOOKUP 함수용 카테고리'!$A$1:$B$59, 2, 0)</f>
        <v>RAW_FRUIT</v>
      </c>
      <c r="E4664" t="s">
        <v>5473</v>
      </c>
      <c r="F4664" t="s">
        <v>7227</v>
      </c>
    </row>
    <row r="4665" spans="1:6" x14ac:dyDescent="0.3">
      <c r="A4665" t="s">
        <v>7228</v>
      </c>
      <c r="B4665" t="str" cm="1">
        <f t="array" ref="B4665">_xlfn.XLOOKUP(C4665, INDEX([2]!카테고리매핑,,2), INDEX([2]!카테고리매핑,,1), "미등록 카테고리")</f>
        <v>간식류</v>
      </c>
      <c r="C4665" t="s">
        <v>38</v>
      </c>
      <c r="D4665" t="str">
        <f>VLOOKUP(C4665, '[2]VLOOKUP 함수용 카테고리'!$A$1:$B$59, 2, 0)</f>
        <v>SNACK</v>
      </c>
      <c r="E4665" t="s">
        <v>179</v>
      </c>
      <c r="F4665" t="s">
        <v>7953</v>
      </c>
    </row>
    <row r="4666" spans="1:6" x14ac:dyDescent="0.3">
      <c r="A4666" t="s">
        <v>7229</v>
      </c>
      <c r="B4666" t="str" cm="1">
        <f t="array" ref="B4666">_xlfn.XLOOKUP(C4666, INDEX([2]!카테고리매핑,,2), INDEX([2]!카테고리매핑,,1), "미등록 카테고리")</f>
        <v>간편식</v>
      </c>
      <c r="C4666" t="s">
        <v>131</v>
      </c>
      <c r="D4666" t="str">
        <f>VLOOKUP(C4666, '[2]VLOOKUP 함수용 카테고리'!$A$1:$B$59, 2, 0)</f>
        <v>SIMPLE_PROCESSED</v>
      </c>
      <c r="E4666" t="s">
        <v>7230</v>
      </c>
      <c r="F4666" t="s">
        <v>237</v>
      </c>
    </row>
    <row r="4667" spans="1:6" x14ac:dyDescent="0.3">
      <c r="A4667" t="s">
        <v>7231</v>
      </c>
      <c r="B4667" t="str" cm="1">
        <f t="array" ref="B4667">_xlfn.XLOOKUP(C4667, INDEX([2]!카테고리매핑,,2), INDEX([2]!카테고리매핑,,1), "미등록 카테고리")</f>
        <v>과일/견과류</v>
      </c>
      <c r="C4667" t="s">
        <v>1179</v>
      </c>
      <c r="D4667" t="str">
        <f>VLOOKUP(C4667, '[2]VLOOKUP 함수용 카테고리'!$A$1:$B$59, 2, 0)</f>
        <v>RAW_FRUIT</v>
      </c>
      <c r="E4667" t="s">
        <v>1179</v>
      </c>
      <c r="F4667" t="s">
        <v>1212</v>
      </c>
    </row>
    <row r="4668" spans="1:6" x14ac:dyDescent="0.3">
      <c r="A4668" t="s">
        <v>7232</v>
      </c>
      <c r="B4668" t="str" cm="1">
        <f t="array" ref="B4668">_xlfn.XLOOKUP(C4668, INDEX([2]!카테고리매핑,,2), INDEX([2]!카테고리매핑,,1), "미등록 카테고리")</f>
        <v>상온식품</v>
      </c>
      <c r="C4668" t="s">
        <v>276</v>
      </c>
      <c r="D4668" t="str">
        <f>VLOOKUP(C4668, '[2]VLOOKUP 함수용 카테고리'!$A$1:$B$59, 2, 0)</f>
        <v>DRIED_SEAFOOD</v>
      </c>
      <c r="E4668" t="s">
        <v>277</v>
      </c>
      <c r="F4668" t="s">
        <v>278</v>
      </c>
    </row>
    <row r="4669" spans="1:6" x14ac:dyDescent="0.3">
      <c r="A4669" t="s">
        <v>7233</v>
      </c>
      <c r="B4669" t="str" cm="1">
        <f t="array" ref="B4669">_xlfn.XLOOKUP(C4669, INDEX([2]!카테고리매핑,,2), INDEX([2]!카테고리매핑,,1), "미등록 카테고리")</f>
        <v>육류/계란</v>
      </c>
      <c r="C4669" t="s">
        <v>105</v>
      </c>
      <c r="D4669" t="str">
        <f>VLOOKUP(C4669, '[2]VLOOKUP 함수용 카테고리'!$A$1:$B$59, 2, 0)</f>
        <v>RAW_MEAT</v>
      </c>
      <c r="E4669" t="s">
        <v>7234</v>
      </c>
      <c r="F4669" t="s">
        <v>1510</v>
      </c>
    </row>
    <row r="4670" spans="1:6" x14ac:dyDescent="0.3">
      <c r="A4670" t="s">
        <v>7235</v>
      </c>
      <c r="B4670" t="str" cm="1">
        <f t="array" ref="B4670">_xlfn.XLOOKUP(C4670, INDEX([2]!카테고리매핑,,2), INDEX([2]!카테고리매핑,,1), "미등록 카테고리")</f>
        <v>간식류</v>
      </c>
      <c r="C4670" t="s">
        <v>38</v>
      </c>
      <c r="D4670" t="str">
        <f>VLOOKUP(C4670, '[2]VLOOKUP 함수용 카테고리'!$A$1:$B$59, 2, 0)</f>
        <v>SNACK</v>
      </c>
      <c r="E4670" t="s">
        <v>179</v>
      </c>
      <c r="F4670" t="s">
        <v>125</v>
      </c>
    </row>
    <row r="4671" spans="1:6" x14ac:dyDescent="0.3">
      <c r="A4671" t="s">
        <v>7236</v>
      </c>
      <c r="B4671" t="str" cm="1">
        <f t="array" ref="B4671">_xlfn.XLOOKUP(C4671, INDEX([2]!카테고리매핑,,2), INDEX([2]!카테고리매핑,,1), "미등록 카테고리")</f>
        <v>육류/계란</v>
      </c>
      <c r="C4671" t="s">
        <v>34</v>
      </c>
      <c r="D4671" t="str">
        <f>VLOOKUP(C4671, '[2]VLOOKUP 함수용 카테고리'!$A$1:$B$59, 2, 0)</f>
        <v>RAW_MEAT</v>
      </c>
      <c r="E4671" t="s">
        <v>2294</v>
      </c>
      <c r="F4671" t="s">
        <v>36</v>
      </c>
    </row>
    <row r="4672" spans="1:6" x14ac:dyDescent="0.3">
      <c r="A4672" t="s">
        <v>7237</v>
      </c>
      <c r="B4672" t="str" cm="1">
        <f t="array" ref="B4672">_xlfn.XLOOKUP(C4672, INDEX([2]!카테고리매핑,,2), INDEX([2]!카테고리매핑,,1), "미등록 카테고리")</f>
        <v>간편식</v>
      </c>
      <c r="C4672" t="s">
        <v>131</v>
      </c>
      <c r="D4672" t="str">
        <f>VLOOKUP(C4672, '[2]VLOOKUP 함수용 카테고리'!$A$1:$B$59, 2, 0)</f>
        <v>SIMPLE_PROCESSED</v>
      </c>
      <c r="E4672" t="s">
        <v>7238</v>
      </c>
      <c r="F4672" t="s">
        <v>416</v>
      </c>
    </row>
    <row r="4673" spans="1:6" x14ac:dyDescent="0.3">
      <c r="A4673" t="s">
        <v>7239</v>
      </c>
      <c r="B4673" t="str" cm="1">
        <f t="array" ref="B4673">_xlfn.XLOOKUP(C4673, INDEX([2]!카테고리매핑,,2), INDEX([2]!카테고리매핑,,1), "미등록 카테고리")</f>
        <v>간편식</v>
      </c>
      <c r="C4673" t="s">
        <v>46</v>
      </c>
      <c r="D4673" t="str">
        <f>VLOOKUP(C4673, '[2]VLOOKUP 함수용 카테고리'!$A$1:$B$59, 2, 0)</f>
        <v>RTC_MEAL</v>
      </c>
      <c r="E4673" t="s">
        <v>46</v>
      </c>
      <c r="F4673" t="s">
        <v>7240</v>
      </c>
    </row>
    <row r="4674" spans="1:6" x14ac:dyDescent="0.3">
      <c r="A4674" t="s">
        <v>7241</v>
      </c>
      <c r="B4674" t="str" cm="1">
        <f t="array" ref="B4674">_xlfn.XLOOKUP(C4674, INDEX([2]!카테고리매핑,,2), INDEX([2]!카테고리매핑,,1), "미등록 카테고리")</f>
        <v>유제품</v>
      </c>
      <c r="C4674" t="s">
        <v>211</v>
      </c>
      <c r="D4674" t="str">
        <f>VLOOKUP(C4674, '[2]VLOOKUP 함수용 카테고리'!$A$1:$B$59, 2, 0)</f>
        <v>DAIRY</v>
      </c>
      <c r="E4674" t="s">
        <v>211</v>
      </c>
      <c r="F4674" t="s">
        <v>1572</v>
      </c>
    </row>
    <row r="4675" spans="1:6" x14ac:dyDescent="0.3">
      <c r="A4675" t="s">
        <v>7242</v>
      </c>
      <c r="B4675" t="str" cm="1">
        <f t="array" ref="B4675">_xlfn.XLOOKUP(C4675, INDEX([2]!카테고리매핑,,2), INDEX([2]!카테고리매핑,,1), "미등록 카테고리")</f>
        <v>간식류</v>
      </c>
      <c r="C4675" t="s">
        <v>63</v>
      </c>
      <c r="D4675" t="str">
        <f>VLOOKUP(C4675, '[2]VLOOKUP 함수용 카테고리'!$A$1:$B$59, 2, 0)</f>
        <v>BAKERY</v>
      </c>
      <c r="E4675" t="s">
        <v>7243</v>
      </c>
      <c r="F4675" t="s">
        <v>7244</v>
      </c>
    </row>
    <row r="4676" spans="1:6" x14ac:dyDescent="0.3">
      <c r="A4676" t="s">
        <v>7245</v>
      </c>
      <c r="B4676" t="str" cm="1">
        <f t="array" ref="B4676">_xlfn.XLOOKUP(C4676, INDEX([2]!카테고리매핑,,2), INDEX([2]!카테고리매핑,,1), "미등록 카테고리")</f>
        <v>상온식품</v>
      </c>
      <c r="C4676" t="s">
        <v>276</v>
      </c>
      <c r="D4676" t="str">
        <f>VLOOKUP(C4676, '[2]VLOOKUP 함수용 카테고리'!$A$1:$B$59, 2, 0)</f>
        <v>DRIED_SEAFOOD</v>
      </c>
      <c r="E4676" t="s">
        <v>4717</v>
      </c>
      <c r="F4676" t="s">
        <v>269</v>
      </c>
    </row>
    <row r="4677" spans="1:6" x14ac:dyDescent="0.3">
      <c r="A4677" t="s">
        <v>7246</v>
      </c>
      <c r="B4677" t="str" cm="1">
        <f t="array" ref="B4677">_xlfn.XLOOKUP(C4677, INDEX([2]!카테고리매핑,,2), INDEX([2]!카테고리매핑,,1), "미등록 카테고리")</f>
        <v>육류/계란</v>
      </c>
      <c r="C4677" t="s">
        <v>105</v>
      </c>
      <c r="D4677" t="str">
        <f>VLOOKUP(C4677, '[2]VLOOKUP 함수용 카테고리'!$A$1:$B$59, 2, 0)</f>
        <v>RAW_MEAT</v>
      </c>
      <c r="E4677" t="s">
        <v>2085</v>
      </c>
    </row>
    <row r="4678" spans="1:6" x14ac:dyDescent="0.3">
      <c r="A4678" t="s">
        <v>7247</v>
      </c>
      <c r="B4678" t="str" cm="1">
        <f t="array" ref="B4678">_xlfn.XLOOKUP(C4678, INDEX([2]!카테고리매핑,,2), INDEX([2]!카테고리매핑,,1), "미등록 카테고리")</f>
        <v>간편식</v>
      </c>
      <c r="C4678" t="s">
        <v>46</v>
      </c>
      <c r="D4678" t="str">
        <f>VLOOKUP(C4678, '[2]VLOOKUP 함수용 카테고리'!$A$1:$B$59, 2, 0)</f>
        <v>RTC_MEAL</v>
      </c>
      <c r="E4678" t="s">
        <v>46</v>
      </c>
      <c r="F4678" t="s">
        <v>391</v>
      </c>
    </row>
    <row r="4679" spans="1:6" x14ac:dyDescent="0.3">
      <c r="A4679" t="s">
        <v>7248</v>
      </c>
      <c r="B4679" t="str" cm="1">
        <f t="array" ref="B4679">_xlfn.XLOOKUP(C4679, INDEX([2]!카테고리매핑,,2), INDEX([2]!카테고리매핑,,1), "미등록 카테고리")</f>
        <v>간편식</v>
      </c>
      <c r="C4679" t="s">
        <v>46</v>
      </c>
      <c r="D4679" t="str">
        <f>VLOOKUP(C4679, '[2]VLOOKUP 함수용 카테고리'!$A$1:$B$59, 2, 0)</f>
        <v>RTC_MEAL</v>
      </c>
      <c r="E4679" t="s">
        <v>46</v>
      </c>
      <c r="F4679" t="s">
        <v>1982</v>
      </c>
    </row>
    <row r="4680" spans="1:6" x14ac:dyDescent="0.3">
      <c r="A4680" t="s">
        <v>7249</v>
      </c>
      <c r="B4680" t="str" cm="1">
        <f t="array" ref="B4680">_xlfn.XLOOKUP(C4680, INDEX([2]!카테고리매핑,,2), INDEX([2]!카테고리매핑,,1), "미등록 카테고리")</f>
        <v>간식류</v>
      </c>
      <c r="C4680" t="s">
        <v>38</v>
      </c>
      <c r="D4680" t="str">
        <f>VLOOKUP(C4680, '[2]VLOOKUP 함수용 카테고리'!$A$1:$B$59, 2, 0)</f>
        <v>SNACK</v>
      </c>
      <c r="E4680" t="s">
        <v>39</v>
      </c>
      <c r="F4680" t="s">
        <v>7250</v>
      </c>
    </row>
    <row r="4681" spans="1:6" x14ac:dyDescent="0.3">
      <c r="A4681" t="s">
        <v>7251</v>
      </c>
      <c r="B4681" t="str" cm="1">
        <f t="array" ref="B4681">_xlfn.XLOOKUP(C4681, INDEX([2]!카테고리매핑,,2), INDEX([2]!카테고리매핑,,1), "미등록 카테고리")</f>
        <v>간편식</v>
      </c>
      <c r="C4681" t="s">
        <v>131</v>
      </c>
      <c r="D4681" t="str">
        <f>VLOOKUP(C4681, '[2]VLOOKUP 함수용 카테고리'!$A$1:$B$59, 2, 0)</f>
        <v>SIMPLE_PROCESSED</v>
      </c>
      <c r="E4681" t="s">
        <v>2993</v>
      </c>
      <c r="F4681" t="s">
        <v>2057</v>
      </c>
    </row>
    <row r="4682" spans="1:6" x14ac:dyDescent="0.3">
      <c r="A4682" t="s">
        <v>7252</v>
      </c>
      <c r="B4682" t="str" cm="1">
        <f t="array" ref="B4682">_xlfn.XLOOKUP(C4682, INDEX([2]!카테고리매핑,,2), INDEX([2]!카테고리매핑,,1), "미등록 카테고리")</f>
        <v>과일/견과류</v>
      </c>
      <c r="C4682" t="s">
        <v>654</v>
      </c>
      <c r="D4682" t="str">
        <f>VLOOKUP(C4682, '[2]VLOOKUP 함수용 카테고리'!$A$1:$B$59, 2, 0)</f>
        <v>RAW_FRUIT</v>
      </c>
      <c r="E4682" t="s">
        <v>1741</v>
      </c>
      <c r="F4682" t="s">
        <v>6267</v>
      </c>
    </row>
    <row r="4683" spans="1:6" x14ac:dyDescent="0.3">
      <c r="A4683" t="s">
        <v>7253</v>
      </c>
      <c r="B4683" t="str" cm="1">
        <f t="array" ref="B4683">_xlfn.XLOOKUP(C4683, INDEX([2]!카테고리매핑,,2), INDEX([2]!카테고리매핑,,1), "미등록 카테고리")</f>
        <v>채소/곡물류</v>
      </c>
      <c r="C4683" t="s">
        <v>27</v>
      </c>
      <c r="D4683" t="str">
        <f>VLOOKUP(C4683, '[2]VLOOKUP 함수용 카테고리'!$A$1:$B$59, 2, 0)</f>
        <v>SIMPLE_PROCESSED</v>
      </c>
      <c r="E4683" t="s">
        <v>28</v>
      </c>
      <c r="F4683" t="s">
        <v>760</v>
      </c>
    </row>
    <row r="4684" spans="1:6" x14ac:dyDescent="0.3">
      <c r="A4684" t="s">
        <v>7254</v>
      </c>
      <c r="B4684" t="str" cm="1">
        <f t="array" ref="B4684">_xlfn.XLOOKUP(C4684, INDEX([2]!카테고리매핑,,2), INDEX([2]!카테고리매핑,,1), "미등록 카테고리")</f>
        <v>조미료</v>
      </c>
      <c r="C4684" t="s">
        <v>83</v>
      </c>
      <c r="D4684" t="str">
        <f>VLOOKUP(C4684, '[2]VLOOKUP 함수용 카테고리'!$A$1:$B$59, 2, 0)</f>
        <v>SAUCE_SEASONING</v>
      </c>
      <c r="E4684" t="s">
        <v>658</v>
      </c>
      <c r="F4684" t="s">
        <v>646</v>
      </c>
    </row>
    <row r="4685" spans="1:6" x14ac:dyDescent="0.3">
      <c r="A4685" t="s">
        <v>7255</v>
      </c>
      <c r="B4685" t="str" cm="1">
        <f t="array" ref="B4685">_xlfn.XLOOKUP(C4685, INDEX([2]!카테고리매핑,,2), INDEX([2]!카테고리매핑,,1), "미등록 카테고리")</f>
        <v>조미료</v>
      </c>
      <c r="C4685" t="s">
        <v>84</v>
      </c>
      <c r="D4685" t="str">
        <f>VLOOKUP(C4685, '[2]VLOOKUP 함수용 카테고리'!$A$1:$B$59, 2, 0)</f>
        <v>SAUCE_SEASONING</v>
      </c>
      <c r="E4685" t="s">
        <v>85</v>
      </c>
      <c r="F4685" t="s">
        <v>7256</v>
      </c>
    </row>
    <row r="4686" spans="1:6" x14ac:dyDescent="0.3">
      <c r="A4686" t="s">
        <v>7257</v>
      </c>
      <c r="B4686" t="str" cm="1">
        <f t="array" ref="B4686">_xlfn.XLOOKUP(C4686, INDEX([2]!카테고리매핑,,2), INDEX([2]!카테고리매핑,,1), "미등록 카테고리")</f>
        <v>간식류</v>
      </c>
      <c r="C4686" t="s">
        <v>63</v>
      </c>
      <c r="D4686" t="str">
        <f>VLOOKUP(C4686, '[2]VLOOKUP 함수용 카테고리'!$A$1:$B$59, 2, 0)</f>
        <v>BAKERY</v>
      </c>
      <c r="E4686" t="s">
        <v>226</v>
      </c>
      <c r="F4686" t="s">
        <v>1019</v>
      </c>
    </row>
    <row r="4687" spans="1:6" x14ac:dyDescent="0.3">
      <c r="A4687" t="s">
        <v>7258</v>
      </c>
      <c r="B4687" t="str" cm="1">
        <f t="array" ref="B4687">_xlfn.XLOOKUP(C4687, INDEX([2]!카테고리매핑,,2), INDEX([2]!카테고리매핑,,1), "미등록 카테고리")</f>
        <v>간편식</v>
      </c>
      <c r="C4687" t="s">
        <v>256</v>
      </c>
      <c r="D4687" t="str">
        <f>VLOOKUP(C4687, '[2]VLOOKUP 함수용 카테고리'!$A$1:$B$59, 2, 0)</f>
        <v>RTC_MEAL</v>
      </c>
      <c r="E4687" t="s">
        <v>256</v>
      </c>
      <c r="F4687" t="s">
        <v>7889</v>
      </c>
    </row>
    <row r="4688" spans="1:6" x14ac:dyDescent="0.3">
      <c r="A4688" t="s">
        <v>7259</v>
      </c>
      <c r="B4688" t="str" cm="1">
        <f t="array" ref="B4688">_xlfn.XLOOKUP(C4688, INDEX([2]!카테고리매핑,,2), INDEX([2]!카테고리매핑,,1), "미등록 카테고리")</f>
        <v>채소/곡물류</v>
      </c>
      <c r="C4688" t="s">
        <v>7</v>
      </c>
      <c r="D4688" t="str">
        <f>VLOOKUP(C4688, '[2]VLOOKUP 함수용 카테고리'!$A$1:$B$59, 2, 0)</f>
        <v>RAW_PRODUCE</v>
      </c>
      <c r="E4688" t="s">
        <v>743</v>
      </c>
    </row>
    <row r="4689" spans="1:6" x14ac:dyDescent="0.3">
      <c r="A4689" t="s">
        <v>7260</v>
      </c>
      <c r="B4689" t="str" cm="1">
        <f t="array" ref="B4689">_xlfn.XLOOKUP(C4689, INDEX([2]!카테고리매핑,,2), INDEX([2]!카테고리매핑,,1), "미등록 카테고리")</f>
        <v>간편식</v>
      </c>
      <c r="C4689" t="s">
        <v>256</v>
      </c>
      <c r="D4689" t="str">
        <f>VLOOKUP(C4689, '[2]VLOOKUP 함수용 카테고리'!$A$1:$B$59, 2, 0)</f>
        <v>RTC_MEAL</v>
      </c>
      <c r="E4689" t="s">
        <v>256</v>
      </c>
      <c r="F4689" t="s">
        <v>1457</v>
      </c>
    </row>
    <row r="4690" spans="1:6" x14ac:dyDescent="0.3">
      <c r="A4690" t="s">
        <v>7261</v>
      </c>
      <c r="B4690" t="str" cm="1">
        <f t="array" ref="B4690">_xlfn.XLOOKUP(C4690, INDEX([2]!카테고리매핑,,2), INDEX([2]!카테고리매핑,,1), "미등록 카테고리")</f>
        <v>간편식</v>
      </c>
      <c r="C4690" t="s">
        <v>131</v>
      </c>
      <c r="D4690" t="str">
        <f>VLOOKUP(C4690, '[2]VLOOKUP 함수용 카테고리'!$A$1:$B$59, 2, 0)</f>
        <v>SIMPLE_PROCESSED</v>
      </c>
      <c r="E4690" t="s">
        <v>7262</v>
      </c>
      <c r="F4690" t="s">
        <v>7263</v>
      </c>
    </row>
    <row r="4691" spans="1:6" x14ac:dyDescent="0.3">
      <c r="A4691" t="s">
        <v>7264</v>
      </c>
      <c r="B4691" t="str" cm="1">
        <f t="array" ref="B4691">_xlfn.XLOOKUP(C4691, INDEX([2]!카테고리매핑,,2), INDEX([2]!카테고리매핑,,1), "미등록 카테고리")</f>
        <v>간식류</v>
      </c>
      <c r="C4691" t="s">
        <v>15</v>
      </c>
      <c r="D4691" t="str">
        <f>VLOOKUP(C4691, '[2]VLOOKUP 함수용 카테고리'!$A$1:$B$59, 2, 0)</f>
        <v>BAKERY</v>
      </c>
      <c r="E4691" t="s">
        <v>2600</v>
      </c>
      <c r="F4691" t="s">
        <v>2601</v>
      </c>
    </row>
    <row r="4692" spans="1:6" x14ac:dyDescent="0.3">
      <c r="A4692" t="s">
        <v>7265</v>
      </c>
      <c r="B4692" t="str" cm="1">
        <f t="array" ref="B4692">_xlfn.XLOOKUP(C4692, INDEX([2]!카테고리매핑,,2), INDEX([2]!카테고리매핑,,1), "미등록 카테고리")</f>
        <v>간식류</v>
      </c>
      <c r="C4692" t="s">
        <v>15</v>
      </c>
      <c r="D4692" t="str">
        <f>VLOOKUP(C4692, '[2]VLOOKUP 함수용 카테고리'!$A$1:$B$59, 2, 0)</f>
        <v>BAKERY</v>
      </c>
      <c r="E4692" t="s">
        <v>7266</v>
      </c>
      <c r="F4692" t="s">
        <v>246</v>
      </c>
    </row>
    <row r="4693" spans="1:6" x14ac:dyDescent="0.3">
      <c r="A4693" t="s">
        <v>2685</v>
      </c>
      <c r="B4693" t="str" cm="1">
        <f t="array" ref="B4693">_xlfn.XLOOKUP(C4693, INDEX([2]!카테고리매핑,,2), INDEX([2]!카테고리매핑,,1), "미등록 카테고리")</f>
        <v>술</v>
      </c>
      <c r="C4693" t="s">
        <v>42</v>
      </c>
      <c r="D4693" t="str">
        <f>VLOOKUP(C4693, '[2]VLOOKUP 함수용 카테고리'!$A$1:$B$59, 2, 0)</f>
        <v>ALCOHOL</v>
      </c>
      <c r="E4693" t="s">
        <v>43</v>
      </c>
      <c r="F4693" t="s">
        <v>7954</v>
      </c>
    </row>
    <row r="4694" spans="1:6" x14ac:dyDescent="0.3">
      <c r="A4694" t="s">
        <v>7267</v>
      </c>
      <c r="B4694" t="str" cm="1">
        <f t="array" ref="B4694">_xlfn.XLOOKUP(C4694, INDEX([2]!카테고리매핑,,2), INDEX([2]!카테고리매핑,,1), "미등록 카테고리")</f>
        <v>유제품</v>
      </c>
      <c r="C4694" t="s">
        <v>211</v>
      </c>
      <c r="D4694" t="str">
        <f>VLOOKUP(C4694, '[2]VLOOKUP 함수용 카테고리'!$A$1:$B$59, 2, 0)</f>
        <v>DAIRY</v>
      </c>
      <c r="E4694" t="s">
        <v>212</v>
      </c>
      <c r="F4694" t="s">
        <v>1369</v>
      </c>
    </row>
    <row r="4695" spans="1:6" x14ac:dyDescent="0.3">
      <c r="A4695" t="s">
        <v>7268</v>
      </c>
      <c r="B4695" t="str" cm="1">
        <f t="array" ref="B4695">_xlfn.XLOOKUP(C4695, INDEX([2]!카테고리매핑,,2), INDEX([2]!카테고리매핑,,1), "미등록 카테고리")</f>
        <v>간편식</v>
      </c>
      <c r="C4695" t="s">
        <v>46</v>
      </c>
      <c r="D4695" t="str">
        <f>VLOOKUP(C4695, '[2]VLOOKUP 함수용 카테고리'!$A$1:$B$59, 2, 0)</f>
        <v>RTC_MEAL</v>
      </c>
      <c r="E4695" t="s">
        <v>46</v>
      </c>
      <c r="F4695" t="s">
        <v>7955</v>
      </c>
    </row>
    <row r="4696" spans="1:6" x14ac:dyDescent="0.3">
      <c r="A4696" t="s">
        <v>7269</v>
      </c>
      <c r="B4696" t="str" cm="1">
        <f t="array" ref="B4696">_xlfn.XLOOKUP(C4696, INDEX([2]!카테고리매핑,,2), INDEX([2]!카테고리매핑,,1), "미등록 카테고리")</f>
        <v>술</v>
      </c>
      <c r="C4696" t="s">
        <v>42</v>
      </c>
      <c r="D4696" t="str">
        <f>VLOOKUP(C4696, '[2]VLOOKUP 함수용 카테고리'!$A$1:$B$59, 2, 0)</f>
        <v>ALCOHOL</v>
      </c>
      <c r="E4696" t="s">
        <v>43</v>
      </c>
      <c r="F4696" t="s">
        <v>1028</v>
      </c>
    </row>
    <row r="4697" spans="1:6" x14ac:dyDescent="0.3">
      <c r="A4697" t="s">
        <v>7270</v>
      </c>
      <c r="B4697" t="str" cm="1">
        <f t="array" ref="B4697">_xlfn.XLOOKUP(C4697, INDEX([2]!카테고리매핑,,2), INDEX([2]!카테고리매핑,,1), "미등록 카테고리")</f>
        <v>간편식</v>
      </c>
      <c r="C4697" t="s">
        <v>131</v>
      </c>
      <c r="D4697" t="str">
        <f>VLOOKUP(C4697, '[2]VLOOKUP 함수용 카테고리'!$A$1:$B$59, 2, 0)</f>
        <v>SIMPLE_PROCESSED</v>
      </c>
      <c r="E4697" t="s">
        <v>4401</v>
      </c>
      <c r="F4697" t="s">
        <v>237</v>
      </c>
    </row>
    <row r="4698" spans="1:6" x14ac:dyDescent="0.3">
      <c r="A4698" t="s">
        <v>7271</v>
      </c>
      <c r="B4698" t="str" cm="1">
        <f t="array" ref="B4698">_xlfn.XLOOKUP(C4698, INDEX([2]!카테고리매핑,,2), INDEX([2]!카테고리매핑,,1), "미등록 카테고리")</f>
        <v>간편식</v>
      </c>
      <c r="C4698" t="s">
        <v>256</v>
      </c>
      <c r="D4698" t="str">
        <f>VLOOKUP(C4698, '[2]VLOOKUP 함수용 카테고리'!$A$1:$B$59, 2, 0)</f>
        <v>RTC_MEAL</v>
      </c>
      <c r="E4698" t="s">
        <v>256</v>
      </c>
      <c r="F4698" t="s">
        <v>6278</v>
      </c>
    </row>
    <row r="4699" spans="1:6" x14ac:dyDescent="0.3">
      <c r="A4699" t="s">
        <v>7272</v>
      </c>
      <c r="B4699" t="str" cm="1">
        <f t="array" ref="B4699">_xlfn.XLOOKUP(C4699, INDEX([2]!카테고리매핑,,2), INDEX([2]!카테고리매핑,,1), "미등록 카테고리")</f>
        <v>간편식</v>
      </c>
      <c r="C4699" t="s">
        <v>131</v>
      </c>
      <c r="D4699" t="str">
        <f>VLOOKUP(C4699, '[2]VLOOKUP 함수용 카테고리'!$A$1:$B$59, 2, 0)</f>
        <v>SIMPLE_PROCESSED</v>
      </c>
      <c r="E4699" t="s">
        <v>6994</v>
      </c>
      <c r="F4699" t="s">
        <v>7263</v>
      </c>
    </row>
    <row r="4700" spans="1:6" x14ac:dyDescent="0.3">
      <c r="A4700" t="s">
        <v>7273</v>
      </c>
      <c r="B4700" t="str" cm="1">
        <f t="array" ref="B4700">_xlfn.XLOOKUP(C4700, INDEX([2]!카테고리매핑,,2), INDEX([2]!카테고리매핑,,1), "미등록 카테고리")</f>
        <v>조미료</v>
      </c>
      <c r="C4700" t="s">
        <v>117</v>
      </c>
      <c r="D4700" t="str">
        <f>VLOOKUP(C4700, '[2]VLOOKUP 함수용 카테고리'!$A$1:$B$59, 2, 0)</f>
        <v>SAUCE_SEASONING</v>
      </c>
      <c r="E4700" t="s">
        <v>6408</v>
      </c>
      <c r="F4700" t="s">
        <v>4261</v>
      </c>
    </row>
    <row r="4701" spans="1:6" x14ac:dyDescent="0.3">
      <c r="A4701" t="s">
        <v>7274</v>
      </c>
      <c r="B4701" t="str" cm="1">
        <f t="array" ref="B4701">_xlfn.XLOOKUP(C4701, INDEX([2]!카테고리매핑,,2), INDEX([2]!카테고리매핑,,1), "미등록 카테고리")</f>
        <v>채소/곡물류</v>
      </c>
      <c r="C4701" t="s">
        <v>301</v>
      </c>
      <c r="D4701" t="str">
        <f>VLOOKUP(C4701, '[2]VLOOKUP 함수용 카테고리'!$A$1:$B$59, 2, 0)</f>
        <v>GRAIN</v>
      </c>
      <c r="E4701" t="s">
        <v>611</v>
      </c>
      <c r="F4701" t="s">
        <v>7275</v>
      </c>
    </row>
    <row r="4702" spans="1:6" x14ac:dyDescent="0.3">
      <c r="A4702" t="s">
        <v>7276</v>
      </c>
      <c r="B4702" t="str" cm="1">
        <f t="array" ref="B4702">_xlfn.XLOOKUP(C4702, INDEX([2]!카테고리매핑,,2), INDEX([2]!카테고리매핑,,1), "미등록 카테고리")</f>
        <v>간편식</v>
      </c>
      <c r="C4702" t="s">
        <v>46</v>
      </c>
      <c r="D4702" t="str">
        <f>VLOOKUP(C4702, '[2]VLOOKUP 함수용 카테고리'!$A$1:$B$59, 2, 0)</f>
        <v>RTC_MEAL</v>
      </c>
      <c r="E4702" t="s">
        <v>46</v>
      </c>
      <c r="F4702" t="s">
        <v>556</v>
      </c>
    </row>
    <row r="4703" spans="1:6" x14ac:dyDescent="0.3">
      <c r="A4703" t="s">
        <v>7277</v>
      </c>
      <c r="B4703" t="str" cm="1">
        <f t="array" ref="B4703">_xlfn.XLOOKUP(C4703, INDEX([2]!카테고리매핑,,2), INDEX([2]!카테고리매핑,,1), "미등록 카테고리")</f>
        <v>상온식품</v>
      </c>
      <c r="C4703" t="s">
        <v>769</v>
      </c>
      <c r="D4703" t="str">
        <f>VLOOKUP(C4703, '[2]VLOOKUP 함수용 카테고리'!$A$1:$B$59, 2, 0)</f>
        <v>GRAIN</v>
      </c>
      <c r="E4703" t="s">
        <v>769</v>
      </c>
      <c r="F4703" t="s">
        <v>7902</v>
      </c>
    </row>
    <row r="4704" spans="1:6" x14ac:dyDescent="0.3">
      <c r="A4704" t="s">
        <v>7278</v>
      </c>
      <c r="B4704" t="str" cm="1">
        <f t="array" ref="B4704">_xlfn.XLOOKUP(C4704, INDEX([2]!카테고리매핑,,2), INDEX([2]!카테고리매핑,,1), "미등록 카테고리")</f>
        <v>간식류</v>
      </c>
      <c r="C4704" t="s">
        <v>38</v>
      </c>
      <c r="D4704" t="str">
        <f>VLOOKUP(C4704, '[2]VLOOKUP 함수용 카테고리'!$A$1:$B$59, 2, 0)</f>
        <v>SNACK</v>
      </c>
      <c r="E4704" t="s">
        <v>179</v>
      </c>
      <c r="F4704" t="s">
        <v>7279</v>
      </c>
    </row>
    <row r="4705" spans="1:6" x14ac:dyDescent="0.3">
      <c r="A4705" t="s">
        <v>7280</v>
      </c>
      <c r="B4705" t="str" cm="1">
        <f t="array" ref="B4705">_xlfn.XLOOKUP(C4705, INDEX([2]!카테고리매핑,,2), INDEX([2]!카테고리매핑,,1), "미등록 카테고리")</f>
        <v>육류/계란</v>
      </c>
      <c r="C4705" t="s">
        <v>105</v>
      </c>
      <c r="D4705" t="str">
        <f>VLOOKUP(C4705, '[2]VLOOKUP 함수용 카테고리'!$A$1:$B$59, 2, 0)</f>
        <v>RAW_MEAT</v>
      </c>
      <c r="E4705" t="s">
        <v>294</v>
      </c>
      <c r="F4705" t="s">
        <v>254</v>
      </c>
    </row>
    <row r="4706" spans="1:6" x14ac:dyDescent="0.3">
      <c r="A4706" t="s">
        <v>7281</v>
      </c>
      <c r="B4706" t="str" cm="1">
        <f t="array" ref="B4706">_xlfn.XLOOKUP(C4706, INDEX([2]!카테고리매핑,,2), INDEX([2]!카테고리매핑,,1), "미등록 카테고리")</f>
        <v>간식류</v>
      </c>
      <c r="C4706" t="s">
        <v>38</v>
      </c>
      <c r="D4706" t="str">
        <f>VLOOKUP(C4706, '[2]VLOOKUP 함수용 카테고리'!$A$1:$B$59, 2, 0)</f>
        <v>SNACK</v>
      </c>
      <c r="E4706" t="s">
        <v>39</v>
      </c>
      <c r="F4706" t="s">
        <v>3390</v>
      </c>
    </row>
    <row r="4707" spans="1:6" x14ac:dyDescent="0.3">
      <c r="A4707" t="s">
        <v>7282</v>
      </c>
      <c r="B4707" t="str" cm="1">
        <f t="array" ref="B4707">_xlfn.XLOOKUP(C4707, INDEX([2]!카테고리매핑,,2), INDEX([2]!카테고리매핑,,1), "미등록 카테고리")</f>
        <v>육류/계란</v>
      </c>
      <c r="C4707" t="s">
        <v>149</v>
      </c>
      <c r="D4707" t="str">
        <f>VLOOKUP(C4707, '[2]VLOOKUP 함수용 카테고리'!$A$1:$B$59, 2, 0)</f>
        <v>RAW_MEAT</v>
      </c>
      <c r="E4707" t="s">
        <v>635</v>
      </c>
    </row>
    <row r="4708" spans="1:6" x14ac:dyDescent="0.3">
      <c r="A4708" t="s">
        <v>7283</v>
      </c>
      <c r="B4708" t="str" cm="1">
        <f t="array" ref="B4708">_xlfn.XLOOKUP(C4708, INDEX([2]!카테고리매핑,,2), INDEX([2]!카테고리매핑,,1), "미등록 카테고리")</f>
        <v>과일/견과류</v>
      </c>
      <c r="C4708" t="s">
        <v>1179</v>
      </c>
      <c r="D4708" t="str">
        <f>VLOOKUP(C4708, '[2]VLOOKUP 함수용 카테고리'!$A$1:$B$59, 2, 0)</f>
        <v>RAW_FRUIT</v>
      </c>
      <c r="E4708" t="s">
        <v>1180</v>
      </c>
    </row>
    <row r="4709" spans="1:6" x14ac:dyDescent="0.3">
      <c r="A4709" t="s">
        <v>7284</v>
      </c>
      <c r="B4709" t="str" cm="1">
        <f t="array" ref="B4709">_xlfn.XLOOKUP(C4709, INDEX([2]!카테고리매핑,,2), INDEX([2]!카테고리매핑,,1), "미등록 카테고리")</f>
        <v>간편식</v>
      </c>
      <c r="C4709" t="s">
        <v>19</v>
      </c>
      <c r="D4709" t="str">
        <f>VLOOKUP(C4709, '[2]VLOOKUP 함수용 카테고리'!$A$1:$B$59, 2, 0)</f>
        <v>FROZEN_MEAL</v>
      </c>
      <c r="E4709" t="s">
        <v>1854</v>
      </c>
      <c r="F4709" t="s">
        <v>246</v>
      </c>
    </row>
    <row r="4710" spans="1:6" x14ac:dyDescent="0.3">
      <c r="A4710" t="s">
        <v>7285</v>
      </c>
      <c r="B4710" t="str" cm="1">
        <f t="array" ref="B4710">_xlfn.XLOOKUP(C4710, INDEX([2]!카테고리매핑,,2), INDEX([2]!카테고리매핑,,1), "미등록 카테고리")</f>
        <v>채소/곡물류</v>
      </c>
      <c r="C4710" t="s">
        <v>301</v>
      </c>
      <c r="D4710" t="str">
        <f>VLOOKUP(C4710, '[2]VLOOKUP 함수용 카테고리'!$A$1:$B$59, 2, 0)</f>
        <v>GRAIN</v>
      </c>
      <c r="E4710" t="s">
        <v>611</v>
      </c>
    </row>
    <row r="4711" spans="1:6" x14ac:dyDescent="0.3">
      <c r="A4711" t="s">
        <v>7286</v>
      </c>
      <c r="B4711" t="str" cm="1">
        <f t="array" ref="B4711">_xlfn.XLOOKUP(C4711, INDEX([2]!카테고리매핑,,2), INDEX([2]!카테고리매핑,,1), "미등록 카테고리")</f>
        <v>수산물</v>
      </c>
      <c r="C4711" t="s">
        <v>229</v>
      </c>
      <c r="D4711" t="str">
        <f>VLOOKUP(C4711, '[2]VLOOKUP 함수용 카테고리'!$A$1:$B$59, 2, 0)</f>
        <v>RAW_SEAFOOD</v>
      </c>
      <c r="E4711" t="s">
        <v>230</v>
      </c>
      <c r="F4711" t="s">
        <v>7287</v>
      </c>
    </row>
    <row r="4712" spans="1:6" x14ac:dyDescent="0.3">
      <c r="A4712" t="s">
        <v>7288</v>
      </c>
      <c r="B4712" t="str" cm="1">
        <f t="array" ref="B4712">_xlfn.XLOOKUP(C4712, INDEX([2]!카테고리매핑,,2), INDEX([2]!카테고리매핑,,1), "미등록 카테고리")</f>
        <v>과일/견과류</v>
      </c>
      <c r="C4712" t="s">
        <v>654</v>
      </c>
      <c r="D4712" t="str">
        <f>VLOOKUP(C4712, '[2]VLOOKUP 함수용 카테고리'!$A$1:$B$59, 2, 0)</f>
        <v>RAW_FRUIT</v>
      </c>
      <c r="E4712" t="s">
        <v>879</v>
      </c>
      <c r="F4712" t="s">
        <v>670</v>
      </c>
    </row>
    <row r="4713" spans="1:6" x14ac:dyDescent="0.3">
      <c r="A4713" t="s">
        <v>7289</v>
      </c>
      <c r="B4713" t="str" cm="1">
        <f t="array" ref="B4713">_xlfn.XLOOKUP(C4713, INDEX([2]!카테고리매핑,,2), INDEX([2]!카테고리매핑,,1), "미등록 카테고리")</f>
        <v>음료</v>
      </c>
      <c r="C4713" t="s">
        <v>708</v>
      </c>
      <c r="D4713" t="str">
        <f>VLOOKUP(C4713, '[2]VLOOKUP 함수용 카테고리'!$A$1:$B$59, 2, 0)</f>
        <v>BEVERAGE</v>
      </c>
      <c r="E4713" t="s">
        <v>708</v>
      </c>
      <c r="F4713" t="s">
        <v>7290</v>
      </c>
    </row>
    <row r="4714" spans="1:6" x14ac:dyDescent="0.3">
      <c r="A4714" t="s">
        <v>7291</v>
      </c>
      <c r="B4714" t="str" cm="1">
        <f t="array" ref="B4714">_xlfn.XLOOKUP(C4714, INDEX([2]!카테고리매핑,,2), INDEX([2]!카테고리매핑,,1), "미등록 카테고리")</f>
        <v>조미료</v>
      </c>
      <c r="C4714" t="s">
        <v>127</v>
      </c>
      <c r="D4714" t="str">
        <f>VLOOKUP(C4714, '[2]VLOOKUP 함수용 카테고리'!$A$1:$B$59, 2, 0)</f>
        <v>SAUCE_SEASONING</v>
      </c>
      <c r="E4714" t="s">
        <v>6780</v>
      </c>
      <c r="F4714" t="s">
        <v>341</v>
      </c>
    </row>
    <row r="4715" spans="1:6" x14ac:dyDescent="0.3">
      <c r="A4715" t="s">
        <v>7292</v>
      </c>
      <c r="B4715" t="str" cm="1">
        <f t="array" ref="B4715">_xlfn.XLOOKUP(C4715, INDEX([2]!카테고리매핑,,2), INDEX([2]!카테고리매핑,,1), "미등록 카테고리")</f>
        <v>육류/계란</v>
      </c>
      <c r="C4715" t="s">
        <v>298</v>
      </c>
      <c r="D4715" t="str">
        <f>VLOOKUP(C4715, '[2]VLOOKUP 함수용 카테고리'!$A$1:$B$59, 2, 0)</f>
        <v>RAW_MEAT</v>
      </c>
      <c r="E4715" t="s">
        <v>298</v>
      </c>
      <c r="F4715" t="s">
        <v>151</v>
      </c>
    </row>
    <row r="4716" spans="1:6" x14ac:dyDescent="0.3">
      <c r="A4716" t="s">
        <v>7293</v>
      </c>
      <c r="B4716" t="str" cm="1">
        <f t="array" ref="B4716">_xlfn.XLOOKUP(C4716, INDEX([2]!카테고리매핑,,2), INDEX([2]!카테고리매핑,,1), "미등록 카테고리")</f>
        <v>유제품</v>
      </c>
      <c r="C4716" t="s">
        <v>123</v>
      </c>
      <c r="D4716" t="str">
        <f>VLOOKUP(C4716, '[2]VLOOKUP 함수용 카테고리'!$A$1:$B$59, 2, 0)</f>
        <v>DAIRY</v>
      </c>
      <c r="E4716" t="s">
        <v>190</v>
      </c>
      <c r="F4716" t="s">
        <v>623</v>
      </c>
    </row>
    <row r="4717" spans="1:6" x14ac:dyDescent="0.3">
      <c r="A4717" t="s">
        <v>7294</v>
      </c>
      <c r="B4717" t="str" cm="1">
        <f t="array" ref="B4717">_xlfn.XLOOKUP(C4717, INDEX([2]!카테고리매핑,,2), INDEX([2]!카테고리매핑,,1), "미등록 카테고리")</f>
        <v>과일/견과류</v>
      </c>
      <c r="C4717" t="s">
        <v>654</v>
      </c>
      <c r="D4717" t="str">
        <f>VLOOKUP(C4717, '[2]VLOOKUP 함수용 카테고리'!$A$1:$B$59, 2, 0)</f>
        <v>RAW_FRUIT</v>
      </c>
      <c r="E4717" t="s">
        <v>1410</v>
      </c>
      <c r="F4717" t="s">
        <v>3001</v>
      </c>
    </row>
    <row r="4718" spans="1:6" x14ac:dyDescent="0.3">
      <c r="A4718" t="s">
        <v>7295</v>
      </c>
      <c r="B4718" t="str" cm="1">
        <f t="array" ref="B4718">_xlfn.XLOOKUP(C4718, INDEX([2]!카테고리매핑,,2), INDEX([2]!카테고리매핑,,1), "미등록 카테고리")</f>
        <v>간편식</v>
      </c>
      <c r="C4718" t="s">
        <v>131</v>
      </c>
      <c r="D4718" t="str">
        <f>VLOOKUP(C4718, '[2]VLOOKUP 함수용 카테고리'!$A$1:$B$59, 2, 0)</f>
        <v>SIMPLE_PROCESSED</v>
      </c>
      <c r="E4718" t="s">
        <v>7296</v>
      </c>
      <c r="F4718" t="s">
        <v>416</v>
      </c>
    </row>
    <row r="4719" spans="1:6" x14ac:dyDescent="0.3">
      <c r="A4719" t="s">
        <v>7297</v>
      </c>
      <c r="B4719" t="str" cm="1">
        <f t="array" ref="B4719">_xlfn.XLOOKUP(C4719, INDEX([2]!카테고리매핑,,2), INDEX([2]!카테고리매핑,,1), "미등록 카테고리")</f>
        <v>간식류</v>
      </c>
      <c r="C4719" t="s">
        <v>109</v>
      </c>
      <c r="D4719" t="str">
        <f>VLOOKUP(C4719, '[2]VLOOKUP 함수용 카테고리'!$A$1:$B$59, 2, 0)</f>
        <v>SNACK</v>
      </c>
      <c r="E4719" t="s">
        <v>1531</v>
      </c>
      <c r="F4719" t="s">
        <v>2370</v>
      </c>
    </row>
    <row r="4720" spans="1:6" x14ac:dyDescent="0.3">
      <c r="A4720" t="s">
        <v>7298</v>
      </c>
      <c r="B4720" t="str" cm="1">
        <f t="array" ref="B4720">_xlfn.XLOOKUP(C4720, INDEX([2]!카테고리매핑,,2), INDEX([2]!카테고리매핑,,1), "미등록 카테고리")</f>
        <v>채소/곡물류</v>
      </c>
      <c r="C4720" t="s">
        <v>7</v>
      </c>
      <c r="D4720" t="str">
        <f>VLOOKUP(C4720, '[2]VLOOKUP 함수용 카테고리'!$A$1:$B$59, 2, 0)</f>
        <v>RAW_PRODUCE</v>
      </c>
      <c r="E4720" t="s">
        <v>188</v>
      </c>
      <c r="F4720" t="s">
        <v>3808</v>
      </c>
    </row>
    <row r="4721" spans="1:6" x14ac:dyDescent="0.3">
      <c r="A4721" t="s">
        <v>5883</v>
      </c>
      <c r="B4721" t="str" cm="1">
        <f t="array" ref="B4721">_xlfn.XLOOKUP(C4721, INDEX([2]!카테고리매핑,,2), INDEX([2]!카테고리매핑,,1), "미등록 카테고리")</f>
        <v>음료</v>
      </c>
      <c r="C4721" t="s">
        <v>242</v>
      </c>
      <c r="D4721" t="str">
        <f>VLOOKUP(C4721, '[2]VLOOKUP 함수용 카테고리'!$A$1:$B$59, 2, 0)</f>
        <v>BEVERAGE</v>
      </c>
      <c r="E4721" t="s">
        <v>7299</v>
      </c>
      <c r="F4721" t="s">
        <v>731</v>
      </c>
    </row>
    <row r="4722" spans="1:6" x14ac:dyDescent="0.3">
      <c r="A4722" t="s">
        <v>7300</v>
      </c>
      <c r="B4722" t="str" cm="1">
        <f t="array" ref="B4722">_xlfn.XLOOKUP(C4722, INDEX([2]!카테고리매핑,,2), INDEX([2]!카테고리매핑,,1), "미등록 카테고리")</f>
        <v>간편식</v>
      </c>
      <c r="C4722" t="s">
        <v>131</v>
      </c>
      <c r="D4722" t="str">
        <f>VLOOKUP(C4722, '[2]VLOOKUP 함수용 카테고리'!$A$1:$B$59, 2, 0)</f>
        <v>SIMPLE_PROCESSED</v>
      </c>
      <c r="E4722" t="s">
        <v>2128</v>
      </c>
      <c r="F4722" t="s">
        <v>285</v>
      </c>
    </row>
    <row r="4723" spans="1:6" x14ac:dyDescent="0.3">
      <c r="A4723" t="s">
        <v>7301</v>
      </c>
      <c r="B4723" t="str" cm="1">
        <f t="array" ref="B4723">_xlfn.XLOOKUP(C4723, INDEX([2]!카테고리매핑,,2), INDEX([2]!카테고리매핑,,1), "미등록 카테고리")</f>
        <v>과일/견과류</v>
      </c>
      <c r="C4723" t="s">
        <v>1179</v>
      </c>
      <c r="D4723" t="str">
        <f>VLOOKUP(C4723, '[2]VLOOKUP 함수용 카테고리'!$A$1:$B$59, 2, 0)</f>
        <v>RAW_FRUIT</v>
      </c>
      <c r="E4723" t="s">
        <v>7160</v>
      </c>
      <c r="F4723" t="s">
        <v>7161</v>
      </c>
    </row>
    <row r="4724" spans="1:6" x14ac:dyDescent="0.3">
      <c r="A4724" t="s">
        <v>7302</v>
      </c>
      <c r="B4724" t="str" cm="1">
        <f t="array" ref="B4724">_xlfn.XLOOKUP(C4724, INDEX([2]!카테고리매핑,,2), INDEX([2]!카테고리매핑,,1), "미등록 카테고리")</f>
        <v>유제품</v>
      </c>
      <c r="C4724" t="s">
        <v>123</v>
      </c>
      <c r="D4724" t="str">
        <f>VLOOKUP(C4724, '[2]VLOOKUP 함수용 카테고리'!$A$1:$B$59, 2, 0)</f>
        <v>DAIRY</v>
      </c>
      <c r="E4724" t="s">
        <v>190</v>
      </c>
      <c r="F4724" t="s">
        <v>5897</v>
      </c>
    </row>
    <row r="4725" spans="1:6" x14ac:dyDescent="0.3">
      <c r="A4725" t="s">
        <v>7303</v>
      </c>
      <c r="B4725" t="str" cm="1">
        <f t="array" ref="B4725">_xlfn.XLOOKUP(C4725, INDEX([2]!카테고리매핑,,2), INDEX([2]!카테고리매핑,,1), "미등록 카테고리")</f>
        <v>과일/견과류</v>
      </c>
      <c r="C4725" t="s">
        <v>1179</v>
      </c>
      <c r="D4725" t="str">
        <f>VLOOKUP(C4725, '[2]VLOOKUP 함수용 카테고리'!$A$1:$B$59, 2, 0)</f>
        <v>RAW_FRUIT</v>
      </c>
      <c r="E4725" t="s">
        <v>5473</v>
      </c>
      <c r="F4725" t="s">
        <v>350</v>
      </c>
    </row>
    <row r="4726" spans="1:6" x14ac:dyDescent="0.3">
      <c r="A4726" t="s">
        <v>7304</v>
      </c>
      <c r="B4726" t="str" cm="1">
        <f t="array" ref="B4726">_xlfn.XLOOKUP(C4726, INDEX([2]!카테고리매핑,,2), INDEX([2]!카테고리매핑,,1), "미등록 카테고리")</f>
        <v>수산물</v>
      </c>
      <c r="C4726" t="s">
        <v>229</v>
      </c>
      <c r="D4726" t="str">
        <f>VLOOKUP(C4726, '[2]VLOOKUP 함수용 카테고리'!$A$1:$B$59, 2, 0)</f>
        <v>RAW_SEAFOOD</v>
      </c>
      <c r="E4726" t="s">
        <v>230</v>
      </c>
      <c r="F4726" t="s">
        <v>350</v>
      </c>
    </row>
    <row r="4727" spans="1:6" x14ac:dyDescent="0.3">
      <c r="A4727" t="s">
        <v>7305</v>
      </c>
      <c r="B4727" t="str" cm="1">
        <f t="array" ref="B4727">_xlfn.XLOOKUP(C4727, INDEX([2]!카테고리매핑,,2), INDEX([2]!카테고리매핑,,1), "미등록 카테고리")</f>
        <v>간식류</v>
      </c>
      <c r="C4727" t="s">
        <v>11</v>
      </c>
      <c r="D4727" t="str">
        <f>VLOOKUP(C4727, '[2]VLOOKUP 함수용 카테고리'!$A$1:$B$59, 2, 0)</f>
        <v>SNACK</v>
      </c>
      <c r="E4727" t="s">
        <v>153</v>
      </c>
      <c r="F4727" t="s">
        <v>129</v>
      </c>
    </row>
    <row r="4728" spans="1:6" x14ac:dyDescent="0.3">
      <c r="A4728" t="s">
        <v>7306</v>
      </c>
      <c r="B4728" t="str" cm="1">
        <f t="array" ref="B4728">_xlfn.XLOOKUP(C4728, INDEX([2]!카테고리매핑,,2), INDEX([2]!카테고리매핑,,1), "미등록 카테고리")</f>
        <v>채소/곡물류</v>
      </c>
      <c r="C4728" t="s">
        <v>301</v>
      </c>
      <c r="D4728" t="str">
        <f>VLOOKUP(C4728, '[2]VLOOKUP 함수용 카테고리'!$A$1:$B$59, 2, 0)</f>
        <v>GRAIN</v>
      </c>
      <c r="E4728" t="s">
        <v>611</v>
      </c>
      <c r="F4728" t="s">
        <v>5493</v>
      </c>
    </row>
    <row r="4729" spans="1:6" x14ac:dyDescent="0.3">
      <c r="A4729" t="s">
        <v>7307</v>
      </c>
      <c r="B4729" t="str" cm="1">
        <f t="array" ref="B4729">_xlfn.XLOOKUP(C4729, INDEX([2]!카테고리매핑,,2), INDEX([2]!카테고리매핑,,1), "미등록 카테고리")</f>
        <v>간편식</v>
      </c>
      <c r="C4729" t="s">
        <v>46</v>
      </c>
      <c r="D4729" t="str">
        <f>VLOOKUP(C4729, '[2]VLOOKUP 함수용 카테고리'!$A$1:$B$59, 2, 0)</f>
        <v>RTC_MEAL</v>
      </c>
      <c r="E4729" t="s">
        <v>46</v>
      </c>
      <c r="F4729" t="s">
        <v>156</v>
      </c>
    </row>
    <row r="4730" spans="1:6" x14ac:dyDescent="0.3">
      <c r="A4730" t="s">
        <v>7308</v>
      </c>
      <c r="B4730" t="str" cm="1">
        <f t="array" ref="B4730">_xlfn.XLOOKUP(C4730, INDEX([2]!카테고리매핑,,2), INDEX([2]!카테고리매핑,,1), "미등록 카테고리")</f>
        <v>간식류</v>
      </c>
      <c r="C4730" t="s">
        <v>63</v>
      </c>
      <c r="D4730" t="str">
        <f>VLOOKUP(C4730, '[2]VLOOKUP 함수용 카테고리'!$A$1:$B$59, 2, 0)</f>
        <v>BAKERY</v>
      </c>
      <c r="E4730" t="s">
        <v>3947</v>
      </c>
    </row>
    <row r="4731" spans="1:6" x14ac:dyDescent="0.3">
      <c r="A4731" t="s">
        <v>7309</v>
      </c>
      <c r="B4731" t="str" cm="1">
        <f t="array" ref="B4731">_xlfn.XLOOKUP(C4731, INDEX([2]!카테고리매핑,,2), INDEX([2]!카테고리매핑,,1), "미등록 카테고리")</f>
        <v>간식류</v>
      </c>
      <c r="C4731" t="s">
        <v>11</v>
      </c>
      <c r="D4731" t="str">
        <f>VLOOKUP(C4731, '[2]VLOOKUP 함수용 카테고리'!$A$1:$B$59, 2, 0)</f>
        <v>SNACK</v>
      </c>
      <c r="E4731" t="s">
        <v>2426</v>
      </c>
      <c r="F4731" t="s">
        <v>7310</v>
      </c>
    </row>
    <row r="4732" spans="1:6" x14ac:dyDescent="0.3">
      <c r="A4732" t="s">
        <v>7311</v>
      </c>
      <c r="B4732" t="str" cm="1">
        <f t="array" ref="B4732">_xlfn.XLOOKUP(C4732, INDEX([2]!카테고리매핑,,2), INDEX([2]!카테고리매핑,,1), "미등록 카테고리")</f>
        <v>상온식품</v>
      </c>
      <c r="C4732" t="s">
        <v>769</v>
      </c>
      <c r="D4732" t="str">
        <f>VLOOKUP(C4732, '[2]VLOOKUP 함수용 카테고리'!$A$1:$B$59, 2, 0)</f>
        <v>GRAIN</v>
      </c>
      <c r="E4732" t="s">
        <v>769</v>
      </c>
      <c r="F4732" t="s">
        <v>7902</v>
      </c>
    </row>
    <row r="4733" spans="1:6" x14ac:dyDescent="0.3">
      <c r="A4733" t="s">
        <v>7312</v>
      </c>
      <c r="B4733" t="str" cm="1">
        <f t="array" ref="B4733">_xlfn.XLOOKUP(C4733, INDEX([2]!카테고리매핑,,2), INDEX([2]!카테고리매핑,,1), "미등록 카테고리")</f>
        <v>유제품</v>
      </c>
      <c r="C4733" t="s">
        <v>211</v>
      </c>
      <c r="D4733" t="str">
        <f>VLOOKUP(C4733, '[2]VLOOKUP 함수용 카테고리'!$A$1:$B$59, 2, 0)</f>
        <v>DAIRY</v>
      </c>
      <c r="E4733" t="s">
        <v>211</v>
      </c>
      <c r="F4733" t="s">
        <v>1021</v>
      </c>
    </row>
    <row r="4734" spans="1:6" x14ac:dyDescent="0.3">
      <c r="A4734" t="s">
        <v>823</v>
      </c>
      <c r="B4734" t="str" cm="1">
        <f t="array" ref="B4734">_xlfn.XLOOKUP(C4734, INDEX([2]!카테고리매핑,,2), INDEX([2]!카테고리매핑,,1), "미등록 카테고리")</f>
        <v>과일/견과류</v>
      </c>
      <c r="C4734" t="s">
        <v>654</v>
      </c>
      <c r="D4734" t="str">
        <f>VLOOKUP(C4734, '[2]VLOOKUP 함수용 카테고리'!$A$1:$B$59, 2, 0)</f>
        <v>RAW_FRUIT</v>
      </c>
      <c r="E4734" t="s">
        <v>681</v>
      </c>
      <c r="F4734" t="s">
        <v>670</v>
      </c>
    </row>
    <row r="4735" spans="1:6" x14ac:dyDescent="0.3">
      <c r="A4735" t="s">
        <v>7313</v>
      </c>
      <c r="B4735" t="str" cm="1">
        <f t="array" ref="B4735">_xlfn.XLOOKUP(C4735, INDEX([2]!카테고리매핑,,2), INDEX([2]!카테고리매핑,,1), "미등록 카테고리")</f>
        <v>채소/곡물류</v>
      </c>
      <c r="C4735" t="s">
        <v>7</v>
      </c>
      <c r="D4735" t="str">
        <f>VLOOKUP(C4735, '[2]VLOOKUP 함수용 카테고리'!$A$1:$B$59, 2, 0)</f>
        <v>RAW_PRODUCE</v>
      </c>
      <c r="E4735" t="s">
        <v>5281</v>
      </c>
    </row>
    <row r="4736" spans="1:6" x14ac:dyDescent="0.3">
      <c r="A4736" t="s">
        <v>7314</v>
      </c>
      <c r="B4736" t="str" cm="1">
        <f t="array" ref="B4736">_xlfn.XLOOKUP(C4736, INDEX([2]!카테고리매핑,,2), INDEX([2]!카테고리매핑,,1), "미등록 카테고리")</f>
        <v>간식류</v>
      </c>
      <c r="C4736" t="s">
        <v>11</v>
      </c>
      <c r="D4736" t="str">
        <f>VLOOKUP(C4736, '[2]VLOOKUP 함수용 카테고리'!$A$1:$B$59, 2, 0)</f>
        <v>SNACK</v>
      </c>
      <c r="E4736" t="s">
        <v>371</v>
      </c>
      <c r="F4736" t="s">
        <v>6920</v>
      </c>
    </row>
    <row r="4737" spans="1:6" x14ac:dyDescent="0.3">
      <c r="A4737" t="s">
        <v>7315</v>
      </c>
      <c r="B4737" t="str" cm="1">
        <f t="array" ref="B4737">_xlfn.XLOOKUP(C4737, INDEX([2]!카테고리매핑,,2), INDEX([2]!카테고리매핑,,1), "미등록 카테고리")</f>
        <v>육류/계란</v>
      </c>
      <c r="C4737" t="s">
        <v>298</v>
      </c>
      <c r="D4737" t="str">
        <f>VLOOKUP(C4737, '[2]VLOOKUP 함수용 카테고리'!$A$1:$B$59, 2, 0)</f>
        <v>RAW_MEAT</v>
      </c>
      <c r="E4737" t="s">
        <v>298</v>
      </c>
      <c r="F4737" t="s">
        <v>151</v>
      </c>
    </row>
    <row r="4738" spans="1:6" x14ac:dyDescent="0.3">
      <c r="A4738" t="s">
        <v>7316</v>
      </c>
      <c r="B4738" t="str" cm="1">
        <f t="array" ref="B4738">_xlfn.XLOOKUP(C4738, INDEX([2]!카테고리매핑,,2), INDEX([2]!카테고리매핑,,1), "미등록 카테고리")</f>
        <v>간편식</v>
      </c>
      <c r="C4738" t="s">
        <v>256</v>
      </c>
      <c r="D4738" t="str">
        <f>VLOOKUP(C4738, '[2]VLOOKUP 함수용 카테고리'!$A$1:$B$59, 2, 0)</f>
        <v>RTC_MEAL</v>
      </c>
      <c r="E4738" t="s">
        <v>256</v>
      </c>
      <c r="F4738" t="s">
        <v>643</v>
      </c>
    </row>
    <row r="4739" spans="1:6" x14ac:dyDescent="0.3">
      <c r="A4739" t="s">
        <v>7317</v>
      </c>
      <c r="B4739" t="str" cm="1">
        <f t="array" ref="B4739">_xlfn.XLOOKUP(C4739, INDEX([2]!카테고리매핑,,2), INDEX([2]!카테고리매핑,,1), "미등록 카테고리")</f>
        <v>간편식</v>
      </c>
      <c r="C4739" t="s">
        <v>167</v>
      </c>
      <c r="D4739" t="str">
        <f>VLOOKUP(C4739, '[2]VLOOKUP 함수용 카테고리'!$A$1:$B$59, 2, 0)</f>
        <v>INSTANT</v>
      </c>
      <c r="E4739" t="s">
        <v>167</v>
      </c>
      <c r="F4739" t="s">
        <v>4082</v>
      </c>
    </row>
    <row r="4740" spans="1:6" x14ac:dyDescent="0.3">
      <c r="A4740" t="s">
        <v>7318</v>
      </c>
      <c r="B4740" t="str" cm="1">
        <f t="array" ref="B4740">_xlfn.XLOOKUP(C4740, INDEX([2]!카테고리매핑,,2), INDEX([2]!카테고리매핑,,1), "미등록 카테고리")</f>
        <v>육류/계란</v>
      </c>
      <c r="C4740" t="s">
        <v>298</v>
      </c>
      <c r="D4740" t="str">
        <f>VLOOKUP(C4740, '[2]VLOOKUP 함수용 카테고리'!$A$1:$B$59, 2, 0)</f>
        <v>RAW_MEAT</v>
      </c>
      <c r="E4740" t="s">
        <v>751</v>
      </c>
      <c r="F4740" t="s">
        <v>7319</v>
      </c>
    </row>
    <row r="4741" spans="1:6" x14ac:dyDescent="0.3">
      <c r="A4741" t="s">
        <v>7320</v>
      </c>
      <c r="B4741" t="str" cm="1">
        <f t="array" ref="B4741">_xlfn.XLOOKUP(C4741, INDEX([2]!카테고리매핑,,2), INDEX([2]!카테고리매핑,,1), "미등록 카테고리")</f>
        <v>음료</v>
      </c>
      <c r="C4741" t="s">
        <v>23</v>
      </c>
      <c r="D4741" t="str">
        <f>VLOOKUP(C4741, '[2]VLOOKUP 함수용 카테고리'!$A$1:$B$59, 2, 0)</f>
        <v>BEVERAGE</v>
      </c>
      <c r="E4741" t="s">
        <v>355</v>
      </c>
      <c r="F4741" t="s">
        <v>356</v>
      </c>
    </row>
    <row r="4742" spans="1:6" x14ac:dyDescent="0.3">
      <c r="A4742" t="s">
        <v>7321</v>
      </c>
      <c r="B4742" t="str" cm="1">
        <f t="array" ref="B4742">_xlfn.XLOOKUP(C4742, INDEX([2]!카테고리매핑,,2), INDEX([2]!카테고리매핑,,1), "미등록 카테고리")</f>
        <v>유제품</v>
      </c>
      <c r="C4742" t="s">
        <v>123</v>
      </c>
      <c r="D4742" t="str">
        <f>VLOOKUP(C4742, '[2]VLOOKUP 함수용 카테고리'!$A$1:$B$59, 2, 0)</f>
        <v>DAIRY</v>
      </c>
      <c r="E4742" t="s">
        <v>190</v>
      </c>
      <c r="F4742" t="s">
        <v>7322</v>
      </c>
    </row>
    <row r="4743" spans="1:6" x14ac:dyDescent="0.3">
      <c r="A4743" t="s">
        <v>7323</v>
      </c>
      <c r="B4743" t="str" cm="1">
        <f t="array" ref="B4743">_xlfn.XLOOKUP(C4743, INDEX([2]!카테고리매핑,,2), INDEX([2]!카테고리매핑,,1), "미등록 카테고리")</f>
        <v>간편식</v>
      </c>
      <c r="C4743" t="s">
        <v>46</v>
      </c>
      <c r="D4743" t="str">
        <f>VLOOKUP(C4743, '[2]VLOOKUP 함수용 카테고리'!$A$1:$B$59, 2, 0)</f>
        <v>RTC_MEAL</v>
      </c>
      <c r="E4743" t="s">
        <v>46</v>
      </c>
      <c r="F4743" t="s">
        <v>478</v>
      </c>
    </row>
    <row r="4744" spans="1:6" x14ac:dyDescent="0.3">
      <c r="A4744" t="s">
        <v>7324</v>
      </c>
      <c r="B4744" t="str" cm="1">
        <f t="array" ref="B4744">_xlfn.XLOOKUP(C4744, INDEX([2]!카테고리매핑,,2), INDEX([2]!카테고리매핑,,1), "미등록 카테고리")</f>
        <v>유제품</v>
      </c>
      <c r="C4744" t="s">
        <v>123</v>
      </c>
      <c r="D4744" t="str">
        <f>VLOOKUP(C4744, '[2]VLOOKUP 함수용 카테고리'!$A$1:$B$59, 2, 0)</f>
        <v>DAIRY</v>
      </c>
      <c r="E4744" t="s">
        <v>949</v>
      </c>
      <c r="F4744" t="s">
        <v>543</v>
      </c>
    </row>
    <row r="4745" spans="1:6" x14ac:dyDescent="0.3">
      <c r="A4745" t="s">
        <v>7325</v>
      </c>
      <c r="B4745" t="str" cm="1">
        <f t="array" ref="B4745">_xlfn.XLOOKUP(C4745, INDEX([2]!카테고리매핑,,2), INDEX([2]!카테고리매핑,,1), "미등록 카테고리")</f>
        <v>과일/견과류</v>
      </c>
      <c r="C4745" t="s">
        <v>654</v>
      </c>
      <c r="D4745" t="str">
        <f>VLOOKUP(C4745, '[2]VLOOKUP 함수용 카테고리'!$A$1:$B$59, 2, 0)</f>
        <v>RAW_FRUIT</v>
      </c>
      <c r="E4745" t="s">
        <v>728</v>
      </c>
      <c r="F4745" t="s">
        <v>7326</v>
      </c>
    </row>
    <row r="4746" spans="1:6" x14ac:dyDescent="0.3">
      <c r="A4746" t="s">
        <v>7327</v>
      </c>
      <c r="B4746" t="str" cm="1">
        <f t="array" ref="B4746">_xlfn.XLOOKUP(C4746, INDEX([2]!카테고리매핑,,2), INDEX([2]!카테고리매핑,,1), "미등록 카테고리")</f>
        <v>간식류</v>
      </c>
      <c r="C4746" t="s">
        <v>109</v>
      </c>
      <c r="D4746" t="str">
        <f>VLOOKUP(C4746, '[2]VLOOKUP 함수용 카테고리'!$A$1:$B$59, 2, 0)</f>
        <v>SNACK</v>
      </c>
      <c r="E4746" t="s">
        <v>7328</v>
      </c>
      <c r="F4746" t="s">
        <v>1730</v>
      </c>
    </row>
    <row r="4747" spans="1:6" x14ac:dyDescent="0.3">
      <c r="A4747" t="s">
        <v>7329</v>
      </c>
      <c r="B4747" t="str" cm="1">
        <f t="array" ref="B4747">_xlfn.XLOOKUP(C4747, INDEX([2]!카테고리매핑,,2), INDEX([2]!카테고리매핑,,1), "미등록 카테고리")</f>
        <v>간식류</v>
      </c>
      <c r="C4747" t="s">
        <v>11</v>
      </c>
      <c r="D4747" t="str">
        <f>VLOOKUP(C4747, '[2]VLOOKUP 함수용 카테고리'!$A$1:$B$59, 2, 0)</f>
        <v>SNACK</v>
      </c>
      <c r="E4747" t="s">
        <v>2365</v>
      </c>
      <c r="F4747" t="s">
        <v>7677</v>
      </c>
    </row>
    <row r="4748" spans="1:6" x14ac:dyDescent="0.3">
      <c r="A4748" t="s">
        <v>7956</v>
      </c>
      <c r="B4748" t="str" cm="1">
        <f t="array" ref="B4748">_xlfn.XLOOKUP(C4748, INDEX([2]!카테고리매핑,,2), INDEX([2]!카테고리매핑,,1), "미등록 카테고리")</f>
        <v>과일/견과류</v>
      </c>
      <c r="C4748" t="s">
        <v>654</v>
      </c>
      <c r="D4748" t="str">
        <f>VLOOKUP(C4748, '[2]VLOOKUP 함수용 카테고리'!$A$1:$B$59, 2, 0)</f>
        <v>RAW_FRUIT</v>
      </c>
      <c r="E4748" t="s">
        <v>1741</v>
      </c>
      <c r="F4748" t="s">
        <v>7330</v>
      </c>
    </row>
    <row r="4749" spans="1:6" x14ac:dyDescent="0.3">
      <c r="A4749" t="s">
        <v>7331</v>
      </c>
      <c r="B4749" t="str" cm="1">
        <f t="array" ref="B4749">_xlfn.XLOOKUP(C4749, INDEX([2]!카테고리매핑,,2), INDEX([2]!카테고리매핑,,1), "미등록 카테고리")</f>
        <v>조미료</v>
      </c>
      <c r="C4749" t="s">
        <v>84</v>
      </c>
      <c r="D4749" t="str">
        <f>VLOOKUP(C4749, '[2]VLOOKUP 함수용 카테고리'!$A$1:$B$59, 2, 0)</f>
        <v>SAUCE_SEASONING</v>
      </c>
      <c r="E4749" t="s">
        <v>85</v>
      </c>
      <c r="F4749" t="s">
        <v>7332</v>
      </c>
    </row>
    <row r="4750" spans="1:6" x14ac:dyDescent="0.3">
      <c r="A4750" t="s">
        <v>7333</v>
      </c>
      <c r="B4750" t="str" cm="1">
        <f t="array" ref="B4750">_xlfn.XLOOKUP(C4750, INDEX([2]!카테고리매핑,,2), INDEX([2]!카테고리매핑,,1), "미등록 카테고리")</f>
        <v>간식류</v>
      </c>
      <c r="C4750" t="s">
        <v>38</v>
      </c>
      <c r="D4750" t="str">
        <f>VLOOKUP(C4750, '[2]VLOOKUP 함수용 카테고리'!$A$1:$B$59, 2, 0)</f>
        <v>SNACK</v>
      </c>
      <c r="E4750" t="s">
        <v>179</v>
      </c>
      <c r="F4750" t="s">
        <v>7957</v>
      </c>
    </row>
    <row r="4751" spans="1:6" x14ac:dyDescent="0.3">
      <c r="A4751" t="s">
        <v>7334</v>
      </c>
      <c r="B4751" t="str" cm="1">
        <f t="array" ref="B4751">_xlfn.XLOOKUP(C4751, INDEX([2]!카테고리매핑,,2), INDEX([2]!카테고리매핑,,1), "미등록 카테고리")</f>
        <v>수산물</v>
      </c>
      <c r="C4751" t="s">
        <v>203</v>
      </c>
      <c r="D4751" t="str">
        <f>VLOOKUP(C4751, '[2]VLOOKUP 함수용 카테고리'!$A$1:$B$59, 2, 0)</f>
        <v>RAW_SEAFOOD</v>
      </c>
      <c r="E4751" t="s">
        <v>1801</v>
      </c>
      <c r="F4751" t="s">
        <v>151</v>
      </c>
    </row>
    <row r="4752" spans="1:6" x14ac:dyDescent="0.3">
      <c r="A4752" t="s">
        <v>7335</v>
      </c>
      <c r="B4752" t="str" cm="1">
        <f t="array" ref="B4752">_xlfn.XLOOKUP(C4752, INDEX([2]!카테고리매핑,,2), INDEX([2]!카테고리매핑,,1), "미등록 카테고리")</f>
        <v>간식류</v>
      </c>
      <c r="C4752" t="s">
        <v>11</v>
      </c>
      <c r="D4752" t="str">
        <f>VLOOKUP(C4752, '[2]VLOOKUP 함수용 카테고리'!$A$1:$B$59, 2, 0)</f>
        <v>SNACK</v>
      </c>
      <c r="E4752" t="s">
        <v>7336</v>
      </c>
      <c r="F4752" t="s">
        <v>7337</v>
      </c>
    </row>
    <row r="4753" spans="1:6" x14ac:dyDescent="0.3">
      <c r="A4753" t="s">
        <v>7338</v>
      </c>
      <c r="B4753" t="str" cm="1">
        <f t="array" ref="B4753">_xlfn.XLOOKUP(C4753, INDEX([2]!카테고리매핑,,2), INDEX([2]!카테고리매핑,,1), "미등록 카테고리")</f>
        <v>간식류</v>
      </c>
      <c r="C4753" t="s">
        <v>15</v>
      </c>
      <c r="D4753" t="str">
        <f>VLOOKUP(C4753, '[2]VLOOKUP 함수용 카테고리'!$A$1:$B$59, 2, 0)</f>
        <v>BAKERY</v>
      </c>
      <c r="E4753" t="s">
        <v>53</v>
      </c>
      <c r="F4753" t="s">
        <v>54</v>
      </c>
    </row>
    <row r="4754" spans="1:6" x14ac:dyDescent="0.3">
      <c r="A4754" t="s">
        <v>7339</v>
      </c>
      <c r="B4754" t="str" cm="1">
        <f t="array" ref="B4754">_xlfn.XLOOKUP(C4754, INDEX([2]!카테고리매핑,,2), INDEX([2]!카테고리매핑,,1), "미등록 카테고리")</f>
        <v>수산물</v>
      </c>
      <c r="C4754" t="s">
        <v>1397</v>
      </c>
      <c r="D4754" t="str">
        <f>VLOOKUP(C4754, '[2]VLOOKUP 함수용 카테고리'!$A$1:$B$59, 2, 0)</f>
        <v>RAW_SEAFOOD</v>
      </c>
      <c r="E4754" t="s">
        <v>1398</v>
      </c>
      <c r="F4754" t="s">
        <v>7340</v>
      </c>
    </row>
    <row r="4755" spans="1:6" x14ac:dyDescent="0.3">
      <c r="A4755" t="s">
        <v>7341</v>
      </c>
      <c r="B4755" t="str" cm="1">
        <f t="array" ref="B4755">_xlfn.XLOOKUP(C4755, INDEX([2]!카테고리매핑,,2), INDEX([2]!카테고리매핑,,1), "미등록 카테고리")</f>
        <v>간식류</v>
      </c>
      <c r="C4755" t="s">
        <v>15</v>
      </c>
      <c r="D4755" t="str">
        <f>VLOOKUP(C4755, '[2]VLOOKUP 함수용 카테고리'!$A$1:$B$59, 2, 0)</f>
        <v>BAKERY</v>
      </c>
      <c r="E4755" t="s">
        <v>1933</v>
      </c>
      <c r="F4755" t="s">
        <v>1345</v>
      </c>
    </row>
    <row r="4756" spans="1:6" x14ac:dyDescent="0.3">
      <c r="A4756" t="s">
        <v>7342</v>
      </c>
      <c r="B4756" t="str" cm="1">
        <f t="array" ref="B4756">_xlfn.XLOOKUP(C4756, INDEX([2]!카테고리매핑,,2), INDEX([2]!카테고리매핑,,1), "미등록 카테고리")</f>
        <v>유제품</v>
      </c>
      <c r="C4756" t="s">
        <v>211</v>
      </c>
      <c r="D4756" t="str">
        <f>VLOOKUP(C4756, '[2]VLOOKUP 함수용 카테고리'!$A$1:$B$59, 2, 0)</f>
        <v>DAIRY</v>
      </c>
      <c r="E4756" t="s">
        <v>211</v>
      </c>
      <c r="F4756" t="s">
        <v>193</v>
      </c>
    </row>
    <row r="4757" spans="1:6" x14ac:dyDescent="0.3">
      <c r="A4757" t="s">
        <v>7343</v>
      </c>
      <c r="B4757" t="str" cm="1">
        <f t="array" ref="B4757">_xlfn.XLOOKUP(C4757, INDEX([2]!카테고리매핑,,2), INDEX([2]!카테고리매핑,,1), "미등록 카테고리")</f>
        <v>간편식</v>
      </c>
      <c r="C4757" t="s">
        <v>46</v>
      </c>
      <c r="D4757" t="str">
        <f>VLOOKUP(C4757, '[2]VLOOKUP 함수용 카테고리'!$A$1:$B$59, 2, 0)</f>
        <v>RTC_MEAL</v>
      </c>
      <c r="E4757" t="s">
        <v>46</v>
      </c>
      <c r="F4757" t="s">
        <v>1183</v>
      </c>
    </row>
    <row r="4758" spans="1:6" x14ac:dyDescent="0.3">
      <c r="A4758" t="s">
        <v>7344</v>
      </c>
      <c r="B4758" t="str" cm="1">
        <f t="array" ref="B4758">_xlfn.XLOOKUP(C4758, INDEX([2]!카테고리매핑,,2), INDEX([2]!카테고리매핑,,1), "미등록 카테고리")</f>
        <v>미등록 카테고리</v>
      </c>
      <c r="C4758" t="s">
        <v>334</v>
      </c>
      <c r="D4758" t="str">
        <f>VLOOKUP(C4758, '[2]VLOOKUP 함수용 카테고리'!$A$1:$B$59, 2, 0)</f>
        <v>UNKNOWN</v>
      </c>
      <c r="E4758" t="s">
        <v>334</v>
      </c>
      <c r="F4758" t="s">
        <v>2216</v>
      </c>
    </row>
    <row r="4759" spans="1:6" x14ac:dyDescent="0.3">
      <c r="A4759" t="s">
        <v>7345</v>
      </c>
      <c r="B4759" t="str" cm="1">
        <f t="array" ref="B4759">_xlfn.XLOOKUP(C4759, INDEX([2]!카테고리매핑,,2), INDEX([2]!카테고리매핑,,1), "미등록 카테고리")</f>
        <v>간식류</v>
      </c>
      <c r="C4759" t="s">
        <v>15</v>
      </c>
      <c r="D4759" t="str">
        <f>VLOOKUP(C4759, '[2]VLOOKUP 함수용 카테고리'!$A$1:$B$59, 2, 0)</f>
        <v>BAKERY</v>
      </c>
      <c r="E4759" t="s">
        <v>3025</v>
      </c>
      <c r="F4759" t="s">
        <v>224</v>
      </c>
    </row>
    <row r="4760" spans="1:6" x14ac:dyDescent="0.3">
      <c r="A4760" t="s">
        <v>7346</v>
      </c>
      <c r="B4760" t="str" cm="1">
        <f t="array" ref="B4760">_xlfn.XLOOKUP(C4760, INDEX([2]!카테고리매핑,,2), INDEX([2]!카테고리매핑,,1), "미등록 카테고리")</f>
        <v>채소/곡물류</v>
      </c>
      <c r="C4760" t="s">
        <v>27</v>
      </c>
      <c r="D4760" t="str">
        <f>VLOOKUP(C4760, '[2]VLOOKUP 함수용 카테고리'!$A$1:$B$59, 2, 0)</f>
        <v>SIMPLE_PROCESSED</v>
      </c>
      <c r="E4760" t="s">
        <v>5560</v>
      </c>
      <c r="F4760" t="s">
        <v>51</v>
      </c>
    </row>
    <row r="4761" spans="1:6" x14ac:dyDescent="0.3">
      <c r="A4761" t="s">
        <v>7347</v>
      </c>
      <c r="B4761" t="str" cm="1">
        <f t="array" ref="B4761">_xlfn.XLOOKUP(C4761, INDEX([2]!카테고리매핑,,2), INDEX([2]!카테고리매핑,,1), "미등록 카테고리")</f>
        <v>육류/계란</v>
      </c>
      <c r="C4761" t="s">
        <v>105</v>
      </c>
      <c r="D4761" t="str">
        <f>VLOOKUP(C4761, '[2]VLOOKUP 함수용 카테고리'!$A$1:$B$59, 2, 0)</f>
        <v>RAW_MEAT</v>
      </c>
      <c r="E4761" t="s">
        <v>3175</v>
      </c>
      <c r="F4761" t="s">
        <v>350</v>
      </c>
    </row>
    <row r="4762" spans="1:6" x14ac:dyDescent="0.3">
      <c r="A4762" t="s">
        <v>7348</v>
      </c>
      <c r="B4762" t="str" cm="1">
        <f t="array" ref="B4762">_xlfn.XLOOKUP(C4762, INDEX([2]!카테고리매핑,,2), INDEX([2]!카테고리매핑,,1), "미등록 카테고리")</f>
        <v>간편식</v>
      </c>
      <c r="C4762" t="s">
        <v>46</v>
      </c>
      <c r="D4762" t="str">
        <f>VLOOKUP(C4762, '[2]VLOOKUP 함수용 카테고리'!$A$1:$B$59, 2, 0)</f>
        <v>RTC_MEAL</v>
      </c>
      <c r="E4762" t="s">
        <v>46</v>
      </c>
      <c r="F4762" t="s">
        <v>7349</v>
      </c>
    </row>
    <row r="4763" spans="1:6" x14ac:dyDescent="0.3">
      <c r="A4763" t="s">
        <v>7350</v>
      </c>
      <c r="B4763" t="str" cm="1">
        <f t="array" ref="B4763">_xlfn.XLOOKUP(C4763, INDEX([2]!카테고리매핑,,2), INDEX([2]!카테고리매핑,,1), "미등록 카테고리")</f>
        <v>간편식</v>
      </c>
      <c r="C4763" t="s">
        <v>131</v>
      </c>
      <c r="D4763" t="str">
        <f>VLOOKUP(C4763, '[2]VLOOKUP 함수용 카테고리'!$A$1:$B$59, 2, 0)</f>
        <v>SIMPLE_PROCESSED</v>
      </c>
      <c r="E4763" t="s">
        <v>7351</v>
      </c>
      <c r="F4763" t="s">
        <v>156</v>
      </c>
    </row>
    <row r="4764" spans="1:6" x14ac:dyDescent="0.3">
      <c r="A4764" t="s">
        <v>7352</v>
      </c>
      <c r="B4764" t="str" cm="1">
        <f t="array" ref="B4764">_xlfn.XLOOKUP(C4764, INDEX([2]!카테고리매핑,,2), INDEX([2]!카테고리매핑,,1), "미등록 카테고리")</f>
        <v>상온식품</v>
      </c>
      <c r="C4764" t="s">
        <v>276</v>
      </c>
      <c r="D4764" t="str">
        <f>VLOOKUP(C4764, '[2]VLOOKUP 함수용 카테고리'!$A$1:$B$59, 2, 0)</f>
        <v>DRIED_SEAFOOD</v>
      </c>
      <c r="E4764" t="s">
        <v>4717</v>
      </c>
      <c r="F4764" t="s">
        <v>736</v>
      </c>
    </row>
    <row r="4765" spans="1:6" x14ac:dyDescent="0.3">
      <c r="A4765" t="s">
        <v>7353</v>
      </c>
      <c r="B4765" t="str" cm="1">
        <f t="array" ref="B4765">_xlfn.XLOOKUP(C4765, INDEX([2]!카테고리매핑,,2), INDEX([2]!카테고리매핑,,1), "미등록 카테고리")</f>
        <v>간식류</v>
      </c>
      <c r="C4765" t="s">
        <v>11</v>
      </c>
      <c r="D4765" t="str">
        <f>VLOOKUP(C4765, '[2]VLOOKUP 함수용 카테고리'!$A$1:$B$59, 2, 0)</f>
        <v>SNACK</v>
      </c>
      <c r="E4765" t="s">
        <v>371</v>
      </c>
      <c r="F4765" t="s">
        <v>4256</v>
      </c>
    </row>
    <row r="4766" spans="1:6" x14ac:dyDescent="0.3">
      <c r="A4766" t="s">
        <v>7354</v>
      </c>
      <c r="B4766" t="str" cm="1">
        <f t="array" ref="B4766">_xlfn.XLOOKUP(C4766, INDEX([2]!카테고리매핑,,2), INDEX([2]!카테고리매핑,,1), "미등록 카테고리")</f>
        <v>유제품</v>
      </c>
      <c r="C4766" t="s">
        <v>123</v>
      </c>
      <c r="D4766" t="str">
        <f>VLOOKUP(C4766, '[2]VLOOKUP 함수용 카테고리'!$A$1:$B$59, 2, 0)</f>
        <v>DAIRY</v>
      </c>
      <c r="E4766" t="s">
        <v>949</v>
      </c>
      <c r="F4766" t="s">
        <v>7958</v>
      </c>
    </row>
    <row r="4767" spans="1:6" x14ac:dyDescent="0.3">
      <c r="A4767" t="s">
        <v>7355</v>
      </c>
      <c r="B4767" t="str" cm="1">
        <f t="array" ref="B4767">_xlfn.XLOOKUP(C4767, INDEX([2]!카테고리매핑,,2), INDEX([2]!카테고리매핑,,1), "미등록 카테고리")</f>
        <v>육류/계란</v>
      </c>
      <c r="C4767" t="s">
        <v>149</v>
      </c>
      <c r="D4767" t="str">
        <f>VLOOKUP(C4767, '[2]VLOOKUP 함수용 카테고리'!$A$1:$B$59, 2, 0)</f>
        <v>RAW_MEAT</v>
      </c>
      <c r="E4767" t="s">
        <v>573</v>
      </c>
      <c r="F4767" t="s">
        <v>1006</v>
      </c>
    </row>
    <row r="4768" spans="1:6" x14ac:dyDescent="0.3">
      <c r="A4768" t="s">
        <v>7356</v>
      </c>
      <c r="B4768" t="str" cm="1">
        <f t="array" ref="B4768">_xlfn.XLOOKUP(C4768, INDEX([2]!카테고리매핑,,2), INDEX([2]!카테고리매핑,,1), "미등록 카테고리")</f>
        <v>과일/견과류</v>
      </c>
      <c r="C4768" t="s">
        <v>5029</v>
      </c>
      <c r="D4768" t="str">
        <f>VLOOKUP(C4768, '[2]VLOOKUP 함수용 카테고리'!$A$1:$B$59, 2, 0)</f>
        <v>SIMPLE_PROCESSED</v>
      </c>
      <c r="E4768" t="s">
        <v>5527</v>
      </c>
    </row>
    <row r="4769" spans="1:6" x14ac:dyDescent="0.3">
      <c r="A4769" t="s">
        <v>7357</v>
      </c>
      <c r="B4769" t="str" cm="1">
        <f t="array" ref="B4769">_xlfn.XLOOKUP(C4769, INDEX([2]!카테고리매핑,,2), INDEX([2]!카테고리매핑,,1), "미등록 카테고리")</f>
        <v>수산물</v>
      </c>
      <c r="C4769" t="s">
        <v>101</v>
      </c>
      <c r="D4769" t="str">
        <f>VLOOKUP(C4769, '[2]VLOOKUP 함수용 카테고리'!$A$1:$B$59, 2, 0)</f>
        <v>DRIED_SEAFOOD</v>
      </c>
      <c r="E4769" t="s">
        <v>693</v>
      </c>
      <c r="F4769" t="s">
        <v>1761</v>
      </c>
    </row>
    <row r="4770" spans="1:6" x14ac:dyDescent="0.3">
      <c r="A4770" t="s">
        <v>7358</v>
      </c>
      <c r="B4770" t="str" cm="1">
        <f t="array" ref="B4770">_xlfn.XLOOKUP(C4770, INDEX([2]!카테고리매핑,,2), INDEX([2]!카테고리매핑,,1), "미등록 카테고리")</f>
        <v>음료</v>
      </c>
      <c r="C4770" t="s">
        <v>23</v>
      </c>
      <c r="D4770" t="str">
        <f>VLOOKUP(C4770, '[2]VLOOKUP 함수용 카테고리'!$A$1:$B$59, 2, 0)</f>
        <v>BEVERAGE</v>
      </c>
      <c r="E4770" t="s">
        <v>355</v>
      </c>
      <c r="F4770" t="s">
        <v>753</v>
      </c>
    </row>
    <row r="4771" spans="1:6" x14ac:dyDescent="0.3">
      <c r="A4771" t="s">
        <v>7359</v>
      </c>
      <c r="B4771" t="str" cm="1">
        <f t="array" ref="B4771">_xlfn.XLOOKUP(C4771, INDEX([2]!카테고리매핑,,2), INDEX([2]!카테고리매핑,,1), "미등록 카테고리")</f>
        <v>유제품</v>
      </c>
      <c r="C4771" t="s">
        <v>98</v>
      </c>
      <c r="D4771" t="str">
        <f>VLOOKUP(C4771, '[2]VLOOKUP 함수용 카테고리'!$A$1:$B$59, 2, 0)</f>
        <v>DAIRY</v>
      </c>
      <c r="E4771" t="s">
        <v>7666</v>
      </c>
      <c r="F4771" t="s">
        <v>538</v>
      </c>
    </row>
    <row r="4772" spans="1:6" x14ac:dyDescent="0.3">
      <c r="A4772" t="s">
        <v>7360</v>
      </c>
      <c r="B4772" t="str" cm="1">
        <f t="array" ref="B4772">_xlfn.XLOOKUP(C4772, INDEX([2]!카테고리매핑,,2), INDEX([2]!카테고리매핑,,1), "미등록 카테고리")</f>
        <v>채소/곡물류</v>
      </c>
      <c r="C4772" t="s">
        <v>7</v>
      </c>
      <c r="D4772" t="str">
        <f>VLOOKUP(C4772, '[2]VLOOKUP 함수용 카테고리'!$A$1:$B$59, 2, 0)</f>
        <v>RAW_PRODUCE</v>
      </c>
      <c r="E4772" t="s">
        <v>1913</v>
      </c>
    </row>
    <row r="4773" spans="1:6" x14ac:dyDescent="0.3">
      <c r="A4773" t="s">
        <v>7361</v>
      </c>
      <c r="B4773" t="str" cm="1">
        <f t="array" ref="B4773">_xlfn.XLOOKUP(C4773, INDEX([2]!카테고리매핑,,2), INDEX([2]!카테고리매핑,,1), "미등록 카테고리")</f>
        <v>음료</v>
      </c>
      <c r="C4773" t="s">
        <v>23</v>
      </c>
      <c r="D4773" t="str">
        <f>VLOOKUP(C4773, '[2]VLOOKUP 함수용 카테고리'!$A$1:$B$59, 2, 0)</f>
        <v>BEVERAGE</v>
      </c>
      <c r="E4773" t="s">
        <v>355</v>
      </c>
      <c r="F4773" t="s">
        <v>375</v>
      </c>
    </row>
    <row r="4774" spans="1:6" x14ac:dyDescent="0.3">
      <c r="A4774" t="s">
        <v>7362</v>
      </c>
      <c r="B4774" t="str" cm="1">
        <f t="array" ref="B4774">_xlfn.XLOOKUP(C4774, INDEX([2]!카테고리매핑,,2), INDEX([2]!카테고리매핑,,1), "미등록 카테고리")</f>
        <v>간편식</v>
      </c>
      <c r="C4774" t="s">
        <v>131</v>
      </c>
      <c r="D4774" t="str">
        <f>VLOOKUP(C4774, '[2]VLOOKUP 함수용 카테고리'!$A$1:$B$59, 2, 0)</f>
        <v>SIMPLE_PROCESSED</v>
      </c>
      <c r="E4774" t="s">
        <v>4401</v>
      </c>
      <c r="F4774" t="s">
        <v>541</v>
      </c>
    </row>
    <row r="4775" spans="1:6" x14ac:dyDescent="0.3">
      <c r="A4775" t="s">
        <v>7363</v>
      </c>
      <c r="B4775" t="str" cm="1">
        <f t="array" ref="B4775">_xlfn.XLOOKUP(C4775, INDEX([2]!카테고리매핑,,2), INDEX([2]!카테고리매핑,,1), "미등록 카테고리")</f>
        <v>음료</v>
      </c>
      <c r="C4775" t="s">
        <v>584</v>
      </c>
      <c r="D4775" t="str">
        <f>VLOOKUP(C4775, '[2]VLOOKUP 함수용 카테고리'!$A$1:$B$59, 2, 0)</f>
        <v>BEVERAGE</v>
      </c>
      <c r="E4775" t="s">
        <v>7364</v>
      </c>
      <c r="F4775" t="s">
        <v>7959</v>
      </c>
    </row>
    <row r="4776" spans="1:6" x14ac:dyDescent="0.3">
      <c r="A4776" t="s">
        <v>7365</v>
      </c>
      <c r="B4776" t="str" cm="1">
        <f t="array" ref="B4776">_xlfn.XLOOKUP(C4776, INDEX([2]!카테고리매핑,,2), INDEX([2]!카테고리매핑,,1), "미등록 카테고리")</f>
        <v>과일/견과류</v>
      </c>
      <c r="C4776" t="s">
        <v>654</v>
      </c>
      <c r="D4776" t="str">
        <f>VLOOKUP(C4776, '[2]VLOOKUP 함수용 카테고리'!$A$1:$B$59, 2, 0)</f>
        <v>RAW_FRUIT</v>
      </c>
      <c r="E4776" t="s">
        <v>1376</v>
      </c>
      <c r="F4776" t="s">
        <v>6267</v>
      </c>
    </row>
    <row r="4777" spans="1:6" x14ac:dyDescent="0.3">
      <c r="A4777" t="s">
        <v>7366</v>
      </c>
      <c r="B4777" t="str" cm="1">
        <f t="array" ref="B4777">_xlfn.XLOOKUP(C4777, INDEX([2]!카테고리매핑,,2), INDEX([2]!카테고리매핑,,1), "미등록 카테고리")</f>
        <v>간편식</v>
      </c>
      <c r="C4777" t="s">
        <v>46</v>
      </c>
      <c r="D4777" t="str">
        <f>VLOOKUP(C4777, '[2]VLOOKUP 함수용 카테고리'!$A$1:$B$59, 2, 0)</f>
        <v>RTC_MEAL</v>
      </c>
      <c r="E4777" t="s">
        <v>46</v>
      </c>
      <c r="F4777" t="s">
        <v>5682</v>
      </c>
    </row>
    <row r="4778" spans="1:6" x14ac:dyDescent="0.3">
      <c r="A4778" t="s">
        <v>7367</v>
      </c>
      <c r="B4778" t="str" cm="1">
        <f t="array" ref="B4778">_xlfn.XLOOKUP(C4778, INDEX([2]!카테고리매핑,,2), INDEX([2]!카테고리매핑,,1), "미등록 카테고리")</f>
        <v>간편식</v>
      </c>
      <c r="C4778" t="s">
        <v>19</v>
      </c>
      <c r="D4778" t="str">
        <f>VLOOKUP(C4778, '[2]VLOOKUP 함수용 카테고리'!$A$1:$B$59, 2, 0)</f>
        <v>FROZEN_MEAL</v>
      </c>
      <c r="E4778" t="s">
        <v>7368</v>
      </c>
      <c r="F4778" t="s">
        <v>151</v>
      </c>
    </row>
    <row r="4779" spans="1:6" x14ac:dyDescent="0.3">
      <c r="A4779" t="s">
        <v>7369</v>
      </c>
      <c r="B4779" t="str" cm="1">
        <f t="array" ref="B4779">_xlfn.XLOOKUP(C4779, INDEX([2]!카테고리매핑,,2), INDEX([2]!카테고리매핑,,1), "미등록 카테고리")</f>
        <v>간식류</v>
      </c>
      <c r="C4779" t="s">
        <v>15</v>
      </c>
      <c r="D4779" t="str">
        <f>VLOOKUP(C4779, '[2]VLOOKUP 함수용 카테고리'!$A$1:$B$59, 2, 0)</f>
        <v>BAKERY</v>
      </c>
      <c r="E4779" t="s">
        <v>1011</v>
      </c>
      <c r="F4779" t="s">
        <v>1012</v>
      </c>
    </row>
    <row r="4780" spans="1:6" x14ac:dyDescent="0.3">
      <c r="A4780" t="s">
        <v>7370</v>
      </c>
      <c r="B4780" t="str" cm="1">
        <f t="array" ref="B4780">_xlfn.XLOOKUP(C4780, INDEX([2]!카테고리매핑,,2), INDEX([2]!카테고리매핑,,1), "미등록 카테고리")</f>
        <v>간식류</v>
      </c>
      <c r="C4780" t="s">
        <v>15</v>
      </c>
      <c r="D4780" t="str">
        <f>VLOOKUP(C4780, '[2]VLOOKUP 함수용 카테고리'!$A$1:$B$59, 2, 0)</f>
        <v>BAKERY</v>
      </c>
      <c r="E4780" t="s">
        <v>3012</v>
      </c>
      <c r="F4780" t="s">
        <v>65</v>
      </c>
    </row>
    <row r="4781" spans="1:6" x14ac:dyDescent="0.3">
      <c r="A4781" t="s">
        <v>7371</v>
      </c>
      <c r="B4781" t="str" cm="1">
        <f t="array" ref="B4781">_xlfn.XLOOKUP(C4781, INDEX([2]!카테고리매핑,,2), INDEX([2]!카테고리매핑,,1), "미등록 카테고리")</f>
        <v>수산물</v>
      </c>
      <c r="C4781" t="s">
        <v>1397</v>
      </c>
      <c r="D4781" t="str">
        <f>VLOOKUP(C4781, '[2]VLOOKUP 함수용 카테고리'!$A$1:$B$59, 2, 0)</f>
        <v>RAW_SEAFOOD</v>
      </c>
      <c r="E4781" t="s">
        <v>7372</v>
      </c>
      <c r="F4781" t="s">
        <v>7373</v>
      </c>
    </row>
    <row r="4782" spans="1:6" x14ac:dyDescent="0.3">
      <c r="A4782" t="s">
        <v>7374</v>
      </c>
      <c r="B4782" t="str" cm="1">
        <f t="array" ref="B4782">_xlfn.XLOOKUP(C4782, INDEX([2]!카테고리매핑,,2), INDEX([2]!카테고리매핑,,1), "미등록 카테고리")</f>
        <v>조미료</v>
      </c>
      <c r="C4782" t="s">
        <v>83</v>
      </c>
      <c r="D4782" t="str">
        <f>VLOOKUP(C4782, '[2]VLOOKUP 함수용 카테고리'!$A$1:$B$59, 2, 0)</f>
        <v>SAUCE_SEASONING</v>
      </c>
      <c r="E4782" t="s">
        <v>1372</v>
      </c>
      <c r="F4782" t="s">
        <v>1136</v>
      </c>
    </row>
    <row r="4783" spans="1:6" x14ac:dyDescent="0.3">
      <c r="A4783" t="s">
        <v>7375</v>
      </c>
      <c r="B4783" t="str" cm="1">
        <f t="array" ref="B4783">_xlfn.XLOOKUP(C4783, INDEX([2]!카테고리매핑,,2), INDEX([2]!카테고리매핑,,1), "미등록 카테고리")</f>
        <v>간식류</v>
      </c>
      <c r="C4783" t="s">
        <v>38</v>
      </c>
      <c r="D4783" t="str">
        <f>VLOOKUP(C4783, '[2]VLOOKUP 함수용 카테고리'!$A$1:$B$59, 2, 0)</f>
        <v>SNACK</v>
      </c>
      <c r="E4783" t="s">
        <v>811</v>
      </c>
      <c r="F4783" t="s">
        <v>7376</v>
      </c>
    </row>
    <row r="4784" spans="1:6" x14ac:dyDescent="0.3">
      <c r="A4784" t="s">
        <v>7377</v>
      </c>
      <c r="B4784" t="str" cm="1">
        <f t="array" ref="B4784">_xlfn.XLOOKUP(C4784, INDEX([2]!카테고리매핑,,2), INDEX([2]!카테고리매핑,,1), "미등록 카테고리")</f>
        <v>채소/곡물류</v>
      </c>
      <c r="C4784" t="s">
        <v>301</v>
      </c>
      <c r="D4784" t="str">
        <f>VLOOKUP(C4784, '[2]VLOOKUP 함수용 카테고리'!$A$1:$B$59, 2, 0)</f>
        <v>GRAIN</v>
      </c>
      <c r="E4784" t="s">
        <v>611</v>
      </c>
      <c r="F4784" t="s">
        <v>1608</v>
      </c>
    </row>
    <row r="4785" spans="1:6" x14ac:dyDescent="0.3">
      <c r="A4785" t="s">
        <v>7378</v>
      </c>
      <c r="B4785" t="str" cm="1">
        <f t="array" ref="B4785">_xlfn.XLOOKUP(C4785, INDEX([2]!카테고리매핑,,2), INDEX([2]!카테고리매핑,,1), "미등록 카테고리")</f>
        <v>육류/계란</v>
      </c>
      <c r="C4785" t="s">
        <v>34</v>
      </c>
      <c r="D4785" t="str">
        <f>VLOOKUP(C4785, '[2]VLOOKUP 함수용 카테고리'!$A$1:$B$59, 2, 0)</f>
        <v>RAW_MEAT</v>
      </c>
      <c r="E4785" t="s">
        <v>2941</v>
      </c>
      <c r="F4785" t="s">
        <v>36</v>
      </c>
    </row>
    <row r="4786" spans="1:6" x14ac:dyDescent="0.3">
      <c r="A4786" t="s">
        <v>7379</v>
      </c>
      <c r="B4786" t="str" cm="1">
        <f t="array" ref="B4786">_xlfn.XLOOKUP(C4786, INDEX([2]!카테고리매핑,,2), INDEX([2]!카테고리매핑,,1), "미등록 카테고리")</f>
        <v>채소/곡물류</v>
      </c>
      <c r="C4786" t="s">
        <v>301</v>
      </c>
      <c r="D4786" t="str">
        <f>VLOOKUP(C4786, '[2]VLOOKUP 함수용 카테고리'!$A$1:$B$59, 2, 0)</f>
        <v>GRAIN</v>
      </c>
      <c r="E4786" t="s">
        <v>611</v>
      </c>
      <c r="F4786" t="s">
        <v>7960</v>
      </c>
    </row>
    <row r="4787" spans="1:6" x14ac:dyDescent="0.3">
      <c r="A4787" t="s">
        <v>7380</v>
      </c>
      <c r="B4787" t="str" cm="1">
        <f t="array" ref="B4787">_xlfn.XLOOKUP(C4787, INDEX([2]!카테고리매핑,,2), INDEX([2]!카테고리매핑,,1), "미등록 카테고리")</f>
        <v>과일/견과류</v>
      </c>
      <c r="C4787" t="s">
        <v>1179</v>
      </c>
      <c r="D4787" t="str">
        <f>VLOOKUP(C4787, '[2]VLOOKUP 함수용 카테고리'!$A$1:$B$59, 2, 0)</f>
        <v>RAW_FRUIT</v>
      </c>
      <c r="E4787" t="s">
        <v>1179</v>
      </c>
      <c r="F4787" t="s">
        <v>4707</v>
      </c>
    </row>
    <row r="4788" spans="1:6" x14ac:dyDescent="0.3">
      <c r="A4788" t="s">
        <v>7381</v>
      </c>
      <c r="B4788" t="str" cm="1">
        <f t="array" ref="B4788">_xlfn.XLOOKUP(C4788, INDEX([2]!카테고리매핑,,2), INDEX([2]!카테고리매핑,,1), "미등록 카테고리")</f>
        <v>간식류</v>
      </c>
      <c r="C4788" t="s">
        <v>38</v>
      </c>
      <c r="D4788" t="str">
        <f>VLOOKUP(C4788, '[2]VLOOKUP 함수용 카테고리'!$A$1:$B$59, 2, 0)</f>
        <v>SNACK</v>
      </c>
      <c r="E4788" t="s">
        <v>179</v>
      </c>
      <c r="F4788" t="s">
        <v>2200</v>
      </c>
    </row>
    <row r="4789" spans="1:6" x14ac:dyDescent="0.3">
      <c r="A4789" t="s">
        <v>7382</v>
      </c>
      <c r="B4789" t="str" cm="1">
        <f t="array" ref="B4789">_xlfn.XLOOKUP(C4789, INDEX([2]!카테고리매핑,,2), INDEX([2]!카테고리매핑,,1), "미등록 카테고리")</f>
        <v>간편식</v>
      </c>
      <c r="C4789" t="s">
        <v>161</v>
      </c>
      <c r="D4789" t="str">
        <f>VLOOKUP(C4789, '[2]VLOOKUP 함수용 카테고리'!$A$1:$B$59, 2, 0)</f>
        <v>RTC_MEAL</v>
      </c>
      <c r="E4789" t="s">
        <v>162</v>
      </c>
      <c r="F4789" t="s">
        <v>977</v>
      </c>
    </row>
    <row r="4790" spans="1:6" x14ac:dyDescent="0.3">
      <c r="A4790" t="s">
        <v>7383</v>
      </c>
      <c r="B4790" t="str" cm="1">
        <f t="array" ref="B4790">_xlfn.XLOOKUP(C4790, INDEX([2]!카테고리매핑,,2), INDEX([2]!카테고리매핑,,1), "미등록 카테고리")</f>
        <v>간편식</v>
      </c>
      <c r="C4790" t="s">
        <v>131</v>
      </c>
      <c r="D4790" t="str">
        <f>VLOOKUP(C4790, '[2]VLOOKUP 함수용 카테고리'!$A$1:$B$59, 2, 0)</f>
        <v>SIMPLE_PROCESSED</v>
      </c>
      <c r="E4790" t="s">
        <v>7384</v>
      </c>
      <c r="F4790" t="s">
        <v>760</v>
      </c>
    </row>
    <row r="4791" spans="1:6" x14ac:dyDescent="0.3">
      <c r="A4791" t="s">
        <v>5306</v>
      </c>
      <c r="B4791" t="str" cm="1">
        <f t="array" ref="B4791">_xlfn.XLOOKUP(C4791, INDEX([2]!카테고리매핑,,2), INDEX([2]!카테고리매핑,,1), "미등록 카테고리")</f>
        <v>술</v>
      </c>
      <c r="C4791" t="s">
        <v>56</v>
      </c>
      <c r="D4791" t="str">
        <f>VLOOKUP(C4791, '[2]VLOOKUP 함수용 카테고리'!$A$1:$B$59, 2, 0)</f>
        <v>ALCOHOL</v>
      </c>
      <c r="E4791" t="s">
        <v>57</v>
      </c>
      <c r="F4791" t="s">
        <v>7898</v>
      </c>
    </row>
    <row r="4792" spans="1:6" x14ac:dyDescent="0.3">
      <c r="A4792" t="s">
        <v>7385</v>
      </c>
      <c r="B4792" t="str" cm="1">
        <f t="array" ref="B4792">_xlfn.XLOOKUP(C4792, INDEX([2]!카테고리매핑,,2), INDEX([2]!카테고리매핑,,1), "미등록 카테고리")</f>
        <v>수산물</v>
      </c>
      <c r="C4792" t="s">
        <v>1397</v>
      </c>
      <c r="D4792" t="str">
        <f>VLOOKUP(C4792, '[2]VLOOKUP 함수용 카테고리'!$A$1:$B$59, 2, 0)</f>
        <v>RAW_SEAFOOD</v>
      </c>
      <c r="E4792" t="s">
        <v>2607</v>
      </c>
    </row>
    <row r="4793" spans="1:6" x14ac:dyDescent="0.3">
      <c r="A4793" t="s">
        <v>7386</v>
      </c>
      <c r="B4793" t="str" cm="1">
        <f t="array" ref="B4793">_xlfn.XLOOKUP(C4793, INDEX([2]!카테고리매핑,,2), INDEX([2]!카테고리매핑,,1), "미등록 카테고리")</f>
        <v>채소/곡물류</v>
      </c>
      <c r="C4793" t="s">
        <v>27</v>
      </c>
      <c r="D4793" t="str">
        <f>VLOOKUP(C4793, '[2]VLOOKUP 함수용 카테고리'!$A$1:$B$59, 2, 0)</f>
        <v>SIMPLE_PROCESSED</v>
      </c>
      <c r="E4793" t="s">
        <v>28</v>
      </c>
      <c r="F4793" t="s">
        <v>29</v>
      </c>
    </row>
    <row r="4794" spans="1:6" x14ac:dyDescent="0.3">
      <c r="A4794" t="s">
        <v>7387</v>
      </c>
      <c r="B4794" t="str" cm="1">
        <f t="array" ref="B4794">_xlfn.XLOOKUP(C4794, INDEX([2]!카테고리매핑,,2), INDEX([2]!카테고리매핑,,1), "미등록 카테고리")</f>
        <v>수산물</v>
      </c>
      <c r="C4794" t="s">
        <v>229</v>
      </c>
      <c r="D4794" t="str">
        <f>VLOOKUP(C4794, '[2]VLOOKUP 함수용 카테고리'!$A$1:$B$59, 2, 0)</f>
        <v>RAW_SEAFOOD</v>
      </c>
      <c r="E4794" t="s">
        <v>230</v>
      </c>
    </row>
    <row r="4795" spans="1:6" x14ac:dyDescent="0.3">
      <c r="A4795" t="s">
        <v>7388</v>
      </c>
      <c r="B4795" t="str" cm="1">
        <f t="array" ref="B4795">_xlfn.XLOOKUP(C4795, INDEX([2]!카테고리매핑,,2), INDEX([2]!카테고리매핑,,1), "미등록 카테고리")</f>
        <v>간식류</v>
      </c>
      <c r="C4795" t="s">
        <v>15</v>
      </c>
      <c r="D4795" t="str">
        <f>VLOOKUP(C4795, '[2]VLOOKUP 함수용 카테고리'!$A$1:$B$59, 2, 0)</f>
        <v>BAKERY</v>
      </c>
      <c r="E4795" t="s">
        <v>2592</v>
      </c>
      <c r="F4795" t="s">
        <v>7244</v>
      </c>
    </row>
    <row r="4796" spans="1:6" x14ac:dyDescent="0.3">
      <c r="A4796" t="s">
        <v>7389</v>
      </c>
      <c r="B4796" t="str" cm="1">
        <f t="array" ref="B4796">_xlfn.XLOOKUP(C4796, INDEX([2]!카테고리매핑,,2), INDEX([2]!카테고리매핑,,1), "미등록 카테고리")</f>
        <v>간편식</v>
      </c>
      <c r="C4796" t="s">
        <v>46</v>
      </c>
      <c r="D4796" t="str">
        <f>VLOOKUP(C4796, '[2]VLOOKUP 함수용 카테고리'!$A$1:$B$59, 2, 0)</f>
        <v>RTC_MEAL</v>
      </c>
      <c r="E4796" t="s">
        <v>46</v>
      </c>
      <c r="F4796" t="s">
        <v>426</v>
      </c>
    </row>
    <row r="4797" spans="1:6" x14ac:dyDescent="0.3">
      <c r="A4797" t="s">
        <v>7390</v>
      </c>
      <c r="B4797" t="str" cm="1">
        <f t="array" ref="B4797">_xlfn.XLOOKUP(C4797, INDEX([2]!카테고리매핑,,2), INDEX([2]!카테고리매핑,,1), "미등록 카테고리")</f>
        <v>간식류</v>
      </c>
      <c r="C4797" t="s">
        <v>11</v>
      </c>
      <c r="D4797" t="str">
        <f>VLOOKUP(C4797, '[2]VLOOKUP 함수용 카테고리'!$A$1:$B$59, 2, 0)</f>
        <v>SNACK</v>
      </c>
      <c r="E4797" t="s">
        <v>6280</v>
      </c>
      <c r="F4797" t="s">
        <v>7391</v>
      </c>
    </row>
    <row r="4798" spans="1:6" x14ac:dyDescent="0.3">
      <c r="A4798" t="s">
        <v>7392</v>
      </c>
      <c r="B4798" t="str" cm="1">
        <f t="array" ref="B4798">_xlfn.XLOOKUP(C4798, INDEX([2]!카테고리매핑,,2), INDEX([2]!카테고리매핑,,1), "미등록 카테고리")</f>
        <v>과일/견과류</v>
      </c>
      <c r="C4798" t="s">
        <v>654</v>
      </c>
      <c r="D4798" t="str">
        <f>VLOOKUP(C4798, '[2]VLOOKUP 함수용 카테고리'!$A$1:$B$59, 2, 0)</f>
        <v>RAW_FRUIT</v>
      </c>
      <c r="E4798" t="s">
        <v>1395</v>
      </c>
      <c r="F4798" t="s">
        <v>1892</v>
      </c>
    </row>
    <row r="4799" spans="1:6" x14ac:dyDescent="0.3">
      <c r="A4799" t="s">
        <v>7393</v>
      </c>
      <c r="B4799" t="str" cm="1">
        <f t="array" ref="B4799">_xlfn.XLOOKUP(C4799, INDEX([2]!카테고리매핑,,2), INDEX([2]!카테고리매핑,,1), "미등록 카테고리")</f>
        <v>간편식</v>
      </c>
      <c r="C4799" t="s">
        <v>19</v>
      </c>
      <c r="D4799" t="str">
        <f>VLOOKUP(C4799, '[2]VLOOKUP 함수용 카테고리'!$A$1:$B$59, 2, 0)</f>
        <v>FROZEN_MEAL</v>
      </c>
      <c r="E4799" t="s">
        <v>6384</v>
      </c>
      <c r="F4799" t="s">
        <v>156</v>
      </c>
    </row>
    <row r="4800" spans="1:6" x14ac:dyDescent="0.3">
      <c r="A4800" t="s">
        <v>7394</v>
      </c>
      <c r="B4800" t="str" cm="1">
        <f t="array" ref="B4800">_xlfn.XLOOKUP(C4800, INDEX([2]!카테고리매핑,,2), INDEX([2]!카테고리매핑,,1), "미등록 카테고리")</f>
        <v>간편식</v>
      </c>
      <c r="C4800" t="s">
        <v>158</v>
      </c>
      <c r="D4800" t="str">
        <f>VLOOKUP(C4800, '[2]VLOOKUP 함수용 카테고리'!$A$1:$B$59, 2, 0)</f>
        <v>INSTANT</v>
      </c>
      <c r="E4800" t="s">
        <v>7395</v>
      </c>
      <c r="F4800" t="s">
        <v>7961</v>
      </c>
    </row>
    <row r="4801" spans="1:6" x14ac:dyDescent="0.3">
      <c r="A4801" t="s">
        <v>7396</v>
      </c>
      <c r="B4801" t="str" cm="1">
        <f t="array" ref="B4801">_xlfn.XLOOKUP(C4801, INDEX([2]!카테고리매핑,,2), INDEX([2]!카테고리매핑,,1), "미등록 카테고리")</f>
        <v>유제품</v>
      </c>
      <c r="C4801" t="s">
        <v>98</v>
      </c>
      <c r="D4801" t="str">
        <f>VLOOKUP(C4801, '[2]VLOOKUP 함수용 카테고리'!$A$1:$B$59, 2, 0)</f>
        <v>DAIRY</v>
      </c>
      <c r="E4801" t="s">
        <v>98</v>
      </c>
      <c r="F4801" t="s">
        <v>2388</v>
      </c>
    </row>
    <row r="4802" spans="1:6" x14ac:dyDescent="0.3">
      <c r="A4802" t="s">
        <v>7397</v>
      </c>
      <c r="B4802" t="str" cm="1">
        <f t="array" ref="B4802">_xlfn.XLOOKUP(C4802, INDEX([2]!카테고리매핑,,2), INDEX([2]!카테고리매핑,,1), "미등록 카테고리")</f>
        <v>채소/곡물류</v>
      </c>
      <c r="C4802" t="s">
        <v>164</v>
      </c>
      <c r="D4802" t="str">
        <f>VLOOKUP(C4802, '[2]VLOOKUP 함수용 카테고리'!$A$1:$B$59, 2, 0)</f>
        <v>RAW_PRODUCE</v>
      </c>
      <c r="E4802" t="s">
        <v>165</v>
      </c>
    </row>
    <row r="4803" spans="1:6" x14ac:dyDescent="0.3">
      <c r="A4803" t="s">
        <v>7398</v>
      </c>
      <c r="B4803" t="str" cm="1">
        <f t="array" ref="B4803">_xlfn.XLOOKUP(C4803, INDEX([2]!카테고리매핑,,2), INDEX([2]!카테고리매핑,,1), "미등록 카테고리")</f>
        <v>간식류</v>
      </c>
      <c r="C4803" t="s">
        <v>11</v>
      </c>
      <c r="D4803" t="str">
        <f>VLOOKUP(C4803, '[2]VLOOKUP 함수용 카테고리'!$A$1:$B$59, 2, 0)</f>
        <v>SNACK</v>
      </c>
      <c r="E4803" t="s">
        <v>153</v>
      </c>
      <c r="F4803" t="s">
        <v>3227</v>
      </c>
    </row>
    <row r="4804" spans="1:6" x14ac:dyDescent="0.3">
      <c r="A4804" t="s">
        <v>7399</v>
      </c>
      <c r="B4804" t="str" cm="1">
        <f t="array" ref="B4804">_xlfn.XLOOKUP(C4804, INDEX([2]!카테고리매핑,,2), INDEX([2]!카테고리매핑,,1), "미등록 카테고리")</f>
        <v>음료</v>
      </c>
      <c r="C4804" t="s">
        <v>584</v>
      </c>
      <c r="D4804" t="str">
        <f>VLOOKUP(C4804, '[2]VLOOKUP 함수용 카테고리'!$A$1:$B$59, 2, 0)</f>
        <v>BEVERAGE</v>
      </c>
      <c r="E4804" t="s">
        <v>1257</v>
      </c>
      <c r="F4804" t="s">
        <v>4862</v>
      </c>
    </row>
    <row r="4805" spans="1:6" x14ac:dyDescent="0.3">
      <c r="A4805" t="s">
        <v>7400</v>
      </c>
      <c r="B4805" t="str" cm="1">
        <f t="array" ref="B4805">_xlfn.XLOOKUP(C4805, INDEX([2]!카테고리매핑,,2), INDEX([2]!카테고리매핑,,1), "미등록 카테고리")</f>
        <v>간편식</v>
      </c>
      <c r="C4805" t="s">
        <v>131</v>
      </c>
      <c r="D4805" t="str">
        <f>VLOOKUP(C4805, '[2]VLOOKUP 함수용 카테고리'!$A$1:$B$59, 2, 0)</f>
        <v>SIMPLE_PROCESSED</v>
      </c>
      <c r="E4805" t="s">
        <v>7401</v>
      </c>
      <c r="F4805" t="s">
        <v>237</v>
      </c>
    </row>
    <row r="4806" spans="1:6" x14ac:dyDescent="0.3">
      <c r="A4806" t="s">
        <v>7402</v>
      </c>
      <c r="B4806" t="str" cm="1">
        <f t="array" ref="B4806">_xlfn.XLOOKUP(C4806, INDEX([2]!카테고리매핑,,2), INDEX([2]!카테고리매핑,,1), "미등록 카테고리")</f>
        <v>음료</v>
      </c>
      <c r="C4806" t="s">
        <v>23</v>
      </c>
      <c r="D4806" t="str">
        <f>VLOOKUP(C4806, '[2]VLOOKUP 함수용 카테고리'!$A$1:$B$59, 2, 0)</f>
        <v>BEVERAGE</v>
      </c>
      <c r="E4806" t="s">
        <v>288</v>
      </c>
      <c r="F4806" t="s">
        <v>7403</v>
      </c>
    </row>
    <row r="4807" spans="1:6" x14ac:dyDescent="0.3">
      <c r="A4807" t="s">
        <v>7404</v>
      </c>
      <c r="B4807" t="str" cm="1">
        <f t="array" ref="B4807">_xlfn.XLOOKUP(C4807, INDEX([2]!카테고리매핑,,2), INDEX([2]!카테고리매핑,,1), "미등록 카테고리")</f>
        <v>간식류</v>
      </c>
      <c r="C4807" t="s">
        <v>11</v>
      </c>
      <c r="D4807" t="str">
        <f>VLOOKUP(C4807, '[2]VLOOKUP 함수용 카테고리'!$A$1:$B$59, 2, 0)</f>
        <v>SNACK</v>
      </c>
      <c r="E4807" t="s">
        <v>371</v>
      </c>
      <c r="F4807" t="s">
        <v>7905</v>
      </c>
    </row>
    <row r="4808" spans="1:6" x14ac:dyDescent="0.3">
      <c r="A4808" t="s">
        <v>7405</v>
      </c>
      <c r="B4808" t="str" cm="1">
        <f t="array" ref="B4808">_xlfn.XLOOKUP(C4808, INDEX([2]!카테고리매핑,,2), INDEX([2]!카테고리매핑,,1), "미등록 카테고리")</f>
        <v>육류/계란</v>
      </c>
      <c r="C4808" t="s">
        <v>105</v>
      </c>
      <c r="D4808" t="str">
        <f>VLOOKUP(C4808, '[2]VLOOKUP 함수용 카테고리'!$A$1:$B$59, 2, 0)</f>
        <v>RAW_MEAT</v>
      </c>
      <c r="E4808" t="s">
        <v>291</v>
      </c>
      <c r="F4808" t="s">
        <v>2424</v>
      </c>
    </row>
    <row r="4809" spans="1:6" x14ac:dyDescent="0.3">
      <c r="A4809" t="s">
        <v>7406</v>
      </c>
      <c r="B4809" t="str" cm="1">
        <f t="array" ref="B4809">_xlfn.XLOOKUP(C4809, INDEX([2]!카테고리매핑,,2), INDEX([2]!카테고리매핑,,1), "미등록 카테고리")</f>
        <v>조미료</v>
      </c>
      <c r="C4809" t="s">
        <v>84</v>
      </c>
      <c r="D4809" t="str">
        <f>VLOOKUP(C4809, '[2]VLOOKUP 함수용 카테고리'!$A$1:$B$59, 2, 0)</f>
        <v>SAUCE_SEASONING</v>
      </c>
      <c r="E4809" t="s">
        <v>6724</v>
      </c>
      <c r="F4809" t="s">
        <v>6725</v>
      </c>
    </row>
    <row r="4810" spans="1:6" x14ac:dyDescent="0.3">
      <c r="A4810" t="s">
        <v>7407</v>
      </c>
      <c r="B4810" t="str" cm="1">
        <f t="array" ref="B4810">_xlfn.XLOOKUP(C4810, INDEX([2]!카테고리매핑,,2), INDEX([2]!카테고리매핑,,1), "미등록 카테고리")</f>
        <v>간식류</v>
      </c>
      <c r="C4810" t="s">
        <v>15</v>
      </c>
      <c r="D4810" t="str">
        <f>VLOOKUP(C4810, '[2]VLOOKUP 함수용 카테고리'!$A$1:$B$59, 2, 0)</f>
        <v>BAKERY</v>
      </c>
      <c r="E4810" t="s">
        <v>53</v>
      </c>
      <c r="F4810" t="s">
        <v>54</v>
      </c>
    </row>
    <row r="4811" spans="1:6" x14ac:dyDescent="0.3">
      <c r="A4811" t="s">
        <v>7408</v>
      </c>
      <c r="B4811" t="str" cm="1">
        <f t="array" ref="B4811">_xlfn.XLOOKUP(C4811, INDEX([2]!카테고리매핑,,2), INDEX([2]!카테고리매핑,,1), "미등록 카테고리")</f>
        <v>상온식품</v>
      </c>
      <c r="C4811" t="s">
        <v>276</v>
      </c>
      <c r="D4811" t="str">
        <f>VLOOKUP(C4811, '[2]VLOOKUP 함수용 카테고리'!$A$1:$B$59, 2, 0)</f>
        <v>DRIED_SEAFOOD</v>
      </c>
      <c r="E4811" t="s">
        <v>7409</v>
      </c>
      <c r="F4811" t="s">
        <v>246</v>
      </c>
    </row>
    <row r="4812" spans="1:6" x14ac:dyDescent="0.3">
      <c r="A4812" t="s">
        <v>7410</v>
      </c>
      <c r="B4812" t="str" cm="1">
        <f t="array" ref="B4812">_xlfn.XLOOKUP(C4812, INDEX([2]!카테고리매핑,,2), INDEX([2]!카테고리매핑,,1), "미등록 카테고리")</f>
        <v>육류/계란</v>
      </c>
      <c r="C4812" t="s">
        <v>105</v>
      </c>
      <c r="D4812" t="str">
        <f>VLOOKUP(C4812, '[2]VLOOKUP 함수용 카테고리'!$A$1:$B$59, 2, 0)</f>
        <v>RAW_MEAT</v>
      </c>
      <c r="E4812" t="s">
        <v>291</v>
      </c>
      <c r="F4812" t="s">
        <v>151</v>
      </c>
    </row>
    <row r="4813" spans="1:6" x14ac:dyDescent="0.3">
      <c r="A4813" t="s">
        <v>7411</v>
      </c>
      <c r="B4813" t="str" cm="1">
        <f t="array" ref="B4813">_xlfn.XLOOKUP(C4813, INDEX([2]!카테고리매핑,,2), INDEX([2]!카테고리매핑,,1), "미등록 카테고리")</f>
        <v>간식류</v>
      </c>
      <c r="C4813" t="s">
        <v>11</v>
      </c>
      <c r="D4813" t="str">
        <f>VLOOKUP(C4813, '[2]VLOOKUP 함수용 카테고리'!$A$1:$B$59, 2, 0)</f>
        <v>SNACK</v>
      </c>
      <c r="E4813" t="s">
        <v>371</v>
      </c>
      <c r="F4813" t="s">
        <v>7412</v>
      </c>
    </row>
    <row r="4814" spans="1:6" x14ac:dyDescent="0.3">
      <c r="A4814" t="s">
        <v>7413</v>
      </c>
      <c r="B4814" t="str" cm="1">
        <f t="array" ref="B4814">_xlfn.XLOOKUP(C4814, INDEX([2]!카테고리매핑,,2), INDEX([2]!카테고리매핑,,1), "미등록 카테고리")</f>
        <v>상온식품</v>
      </c>
      <c r="C4814" t="s">
        <v>276</v>
      </c>
      <c r="D4814" t="str">
        <f>VLOOKUP(C4814, '[2]VLOOKUP 함수용 카테고리'!$A$1:$B$59, 2, 0)</f>
        <v>DRIED_SEAFOOD</v>
      </c>
      <c r="E4814" t="s">
        <v>277</v>
      </c>
      <c r="F4814" t="s">
        <v>7414</v>
      </c>
    </row>
    <row r="4815" spans="1:6" x14ac:dyDescent="0.3">
      <c r="A4815" t="s">
        <v>7415</v>
      </c>
      <c r="B4815" t="str" cm="1">
        <f t="array" ref="B4815">_xlfn.XLOOKUP(C4815, INDEX([2]!카테고리매핑,,2), INDEX([2]!카테고리매핑,,1), "미등록 카테고리")</f>
        <v>상온식품</v>
      </c>
      <c r="C4815" t="s">
        <v>276</v>
      </c>
      <c r="D4815" t="str">
        <f>VLOOKUP(C4815, '[2]VLOOKUP 함수용 카테고리'!$A$1:$B$59, 2, 0)</f>
        <v>DRIED_SEAFOOD</v>
      </c>
      <c r="E4815" t="s">
        <v>277</v>
      </c>
      <c r="F4815" t="s">
        <v>704</v>
      </c>
    </row>
    <row r="4816" spans="1:6" x14ac:dyDescent="0.3">
      <c r="A4816" t="s">
        <v>7416</v>
      </c>
      <c r="B4816" t="str" cm="1">
        <f t="array" ref="B4816">_xlfn.XLOOKUP(C4816, INDEX([2]!카테고리매핑,,2), INDEX([2]!카테고리매핑,,1), "미등록 카테고리")</f>
        <v>간편식</v>
      </c>
      <c r="C4816" t="s">
        <v>161</v>
      </c>
      <c r="D4816" t="str">
        <f>VLOOKUP(C4816, '[2]VLOOKUP 함수용 카테고리'!$A$1:$B$59, 2, 0)</f>
        <v>RTC_MEAL</v>
      </c>
      <c r="E4816" t="s">
        <v>162</v>
      </c>
      <c r="F4816" t="s">
        <v>3963</v>
      </c>
    </row>
    <row r="4817" spans="1:6" x14ac:dyDescent="0.3">
      <c r="A4817" t="s">
        <v>7417</v>
      </c>
      <c r="B4817" t="str" cm="1">
        <f t="array" ref="B4817">_xlfn.XLOOKUP(C4817, INDEX([2]!카테고리매핑,,2), INDEX([2]!카테고리매핑,,1), "미등록 카테고리")</f>
        <v>조미료</v>
      </c>
      <c r="C4817" t="s">
        <v>127</v>
      </c>
      <c r="D4817" t="str">
        <f>VLOOKUP(C4817, '[2]VLOOKUP 함수용 카테고리'!$A$1:$B$59, 2, 0)</f>
        <v>SAUCE_SEASONING</v>
      </c>
      <c r="E4817" t="s">
        <v>7418</v>
      </c>
      <c r="F4817" t="s">
        <v>136</v>
      </c>
    </row>
    <row r="4818" spans="1:6" x14ac:dyDescent="0.3">
      <c r="A4818" t="s">
        <v>7419</v>
      </c>
      <c r="B4818" t="str" cm="1">
        <f t="array" ref="B4818">_xlfn.XLOOKUP(C4818, INDEX([2]!카테고리매핑,,2), INDEX([2]!카테고리매핑,,1), "미등록 카테고리")</f>
        <v>음료</v>
      </c>
      <c r="C4818" t="s">
        <v>708</v>
      </c>
      <c r="D4818" t="str">
        <f>VLOOKUP(C4818, '[2]VLOOKUP 함수용 카테고리'!$A$1:$B$59, 2, 0)</f>
        <v>BEVERAGE</v>
      </c>
      <c r="E4818" t="s">
        <v>708</v>
      </c>
      <c r="F4818" t="s">
        <v>709</v>
      </c>
    </row>
    <row r="4819" spans="1:6" x14ac:dyDescent="0.3">
      <c r="A4819" t="s">
        <v>7420</v>
      </c>
      <c r="B4819" t="str" cm="1">
        <f t="array" ref="B4819">_xlfn.XLOOKUP(C4819, INDEX([2]!카테고리매핑,,2), INDEX([2]!카테고리매핑,,1), "미등록 카테고리")</f>
        <v>간식류</v>
      </c>
      <c r="C4819" t="s">
        <v>11</v>
      </c>
      <c r="D4819" t="str">
        <f>VLOOKUP(C4819, '[2]VLOOKUP 함수용 카테고리'!$A$1:$B$59, 2, 0)</f>
        <v>SNACK</v>
      </c>
      <c r="E4819" t="s">
        <v>361</v>
      </c>
      <c r="F4819" t="s">
        <v>224</v>
      </c>
    </row>
    <row r="4820" spans="1:6" x14ac:dyDescent="0.3">
      <c r="A4820" t="s">
        <v>7421</v>
      </c>
      <c r="B4820" t="str" cm="1">
        <f t="array" ref="B4820">_xlfn.XLOOKUP(C4820, INDEX([2]!카테고리매핑,,2), INDEX([2]!카테고리매핑,,1), "미등록 카테고리")</f>
        <v>간편식</v>
      </c>
      <c r="C4820" t="s">
        <v>256</v>
      </c>
      <c r="D4820" t="str">
        <f>VLOOKUP(C4820, '[2]VLOOKUP 함수용 카테고리'!$A$1:$B$59, 2, 0)</f>
        <v>RTC_MEAL</v>
      </c>
      <c r="E4820" t="s">
        <v>256</v>
      </c>
      <c r="F4820" t="s">
        <v>7962</v>
      </c>
    </row>
    <row r="4821" spans="1:6" x14ac:dyDescent="0.3">
      <c r="A4821" t="s">
        <v>7422</v>
      </c>
      <c r="B4821" t="str" cm="1">
        <f t="array" ref="B4821">_xlfn.XLOOKUP(C4821, INDEX([2]!카테고리매핑,,2), INDEX([2]!카테고리매핑,,1), "미등록 카테고리")</f>
        <v>간편식</v>
      </c>
      <c r="C4821" t="s">
        <v>46</v>
      </c>
      <c r="D4821" t="str">
        <f>VLOOKUP(C4821, '[2]VLOOKUP 함수용 카테고리'!$A$1:$B$59, 2, 0)</f>
        <v>RTC_MEAL</v>
      </c>
      <c r="E4821" t="s">
        <v>46</v>
      </c>
      <c r="F4821" t="s">
        <v>2518</v>
      </c>
    </row>
    <row r="4822" spans="1:6" x14ac:dyDescent="0.3">
      <c r="A4822" t="s">
        <v>7423</v>
      </c>
      <c r="B4822" t="str" cm="1">
        <f t="array" ref="B4822">_xlfn.XLOOKUP(C4822, INDEX([2]!카테고리매핑,,2), INDEX([2]!카테고리매핑,,1), "미등록 카테고리")</f>
        <v>조미료</v>
      </c>
      <c r="C4822" t="s">
        <v>127</v>
      </c>
      <c r="D4822" t="str">
        <f>VLOOKUP(C4822, '[2]VLOOKUP 함수용 카테고리'!$A$1:$B$59, 2, 0)</f>
        <v>SAUCE_SEASONING</v>
      </c>
      <c r="E4822" t="s">
        <v>7424</v>
      </c>
      <c r="F4822" t="s">
        <v>7424</v>
      </c>
    </row>
    <row r="4823" spans="1:6" x14ac:dyDescent="0.3">
      <c r="A4823" t="s">
        <v>7425</v>
      </c>
      <c r="B4823" t="str" cm="1">
        <f t="array" ref="B4823">_xlfn.XLOOKUP(C4823, INDEX([2]!카테고리매핑,,2), INDEX([2]!카테고리매핑,,1), "미등록 카테고리")</f>
        <v>조미료</v>
      </c>
      <c r="C4823" t="s">
        <v>127</v>
      </c>
      <c r="D4823" t="str">
        <f>VLOOKUP(C4823, '[2]VLOOKUP 함수용 카테고리'!$A$1:$B$59, 2, 0)</f>
        <v>SAUCE_SEASONING</v>
      </c>
      <c r="E4823" t="s">
        <v>340</v>
      </c>
      <c r="F4823" t="s">
        <v>341</v>
      </c>
    </row>
    <row r="4824" spans="1:6" x14ac:dyDescent="0.3">
      <c r="A4824" t="s">
        <v>5105</v>
      </c>
      <c r="B4824" t="str" cm="1">
        <f t="array" ref="B4824">_xlfn.XLOOKUP(C4824, INDEX([2]!카테고리매핑,,2), INDEX([2]!카테고리매핑,,1), "미등록 카테고리")</f>
        <v>미등록 카테고리</v>
      </c>
      <c r="C4824" t="s">
        <v>334</v>
      </c>
      <c r="D4824" t="str">
        <f>VLOOKUP(C4824, '[2]VLOOKUP 함수용 카테고리'!$A$1:$B$59, 2, 0)</f>
        <v>UNKNOWN</v>
      </c>
      <c r="E4824" t="s">
        <v>334</v>
      </c>
      <c r="F4824" t="s">
        <v>2552</v>
      </c>
    </row>
    <row r="4825" spans="1:6" x14ac:dyDescent="0.3">
      <c r="A4825" t="s">
        <v>7426</v>
      </c>
      <c r="B4825" t="str" cm="1">
        <f t="array" ref="B4825">_xlfn.XLOOKUP(C4825, INDEX([2]!카테고리매핑,,2), INDEX([2]!카테고리매핑,,1), "미등록 카테고리")</f>
        <v>간편식</v>
      </c>
      <c r="C4825" t="s">
        <v>19</v>
      </c>
      <c r="D4825" t="str">
        <f>VLOOKUP(C4825, '[2]VLOOKUP 함수용 카테고리'!$A$1:$B$59, 2, 0)</f>
        <v>FROZEN_MEAL</v>
      </c>
      <c r="E4825" t="s">
        <v>7427</v>
      </c>
      <c r="F4825" t="s">
        <v>257</v>
      </c>
    </row>
    <row r="4826" spans="1:6" x14ac:dyDescent="0.3">
      <c r="A4826" t="s">
        <v>7428</v>
      </c>
      <c r="B4826" t="str" cm="1">
        <f t="array" ref="B4826">_xlfn.XLOOKUP(C4826, INDEX([2]!카테고리매핑,,2), INDEX([2]!카테고리매핑,,1), "미등록 카테고리")</f>
        <v>육류/계란</v>
      </c>
      <c r="C4826" t="s">
        <v>149</v>
      </c>
      <c r="D4826" t="str">
        <f>VLOOKUP(C4826, '[2]VLOOKUP 함수용 카테고리'!$A$1:$B$59, 2, 0)</f>
        <v>RAW_MEAT</v>
      </c>
      <c r="E4826" t="s">
        <v>150</v>
      </c>
      <c r="F4826" t="s">
        <v>1152</v>
      </c>
    </row>
    <row r="4827" spans="1:6" x14ac:dyDescent="0.3">
      <c r="A4827" t="s">
        <v>7429</v>
      </c>
      <c r="B4827" t="str" cm="1">
        <f t="array" ref="B4827">_xlfn.XLOOKUP(C4827, INDEX([2]!카테고리매핑,,2), INDEX([2]!카테고리매핑,,1), "미등록 카테고리")</f>
        <v>상온식품</v>
      </c>
      <c r="C4827" t="s">
        <v>276</v>
      </c>
      <c r="D4827" t="str">
        <f>VLOOKUP(C4827, '[2]VLOOKUP 함수용 카테고리'!$A$1:$B$59, 2, 0)</f>
        <v>DRIED_SEAFOOD</v>
      </c>
      <c r="E4827" t="s">
        <v>277</v>
      </c>
      <c r="F4827" t="s">
        <v>7430</v>
      </c>
    </row>
    <row r="4828" spans="1:6" x14ac:dyDescent="0.3">
      <c r="A4828" t="s">
        <v>7431</v>
      </c>
      <c r="B4828" t="str" cm="1">
        <f t="array" ref="B4828">_xlfn.XLOOKUP(C4828, INDEX([2]!카테고리매핑,,2), INDEX([2]!카테고리매핑,,1), "미등록 카테고리")</f>
        <v>간편식</v>
      </c>
      <c r="C4828" t="s">
        <v>131</v>
      </c>
      <c r="D4828" t="str">
        <f>VLOOKUP(C4828, '[2]VLOOKUP 함수용 카테고리'!$A$1:$B$59, 2, 0)</f>
        <v>SIMPLE_PROCESSED</v>
      </c>
      <c r="E4828" t="s">
        <v>7663</v>
      </c>
      <c r="F4828" t="s">
        <v>2001</v>
      </c>
    </row>
    <row r="4829" spans="1:6" x14ac:dyDescent="0.3">
      <c r="A4829" t="s">
        <v>7432</v>
      </c>
      <c r="B4829" t="str" cm="1">
        <f t="array" ref="B4829">_xlfn.XLOOKUP(C4829, INDEX([2]!카테고리매핑,,2), INDEX([2]!카테고리매핑,,1), "미등록 카테고리")</f>
        <v>음료</v>
      </c>
      <c r="C4829" t="s">
        <v>23</v>
      </c>
      <c r="D4829" t="str">
        <f>VLOOKUP(C4829, '[2]VLOOKUP 함수용 카테고리'!$A$1:$B$59, 2, 0)</f>
        <v>BEVERAGE</v>
      </c>
      <c r="E4829" t="s">
        <v>502</v>
      </c>
      <c r="F4829" t="s">
        <v>7433</v>
      </c>
    </row>
    <row r="4830" spans="1:6" x14ac:dyDescent="0.3">
      <c r="A4830" t="s">
        <v>7434</v>
      </c>
      <c r="B4830" t="str" cm="1">
        <f t="array" ref="B4830">_xlfn.XLOOKUP(C4830, INDEX([2]!카테고리매핑,,2), INDEX([2]!카테고리매핑,,1), "미등록 카테고리")</f>
        <v>수산물</v>
      </c>
      <c r="C4830" t="s">
        <v>229</v>
      </c>
      <c r="D4830" t="str">
        <f>VLOOKUP(C4830, '[2]VLOOKUP 함수용 카테고리'!$A$1:$B$59, 2, 0)</f>
        <v>RAW_SEAFOOD</v>
      </c>
      <c r="E4830" t="s">
        <v>230</v>
      </c>
      <c r="F4830" t="s">
        <v>409</v>
      </c>
    </row>
    <row r="4831" spans="1:6" x14ac:dyDescent="0.3">
      <c r="A4831" t="s">
        <v>7435</v>
      </c>
      <c r="B4831" t="str" cm="1">
        <f t="array" ref="B4831">_xlfn.XLOOKUP(C4831, INDEX([2]!카테고리매핑,,2), INDEX([2]!카테고리매핑,,1), "미등록 카테고리")</f>
        <v>간식류</v>
      </c>
      <c r="C4831" t="s">
        <v>38</v>
      </c>
      <c r="D4831" t="str">
        <f>VLOOKUP(C4831, '[2]VLOOKUP 함수용 카테고리'!$A$1:$B$59, 2, 0)</f>
        <v>SNACK</v>
      </c>
      <c r="E4831" t="s">
        <v>179</v>
      </c>
      <c r="F4831" t="s">
        <v>846</v>
      </c>
    </row>
    <row r="4832" spans="1:6" x14ac:dyDescent="0.3">
      <c r="A4832" t="s">
        <v>7436</v>
      </c>
      <c r="B4832" t="str" cm="1">
        <f t="array" ref="B4832">_xlfn.XLOOKUP(C4832, INDEX([2]!카테고리매핑,,2), INDEX([2]!카테고리매핑,,1), "미등록 카테고리")</f>
        <v>간편식</v>
      </c>
      <c r="C4832" t="s">
        <v>19</v>
      </c>
      <c r="D4832" t="str">
        <f>VLOOKUP(C4832, '[2]VLOOKUP 함수용 카테고리'!$A$1:$B$59, 2, 0)</f>
        <v>FROZEN_MEAL</v>
      </c>
      <c r="E4832" t="s">
        <v>6384</v>
      </c>
      <c r="F4832" t="s">
        <v>7437</v>
      </c>
    </row>
    <row r="4833" spans="1:6" x14ac:dyDescent="0.3">
      <c r="A4833" t="s">
        <v>7438</v>
      </c>
      <c r="B4833" t="str" cm="1">
        <f t="array" ref="B4833">_xlfn.XLOOKUP(C4833, INDEX([2]!카테고리매핑,,2), INDEX([2]!카테고리매핑,,1), "미등록 카테고리")</f>
        <v>과일/견과류</v>
      </c>
      <c r="C4833" t="s">
        <v>654</v>
      </c>
      <c r="D4833" t="str">
        <f>VLOOKUP(C4833, '[2]VLOOKUP 함수용 카테고리'!$A$1:$B$59, 2, 0)</f>
        <v>RAW_FRUIT</v>
      </c>
      <c r="E4833" t="s">
        <v>2177</v>
      </c>
    </row>
    <row r="4834" spans="1:6" x14ac:dyDescent="0.3">
      <c r="A4834" t="s">
        <v>7439</v>
      </c>
      <c r="B4834" t="str" cm="1">
        <f t="array" ref="B4834">_xlfn.XLOOKUP(C4834, INDEX([2]!카테고리매핑,,2), INDEX([2]!카테고리매핑,,1), "미등록 카테고리")</f>
        <v>음료</v>
      </c>
      <c r="C4834" t="s">
        <v>23</v>
      </c>
      <c r="D4834" t="str">
        <f>VLOOKUP(C4834, '[2]VLOOKUP 함수용 카테고리'!$A$1:$B$59, 2, 0)</f>
        <v>BEVERAGE</v>
      </c>
      <c r="E4834" t="s">
        <v>323</v>
      </c>
      <c r="F4834" t="s">
        <v>1600</v>
      </c>
    </row>
    <row r="4835" spans="1:6" x14ac:dyDescent="0.3">
      <c r="A4835" t="s">
        <v>7440</v>
      </c>
      <c r="B4835" t="str" cm="1">
        <f t="array" ref="B4835">_xlfn.XLOOKUP(C4835, INDEX([2]!카테고리매핑,,2), INDEX([2]!카테고리매핑,,1), "미등록 카테고리")</f>
        <v>조미료</v>
      </c>
      <c r="C4835" t="s">
        <v>83</v>
      </c>
      <c r="D4835" t="str">
        <f>VLOOKUP(C4835, '[2]VLOOKUP 함수용 카테고리'!$A$1:$B$59, 2, 0)</f>
        <v>SAUCE_SEASONING</v>
      </c>
      <c r="E4835" t="s">
        <v>886</v>
      </c>
      <c r="F4835" t="s">
        <v>182</v>
      </c>
    </row>
    <row r="4836" spans="1:6" x14ac:dyDescent="0.3">
      <c r="A4836" t="s">
        <v>7441</v>
      </c>
      <c r="B4836" t="str" cm="1">
        <f t="array" ref="B4836">_xlfn.XLOOKUP(C4836, INDEX([2]!카테고리매핑,,2), INDEX([2]!카테고리매핑,,1), "미등록 카테고리")</f>
        <v>육류/계란</v>
      </c>
      <c r="C4836" t="s">
        <v>149</v>
      </c>
      <c r="D4836" t="str">
        <f>VLOOKUP(C4836, '[2]VLOOKUP 함수용 카테고리'!$A$1:$B$59, 2, 0)</f>
        <v>RAW_MEAT</v>
      </c>
      <c r="E4836" t="s">
        <v>1339</v>
      </c>
      <c r="F4836" t="s">
        <v>1425</v>
      </c>
    </row>
    <row r="4837" spans="1:6" x14ac:dyDescent="0.3">
      <c r="A4837" t="s">
        <v>7442</v>
      </c>
      <c r="B4837" t="str" cm="1">
        <f t="array" ref="B4837">_xlfn.XLOOKUP(C4837, INDEX([2]!카테고리매핑,,2), INDEX([2]!카테고리매핑,,1), "미등록 카테고리")</f>
        <v>조미료</v>
      </c>
      <c r="C4837" t="s">
        <v>83</v>
      </c>
      <c r="D4837" t="str">
        <f>VLOOKUP(C4837, '[2]VLOOKUP 함수용 카테고리'!$A$1:$B$59, 2, 0)</f>
        <v>SAUCE_SEASONING</v>
      </c>
      <c r="E4837" t="s">
        <v>658</v>
      </c>
      <c r="F4837" t="s">
        <v>646</v>
      </c>
    </row>
    <row r="4838" spans="1:6" x14ac:dyDescent="0.3">
      <c r="A4838" t="s">
        <v>7443</v>
      </c>
      <c r="B4838" t="str" cm="1">
        <f t="array" ref="B4838">_xlfn.XLOOKUP(C4838, INDEX([2]!카테고리매핑,,2), INDEX([2]!카테고리매핑,,1), "미등록 카테고리")</f>
        <v>조미료</v>
      </c>
      <c r="C4838" t="s">
        <v>83</v>
      </c>
      <c r="D4838" t="str">
        <f>VLOOKUP(C4838, '[2]VLOOKUP 함수용 카테고리'!$A$1:$B$59, 2, 0)</f>
        <v>SAUCE_SEASONING</v>
      </c>
      <c r="E4838" t="s">
        <v>1165</v>
      </c>
      <c r="F4838" t="s">
        <v>646</v>
      </c>
    </row>
    <row r="4839" spans="1:6" x14ac:dyDescent="0.3">
      <c r="A4839" t="s">
        <v>7444</v>
      </c>
      <c r="B4839" t="str" cm="1">
        <f t="array" ref="B4839">_xlfn.XLOOKUP(C4839, INDEX([2]!카테고리매핑,,2), INDEX([2]!카테고리매핑,,1), "미등록 카테고리")</f>
        <v>상온식품</v>
      </c>
      <c r="C4839" t="s">
        <v>1104</v>
      </c>
      <c r="D4839" t="str">
        <f>VLOOKUP(C4839, '[2]VLOOKUP 함수용 카테고리'!$A$1:$B$59, 2, 0)</f>
        <v>CANNED</v>
      </c>
      <c r="E4839" t="s">
        <v>7445</v>
      </c>
      <c r="F4839" t="s">
        <v>7963</v>
      </c>
    </row>
    <row r="4840" spans="1:6" x14ac:dyDescent="0.3">
      <c r="A4840" t="s">
        <v>3474</v>
      </c>
      <c r="B4840" t="str" cm="1">
        <f t="array" ref="B4840">_xlfn.XLOOKUP(C4840, INDEX([2]!카테고리매핑,,2), INDEX([2]!카테고리매핑,,1), "미등록 카테고리")</f>
        <v>채소/곡물류</v>
      </c>
      <c r="C4840" t="s">
        <v>7</v>
      </c>
      <c r="D4840" t="str">
        <f>VLOOKUP(C4840, '[2]VLOOKUP 함수용 카테고리'!$A$1:$B$59, 2, 0)</f>
        <v>RAW_PRODUCE</v>
      </c>
      <c r="E4840" t="s">
        <v>2884</v>
      </c>
      <c r="F4840" t="s">
        <v>406</v>
      </c>
    </row>
    <row r="4841" spans="1:6" x14ac:dyDescent="0.3">
      <c r="A4841" t="s">
        <v>7446</v>
      </c>
      <c r="B4841" t="str" cm="1">
        <f t="array" ref="B4841">_xlfn.XLOOKUP(C4841, INDEX([2]!카테고리매핑,,2), INDEX([2]!카테고리매핑,,1), "미등록 카테고리")</f>
        <v>간편식</v>
      </c>
      <c r="C4841" t="s">
        <v>46</v>
      </c>
      <c r="D4841" t="str">
        <f>VLOOKUP(C4841, '[2]VLOOKUP 함수용 카테고리'!$A$1:$B$59, 2, 0)</f>
        <v>RTC_MEAL</v>
      </c>
      <c r="E4841" t="s">
        <v>46</v>
      </c>
      <c r="F4841" t="s">
        <v>7447</v>
      </c>
    </row>
    <row r="4842" spans="1:6" x14ac:dyDescent="0.3">
      <c r="A4842" t="s">
        <v>7448</v>
      </c>
      <c r="B4842" t="str" cm="1">
        <f t="array" ref="B4842">_xlfn.XLOOKUP(C4842, INDEX([2]!카테고리매핑,,2), INDEX([2]!카테고리매핑,,1), "미등록 카테고리")</f>
        <v>간편식</v>
      </c>
      <c r="C4842" t="s">
        <v>131</v>
      </c>
      <c r="D4842" t="str">
        <f>VLOOKUP(C4842, '[2]VLOOKUP 함수용 카테고리'!$A$1:$B$59, 2, 0)</f>
        <v>SIMPLE_PROCESSED</v>
      </c>
      <c r="E4842" t="s">
        <v>2792</v>
      </c>
      <c r="F4842" t="s">
        <v>350</v>
      </c>
    </row>
    <row r="4843" spans="1:6" x14ac:dyDescent="0.3">
      <c r="A4843" t="s">
        <v>7449</v>
      </c>
      <c r="B4843" t="str" cm="1">
        <f t="array" ref="B4843">_xlfn.XLOOKUP(C4843, INDEX([2]!카테고리매핑,,2), INDEX([2]!카테고리매핑,,1), "미등록 카테고리")</f>
        <v>육류/계란</v>
      </c>
      <c r="C4843" t="s">
        <v>34</v>
      </c>
      <c r="D4843" t="str">
        <f>VLOOKUP(C4843, '[2]VLOOKUP 함수용 카테고리'!$A$1:$B$59, 2, 0)</f>
        <v>RAW_MEAT</v>
      </c>
      <c r="E4843" t="s">
        <v>35</v>
      </c>
      <c r="F4843" t="s">
        <v>1003</v>
      </c>
    </row>
    <row r="4844" spans="1:6" x14ac:dyDescent="0.3">
      <c r="A4844" t="s">
        <v>7450</v>
      </c>
      <c r="B4844" t="str" cm="1">
        <f t="array" ref="B4844">_xlfn.XLOOKUP(C4844, INDEX([2]!카테고리매핑,,2), INDEX([2]!카테고리매핑,,1), "미등록 카테고리")</f>
        <v>음료</v>
      </c>
      <c r="C4844" t="s">
        <v>23</v>
      </c>
      <c r="D4844" t="str">
        <f>VLOOKUP(C4844, '[2]VLOOKUP 함수용 카테고리'!$A$1:$B$59, 2, 0)</f>
        <v>BEVERAGE</v>
      </c>
      <c r="E4844" t="s">
        <v>74</v>
      </c>
      <c r="F4844" t="s">
        <v>5393</v>
      </c>
    </row>
    <row r="4845" spans="1:6" x14ac:dyDescent="0.3">
      <c r="A4845" t="s">
        <v>7451</v>
      </c>
      <c r="B4845" t="str" cm="1">
        <f t="array" ref="B4845">_xlfn.XLOOKUP(C4845, INDEX([2]!카테고리매핑,,2), INDEX([2]!카테고리매핑,,1), "미등록 카테고리")</f>
        <v>조미료</v>
      </c>
      <c r="C4845" t="s">
        <v>117</v>
      </c>
      <c r="D4845" t="str">
        <f>VLOOKUP(C4845, '[2]VLOOKUP 함수용 카테고리'!$A$1:$B$59, 2, 0)</f>
        <v>SAUCE_SEASONING</v>
      </c>
      <c r="E4845" t="s">
        <v>421</v>
      </c>
      <c r="F4845" t="s">
        <v>296</v>
      </c>
    </row>
    <row r="4846" spans="1:6" x14ac:dyDescent="0.3">
      <c r="A4846" t="s">
        <v>7452</v>
      </c>
      <c r="B4846" t="str" cm="1">
        <f t="array" ref="B4846">_xlfn.XLOOKUP(C4846, INDEX([2]!카테고리매핑,,2), INDEX([2]!카테고리매핑,,1), "미등록 카테고리")</f>
        <v>간식류</v>
      </c>
      <c r="C4846" t="s">
        <v>38</v>
      </c>
      <c r="D4846" t="str">
        <f>VLOOKUP(C4846, '[2]VLOOKUP 함수용 카테고리'!$A$1:$B$59, 2, 0)</f>
        <v>SNACK</v>
      </c>
      <c r="E4846" t="s">
        <v>179</v>
      </c>
      <c r="F4846" t="s">
        <v>125</v>
      </c>
    </row>
    <row r="4847" spans="1:6" x14ac:dyDescent="0.3">
      <c r="A4847" t="s">
        <v>7453</v>
      </c>
      <c r="B4847" t="str" cm="1">
        <f t="array" ref="B4847">_xlfn.XLOOKUP(C4847, INDEX([2]!카테고리매핑,,2), INDEX([2]!카테고리매핑,,1), "미등록 카테고리")</f>
        <v>육류/계란</v>
      </c>
      <c r="C4847" t="s">
        <v>428</v>
      </c>
      <c r="D4847" t="str">
        <f>VLOOKUP(C4847, '[2]VLOOKUP 함수용 카테고리'!$A$1:$B$59, 2, 0)</f>
        <v>PROCESSED_MEAT</v>
      </c>
      <c r="E4847" t="s">
        <v>776</v>
      </c>
      <c r="F4847" t="s">
        <v>4146</v>
      </c>
    </row>
    <row r="4848" spans="1:6" x14ac:dyDescent="0.3">
      <c r="A4848" t="s">
        <v>7454</v>
      </c>
      <c r="B4848" t="str" cm="1">
        <f t="array" ref="B4848">_xlfn.XLOOKUP(C4848, INDEX([2]!카테고리매핑,,2), INDEX([2]!카테고리매핑,,1), "미등록 카테고리")</f>
        <v>간식류</v>
      </c>
      <c r="C4848" t="s">
        <v>38</v>
      </c>
      <c r="D4848" t="str">
        <f>VLOOKUP(C4848, '[2]VLOOKUP 함수용 카테고리'!$A$1:$B$59, 2, 0)</f>
        <v>SNACK</v>
      </c>
      <c r="E4848" t="s">
        <v>39</v>
      </c>
      <c r="F4848" t="s">
        <v>7455</v>
      </c>
    </row>
    <row r="4849" spans="1:6" x14ac:dyDescent="0.3">
      <c r="A4849" t="s">
        <v>7456</v>
      </c>
      <c r="B4849" t="str" cm="1">
        <f t="array" ref="B4849">_xlfn.XLOOKUP(C4849, INDEX([2]!카테고리매핑,,2), INDEX([2]!카테고리매핑,,1), "미등록 카테고리")</f>
        <v>유제품</v>
      </c>
      <c r="C4849" t="s">
        <v>123</v>
      </c>
      <c r="D4849" t="str">
        <f>VLOOKUP(C4849, '[2]VLOOKUP 함수용 카테고리'!$A$1:$B$59, 2, 0)</f>
        <v>DAIRY</v>
      </c>
      <c r="E4849" t="s">
        <v>239</v>
      </c>
      <c r="F4849" t="s">
        <v>7701</v>
      </c>
    </row>
    <row r="4850" spans="1:6" x14ac:dyDescent="0.3">
      <c r="A4850" t="s">
        <v>7457</v>
      </c>
      <c r="B4850" t="str" cm="1">
        <f t="array" ref="B4850">_xlfn.XLOOKUP(C4850, INDEX([2]!카테고리매핑,,2), INDEX([2]!카테고리매핑,,1), "미등록 카테고리")</f>
        <v>조미료</v>
      </c>
      <c r="C4850" t="s">
        <v>84</v>
      </c>
      <c r="D4850" t="str">
        <f>VLOOKUP(C4850, '[2]VLOOKUP 함수용 카테고리'!$A$1:$B$59, 2, 0)</f>
        <v>SAUCE_SEASONING</v>
      </c>
      <c r="E4850" t="s">
        <v>85</v>
      </c>
      <c r="F4850" t="s">
        <v>5699</v>
      </c>
    </row>
    <row r="4851" spans="1:6" x14ac:dyDescent="0.3">
      <c r="A4851" t="s">
        <v>7458</v>
      </c>
      <c r="B4851" t="str" cm="1">
        <f t="array" ref="B4851">_xlfn.XLOOKUP(C4851, INDEX([2]!카테고리매핑,,2), INDEX([2]!카테고리매핑,,1), "미등록 카테고리")</f>
        <v>간편식</v>
      </c>
      <c r="C4851" t="s">
        <v>131</v>
      </c>
      <c r="D4851" t="str">
        <f>VLOOKUP(C4851, '[2]VLOOKUP 함수용 카테고리'!$A$1:$B$59, 2, 0)</f>
        <v>SIMPLE_PROCESSED</v>
      </c>
      <c r="E4851" t="s">
        <v>7459</v>
      </c>
      <c r="F4851" t="s">
        <v>416</v>
      </c>
    </row>
    <row r="4852" spans="1:6" x14ac:dyDescent="0.3">
      <c r="A4852" t="s">
        <v>7460</v>
      </c>
      <c r="B4852" t="str" cm="1">
        <f t="array" ref="B4852">_xlfn.XLOOKUP(C4852, INDEX([2]!카테고리매핑,,2), INDEX([2]!카테고리매핑,,1), "미등록 카테고리")</f>
        <v>간편식</v>
      </c>
      <c r="C4852" t="s">
        <v>46</v>
      </c>
      <c r="D4852" t="str">
        <f>VLOOKUP(C4852, '[2]VLOOKUP 함수용 카테고리'!$A$1:$B$59, 2, 0)</f>
        <v>RTC_MEAL</v>
      </c>
      <c r="E4852" t="s">
        <v>46</v>
      </c>
      <c r="F4852" t="s">
        <v>7461</v>
      </c>
    </row>
    <row r="4853" spans="1:6" x14ac:dyDescent="0.3">
      <c r="A4853" t="s">
        <v>7462</v>
      </c>
      <c r="B4853" t="str" cm="1">
        <f t="array" ref="B4853">_xlfn.XLOOKUP(C4853, INDEX([2]!카테고리매핑,,2), INDEX([2]!카테고리매핑,,1), "미등록 카테고리")</f>
        <v>간식류</v>
      </c>
      <c r="C4853" t="s">
        <v>38</v>
      </c>
      <c r="D4853" t="str">
        <f>VLOOKUP(C4853, '[2]VLOOKUP 함수용 카테고리'!$A$1:$B$59, 2, 0)</f>
        <v>SNACK</v>
      </c>
      <c r="E4853" t="s">
        <v>3914</v>
      </c>
      <c r="F4853" t="s">
        <v>7463</v>
      </c>
    </row>
    <row r="4854" spans="1:6" x14ac:dyDescent="0.3">
      <c r="A4854" t="s">
        <v>5026</v>
      </c>
      <c r="B4854" t="str" cm="1">
        <f t="array" ref="B4854">_xlfn.XLOOKUP(C4854, INDEX([2]!카테고리매핑,,2), INDEX([2]!카테고리매핑,,1), "미등록 카테고리")</f>
        <v>간식류</v>
      </c>
      <c r="C4854" t="s">
        <v>38</v>
      </c>
      <c r="D4854" t="str">
        <f>VLOOKUP(C4854, '[2]VLOOKUP 함수용 카테고리'!$A$1:$B$59, 2, 0)</f>
        <v>SNACK</v>
      </c>
      <c r="E4854" t="s">
        <v>39</v>
      </c>
      <c r="F4854" t="s">
        <v>7964</v>
      </c>
    </row>
    <row r="4855" spans="1:6" x14ac:dyDescent="0.3">
      <c r="A4855" t="s">
        <v>7464</v>
      </c>
      <c r="B4855" t="str" cm="1">
        <f t="array" ref="B4855">_xlfn.XLOOKUP(C4855, INDEX([2]!카테고리매핑,,2), INDEX([2]!카테고리매핑,,1), "미등록 카테고리")</f>
        <v>간편식</v>
      </c>
      <c r="C4855" t="s">
        <v>131</v>
      </c>
      <c r="D4855" t="str">
        <f>VLOOKUP(C4855, '[2]VLOOKUP 함수용 카테고리'!$A$1:$B$59, 2, 0)</f>
        <v>SIMPLE_PROCESSED</v>
      </c>
      <c r="E4855" t="s">
        <v>2792</v>
      </c>
      <c r="F4855" t="s">
        <v>3481</v>
      </c>
    </row>
    <row r="4856" spans="1:6" x14ac:dyDescent="0.3">
      <c r="A4856" t="s">
        <v>7465</v>
      </c>
      <c r="B4856" t="str" cm="1">
        <f t="array" ref="B4856">_xlfn.XLOOKUP(C4856, INDEX([2]!카테고리매핑,,2), INDEX([2]!카테고리매핑,,1), "미등록 카테고리")</f>
        <v>조미료</v>
      </c>
      <c r="C4856" t="s">
        <v>117</v>
      </c>
      <c r="D4856" t="str">
        <f>VLOOKUP(C4856, '[2]VLOOKUP 함수용 카테고리'!$A$1:$B$59, 2, 0)</f>
        <v>SAUCE_SEASONING</v>
      </c>
      <c r="E4856" t="s">
        <v>6750</v>
      </c>
      <c r="F4856" t="s">
        <v>7686</v>
      </c>
    </row>
    <row r="4857" spans="1:6" x14ac:dyDescent="0.3">
      <c r="A4857" t="s">
        <v>7466</v>
      </c>
      <c r="B4857" t="str" cm="1">
        <f t="array" ref="B4857">_xlfn.XLOOKUP(C4857, INDEX([2]!카테고리매핑,,2), INDEX([2]!카테고리매핑,,1), "미등록 카테고리")</f>
        <v>채소/곡물류</v>
      </c>
      <c r="C4857" t="s">
        <v>7</v>
      </c>
      <c r="D4857" t="str">
        <f>VLOOKUP(C4857, '[2]VLOOKUP 함수용 카테고리'!$A$1:$B$59, 2, 0)</f>
        <v>RAW_PRODUCE</v>
      </c>
      <c r="E4857" t="s">
        <v>2736</v>
      </c>
    </row>
    <row r="4858" spans="1:6" x14ac:dyDescent="0.3">
      <c r="A4858" t="s">
        <v>7467</v>
      </c>
      <c r="B4858" t="str" cm="1">
        <f t="array" ref="B4858">_xlfn.XLOOKUP(C4858, INDEX([2]!카테고리매핑,,2), INDEX([2]!카테고리매핑,,1), "미등록 카테고리")</f>
        <v>상온식품</v>
      </c>
      <c r="C4858" t="s">
        <v>276</v>
      </c>
      <c r="D4858" t="str">
        <f>VLOOKUP(C4858, '[2]VLOOKUP 함수용 카테고리'!$A$1:$B$59, 2, 0)</f>
        <v>DRIED_SEAFOOD</v>
      </c>
      <c r="E4858" t="s">
        <v>277</v>
      </c>
      <c r="F4858" t="s">
        <v>7965</v>
      </c>
    </row>
    <row r="4859" spans="1:6" x14ac:dyDescent="0.3">
      <c r="A4859" t="s">
        <v>7468</v>
      </c>
      <c r="B4859" t="str" cm="1">
        <f t="array" ref="B4859">_xlfn.XLOOKUP(C4859, INDEX([2]!카테고리매핑,,2), INDEX([2]!카테고리매핑,,1), "미등록 카테고리")</f>
        <v>술</v>
      </c>
      <c r="C4859" t="s">
        <v>411</v>
      </c>
      <c r="D4859" t="str">
        <f>VLOOKUP(C4859, '[2]VLOOKUP 함수용 카테고리'!$A$1:$B$59, 2, 0)</f>
        <v>ALCOHOL</v>
      </c>
      <c r="E4859" t="s">
        <v>1159</v>
      </c>
      <c r="F4859" t="s">
        <v>7966</v>
      </c>
    </row>
    <row r="4860" spans="1:6" x14ac:dyDescent="0.3">
      <c r="A4860" t="s">
        <v>7469</v>
      </c>
      <c r="B4860" t="str" cm="1">
        <f t="array" ref="B4860">_xlfn.XLOOKUP(C4860, INDEX([2]!카테고리매핑,,2), INDEX([2]!카테고리매핑,,1), "미등록 카테고리")</f>
        <v>음료</v>
      </c>
      <c r="C4860" t="s">
        <v>23</v>
      </c>
      <c r="D4860" t="str">
        <f>VLOOKUP(C4860, '[2]VLOOKUP 함수용 카테고리'!$A$1:$B$59, 2, 0)</f>
        <v>BEVERAGE</v>
      </c>
      <c r="E4860" t="s">
        <v>7470</v>
      </c>
      <c r="F4860" t="s">
        <v>7967</v>
      </c>
    </row>
    <row r="4861" spans="1:6" x14ac:dyDescent="0.3">
      <c r="A4861" t="s">
        <v>7471</v>
      </c>
      <c r="B4861" t="str" cm="1">
        <f t="array" ref="B4861">_xlfn.XLOOKUP(C4861, INDEX([2]!카테고리매핑,,2), INDEX([2]!카테고리매핑,,1), "미등록 카테고리")</f>
        <v>조미료</v>
      </c>
      <c r="C4861" t="s">
        <v>127</v>
      </c>
      <c r="D4861" t="str">
        <f>VLOOKUP(C4861, '[2]VLOOKUP 함수용 카테고리'!$A$1:$B$59, 2, 0)</f>
        <v>SAUCE_SEASONING</v>
      </c>
      <c r="E4861" t="s">
        <v>5774</v>
      </c>
      <c r="F4861" t="s">
        <v>6440</v>
      </c>
    </row>
    <row r="4862" spans="1:6" x14ac:dyDescent="0.3">
      <c r="A4862" t="s">
        <v>7472</v>
      </c>
      <c r="B4862" t="str" cm="1">
        <f t="array" ref="B4862">_xlfn.XLOOKUP(C4862, INDEX([2]!카테고리매핑,,2), INDEX([2]!카테고리매핑,,1), "미등록 카테고리")</f>
        <v>간편식</v>
      </c>
      <c r="C4862" t="s">
        <v>19</v>
      </c>
      <c r="D4862" t="str">
        <f>VLOOKUP(C4862, '[2]VLOOKUP 함수용 카테고리'!$A$1:$B$59, 2, 0)</f>
        <v>FROZEN_MEAL</v>
      </c>
      <c r="E4862" t="s">
        <v>7473</v>
      </c>
      <c r="F4862" t="s">
        <v>632</v>
      </c>
    </row>
    <row r="4863" spans="1:6" x14ac:dyDescent="0.3">
      <c r="A4863" t="s">
        <v>7474</v>
      </c>
      <c r="B4863" t="str" cm="1">
        <f t="array" ref="B4863">_xlfn.XLOOKUP(C4863, INDEX([2]!카테고리매핑,,2), INDEX([2]!카테고리매핑,,1), "미등록 카테고리")</f>
        <v>수산물</v>
      </c>
      <c r="C4863" t="s">
        <v>263</v>
      </c>
      <c r="D4863" t="str">
        <f>VLOOKUP(C4863, '[2]VLOOKUP 함수용 카테고리'!$A$1:$B$59, 2, 0)</f>
        <v>RAW_SEAFOOD</v>
      </c>
      <c r="E4863" t="s">
        <v>264</v>
      </c>
      <c r="F4863" t="s">
        <v>2912</v>
      </c>
    </row>
    <row r="4864" spans="1:6" x14ac:dyDescent="0.3">
      <c r="A4864" t="s">
        <v>7475</v>
      </c>
      <c r="B4864" t="str" cm="1">
        <f t="array" ref="B4864">_xlfn.XLOOKUP(C4864, INDEX([2]!카테고리매핑,,2), INDEX([2]!카테고리매핑,,1), "미등록 카테고리")</f>
        <v>조미료</v>
      </c>
      <c r="C4864" t="s">
        <v>127</v>
      </c>
      <c r="D4864" t="str">
        <f>VLOOKUP(C4864, '[2]VLOOKUP 함수용 카테고리'!$A$1:$B$59, 2, 0)</f>
        <v>SAUCE_SEASONING</v>
      </c>
      <c r="E4864" t="s">
        <v>248</v>
      </c>
      <c r="F4864" t="s">
        <v>5010</v>
      </c>
    </row>
    <row r="4865" spans="1:6" x14ac:dyDescent="0.3">
      <c r="A4865" t="s">
        <v>7476</v>
      </c>
      <c r="B4865" t="str" cm="1">
        <f t="array" ref="B4865">_xlfn.XLOOKUP(C4865, INDEX([2]!카테고리매핑,,2), INDEX([2]!카테고리매핑,,1), "미등록 카테고리")</f>
        <v>간편식</v>
      </c>
      <c r="C4865" t="s">
        <v>46</v>
      </c>
      <c r="D4865" t="str">
        <f>VLOOKUP(C4865, '[2]VLOOKUP 함수용 카테고리'!$A$1:$B$59, 2, 0)</f>
        <v>RTC_MEAL</v>
      </c>
      <c r="E4865" t="s">
        <v>46</v>
      </c>
      <c r="F4865" t="s">
        <v>2831</v>
      </c>
    </row>
    <row r="4866" spans="1:6" x14ac:dyDescent="0.3">
      <c r="A4866" t="s">
        <v>7477</v>
      </c>
      <c r="B4866" t="str" cm="1">
        <f t="array" ref="B4866">_xlfn.XLOOKUP(C4866, INDEX([2]!카테고리매핑,,2), INDEX([2]!카테고리매핑,,1), "미등록 카테고리")</f>
        <v>간식류</v>
      </c>
      <c r="C4866" t="s">
        <v>15</v>
      </c>
      <c r="D4866" t="str">
        <f>VLOOKUP(C4866, '[2]VLOOKUP 함수용 카테고리'!$A$1:$B$59, 2, 0)</f>
        <v>BAKERY</v>
      </c>
      <c r="E4866" t="s">
        <v>2592</v>
      </c>
      <c r="F4866" t="s">
        <v>7478</v>
      </c>
    </row>
    <row r="4867" spans="1:6" x14ac:dyDescent="0.3">
      <c r="A4867" t="s">
        <v>7479</v>
      </c>
      <c r="B4867" t="str" cm="1">
        <f t="array" ref="B4867">_xlfn.XLOOKUP(C4867, INDEX([2]!카테고리매핑,,2), INDEX([2]!카테고리매핑,,1), "미등록 카테고리")</f>
        <v>조미료</v>
      </c>
      <c r="C4867" t="s">
        <v>117</v>
      </c>
      <c r="D4867" t="str">
        <f>VLOOKUP(C4867, '[2]VLOOKUP 함수용 카테고리'!$A$1:$B$59, 2, 0)</f>
        <v>SAUCE_SEASONING</v>
      </c>
      <c r="E4867" t="s">
        <v>7480</v>
      </c>
      <c r="F4867" t="s">
        <v>1381</v>
      </c>
    </row>
    <row r="4868" spans="1:6" x14ac:dyDescent="0.3">
      <c r="A4868" t="s">
        <v>7481</v>
      </c>
      <c r="B4868" t="str" cm="1">
        <f t="array" ref="B4868">_xlfn.XLOOKUP(C4868, INDEX([2]!카테고리매핑,,2), INDEX([2]!카테고리매핑,,1), "미등록 카테고리")</f>
        <v>수산물</v>
      </c>
      <c r="C4868" t="s">
        <v>101</v>
      </c>
      <c r="D4868" t="str">
        <f>VLOOKUP(C4868, '[2]VLOOKUP 함수용 카테고리'!$A$1:$B$59, 2, 0)</f>
        <v>DRIED_SEAFOOD</v>
      </c>
      <c r="E4868" t="s">
        <v>665</v>
      </c>
    </row>
    <row r="4869" spans="1:6" x14ac:dyDescent="0.3">
      <c r="A4869" t="s">
        <v>7482</v>
      </c>
      <c r="B4869" t="str" cm="1">
        <f t="array" ref="B4869">_xlfn.XLOOKUP(C4869, INDEX([2]!카테고리매핑,,2), INDEX([2]!카테고리매핑,,1), "미등록 카테고리")</f>
        <v>채소/곡물류</v>
      </c>
      <c r="C4869" t="s">
        <v>7</v>
      </c>
      <c r="D4869" t="str">
        <f>VLOOKUP(C4869, '[2]VLOOKUP 함수용 카테고리'!$A$1:$B$59, 2, 0)</f>
        <v>RAW_PRODUCE</v>
      </c>
      <c r="E4869" t="s">
        <v>716</v>
      </c>
    </row>
    <row r="4870" spans="1:6" x14ac:dyDescent="0.3">
      <c r="A4870" t="s">
        <v>7483</v>
      </c>
      <c r="B4870" t="str" cm="1">
        <f t="array" ref="B4870">_xlfn.XLOOKUP(C4870, INDEX([2]!카테고리매핑,,2), INDEX([2]!카테고리매핑,,1), "미등록 카테고리")</f>
        <v>유제품</v>
      </c>
      <c r="C4870" t="s">
        <v>123</v>
      </c>
      <c r="D4870" t="str">
        <f>VLOOKUP(C4870, '[2]VLOOKUP 함수용 카테고리'!$A$1:$B$59, 2, 0)</f>
        <v>DAIRY</v>
      </c>
      <c r="E4870" t="s">
        <v>190</v>
      </c>
      <c r="F4870" t="s">
        <v>7968</v>
      </c>
    </row>
    <row r="4871" spans="1:6" x14ac:dyDescent="0.3">
      <c r="A4871" t="s">
        <v>7484</v>
      </c>
      <c r="B4871" t="str" cm="1">
        <f t="array" ref="B4871">_xlfn.XLOOKUP(C4871, INDEX([2]!카테고리매핑,,2), INDEX([2]!카테고리매핑,,1), "미등록 카테고리")</f>
        <v>조미료</v>
      </c>
      <c r="C4871" t="s">
        <v>84</v>
      </c>
      <c r="D4871" t="str">
        <f>VLOOKUP(C4871, '[2]VLOOKUP 함수용 카테고리'!$A$1:$B$59, 2, 0)</f>
        <v>SAUCE_SEASONING</v>
      </c>
      <c r="E4871" t="s">
        <v>85</v>
      </c>
      <c r="F4871" t="s">
        <v>7485</v>
      </c>
    </row>
    <row r="4872" spans="1:6" x14ac:dyDescent="0.3">
      <c r="A4872" t="s">
        <v>7486</v>
      </c>
      <c r="B4872" t="str" cm="1">
        <f t="array" ref="B4872">_xlfn.XLOOKUP(C4872, INDEX([2]!카테고리매핑,,2), INDEX([2]!카테고리매핑,,1), "미등록 카테고리")</f>
        <v>간식류</v>
      </c>
      <c r="C4872" t="s">
        <v>11</v>
      </c>
      <c r="D4872" t="str">
        <f>VLOOKUP(C4872, '[2]VLOOKUP 함수용 카테고리'!$A$1:$B$59, 2, 0)</f>
        <v>SNACK</v>
      </c>
      <c r="E4872" t="s">
        <v>371</v>
      </c>
      <c r="F4872" t="s">
        <v>3993</v>
      </c>
    </row>
    <row r="4873" spans="1:6" x14ac:dyDescent="0.3">
      <c r="A4873" t="s">
        <v>7487</v>
      </c>
      <c r="B4873" t="str" cm="1">
        <f t="array" ref="B4873">_xlfn.XLOOKUP(C4873, INDEX([2]!카테고리매핑,,2), INDEX([2]!카테고리매핑,,1), "미등록 카테고리")</f>
        <v>유제품</v>
      </c>
      <c r="C4873" t="s">
        <v>123</v>
      </c>
      <c r="D4873" t="str">
        <f>VLOOKUP(C4873, '[2]VLOOKUP 함수용 카테고리'!$A$1:$B$59, 2, 0)</f>
        <v>DAIRY</v>
      </c>
      <c r="E4873" t="s">
        <v>949</v>
      </c>
      <c r="F4873" t="s">
        <v>191</v>
      </c>
    </row>
    <row r="4874" spans="1:6" x14ac:dyDescent="0.3">
      <c r="A4874" t="s">
        <v>7488</v>
      </c>
      <c r="B4874" t="str" cm="1">
        <f t="array" ref="B4874">_xlfn.XLOOKUP(C4874, INDEX([2]!카테고리매핑,,2), INDEX([2]!카테고리매핑,,1), "미등록 카테고리")</f>
        <v>과일/견과류</v>
      </c>
      <c r="C4874" t="s">
        <v>1179</v>
      </c>
      <c r="D4874" t="str">
        <f>VLOOKUP(C4874, '[2]VLOOKUP 함수용 카테고리'!$A$1:$B$59, 2, 0)</f>
        <v>RAW_FRUIT</v>
      </c>
      <c r="E4874" t="s">
        <v>2104</v>
      </c>
      <c r="F4874" t="s">
        <v>595</v>
      </c>
    </row>
    <row r="4875" spans="1:6" x14ac:dyDescent="0.3">
      <c r="A4875" t="s">
        <v>7489</v>
      </c>
      <c r="B4875" t="str" cm="1">
        <f t="array" ref="B4875">_xlfn.XLOOKUP(C4875, INDEX([2]!카테고리매핑,,2), INDEX([2]!카테고리매핑,,1), "미등록 카테고리")</f>
        <v>유제품</v>
      </c>
      <c r="C4875" t="s">
        <v>98</v>
      </c>
      <c r="D4875" t="str">
        <f>VLOOKUP(C4875, '[2]VLOOKUP 함수용 카테고리'!$A$1:$B$59, 2, 0)</f>
        <v>DAIRY</v>
      </c>
      <c r="E4875" t="s">
        <v>98</v>
      </c>
      <c r="F4875" t="s">
        <v>2550</v>
      </c>
    </row>
    <row r="4876" spans="1:6" x14ac:dyDescent="0.3">
      <c r="A4876" t="s">
        <v>7490</v>
      </c>
      <c r="B4876" t="str" cm="1">
        <f t="array" ref="B4876">_xlfn.XLOOKUP(C4876, INDEX([2]!카테고리매핑,,2), INDEX([2]!카테고리매핑,,1), "미등록 카테고리")</f>
        <v>상온식품</v>
      </c>
      <c r="C4876" t="s">
        <v>1104</v>
      </c>
      <c r="D4876" t="str">
        <f>VLOOKUP(C4876, '[2]VLOOKUP 함수용 카테고리'!$A$1:$B$59, 2, 0)</f>
        <v>CANNED</v>
      </c>
      <c r="E4876" t="s">
        <v>7491</v>
      </c>
      <c r="F4876" t="s">
        <v>246</v>
      </c>
    </row>
    <row r="4877" spans="1:6" x14ac:dyDescent="0.3">
      <c r="A4877" t="s">
        <v>7492</v>
      </c>
      <c r="B4877" t="str" cm="1">
        <f t="array" ref="B4877">_xlfn.XLOOKUP(C4877, INDEX([2]!카테고리매핑,,2), INDEX([2]!카테고리매핑,,1), "미등록 카테고리")</f>
        <v>간편식</v>
      </c>
      <c r="C4877" t="s">
        <v>19</v>
      </c>
      <c r="D4877" t="str">
        <f>VLOOKUP(C4877, '[2]VLOOKUP 함수용 카테고리'!$A$1:$B$59, 2, 0)</f>
        <v>FROZEN_MEAL</v>
      </c>
      <c r="E4877" t="s">
        <v>1685</v>
      </c>
      <c r="F4877" t="s">
        <v>7969</v>
      </c>
    </row>
    <row r="4878" spans="1:6" x14ac:dyDescent="0.3">
      <c r="A4878" t="s">
        <v>7493</v>
      </c>
      <c r="B4878" t="str" cm="1">
        <f t="array" ref="B4878">_xlfn.XLOOKUP(C4878, INDEX([2]!카테고리매핑,,2), INDEX([2]!카테고리매핑,,1), "미등록 카테고리")</f>
        <v>수산물</v>
      </c>
      <c r="C4878" t="s">
        <v>203</v>
      </c>
      <c r="D4878" t="str">
        <f>VLOOKUP(C4878, '[2]VLOOKUP 함수용 카테고리'!$A$1:$B$59, 2, 0)</f>
        <v>RAW_SEAFOOD</v>
      </c>
      <c r="E4878" t="s">
        <v>1801</v>
      </c>
    </row>
    <row r="4879" spans="1:6" x14ac:dyDescent="0.3">
      <c r="A4879" t="s">
        <v>7494</v>
      </c>
      <c r="B4879" t="str" cm="1">
        <f t="array" ref="B4879">_xlfn.XLOOKUP(C4879, INDEX([2]!카테고리매핑,,2), INDEX([2]!카테고리매핑,,1), "미등록 카테고리")</f>
        <v>육류/계란</v>
      </c>
      <c r="C4879" t="s">
        <v>149</v>
      </c>
      <c r="D4879" t="str">
        <f>VLOOKUP(C4879, '[2]VLOOKUP 함수용 카테고리'!$A$1:$B$59, 2, 0)</f>
        <v>RAW_MEAT</v>
      </c>
      <c r="E4879" t="s">
        <v>253</v>
      </c>
      <c r="F4879" t="s">
        <v>72</v>
      </c>
    </row>
    <row r="4880" spans="1:6" x14ac:dyDescent="0.3">
      <c r="A4880" t="s">
        <v>7495</v>
      </c>
      <c r="B4880" t="str" cm="1">
        <f t="array" ref="B4880">_xlfn.XLOOKUP(C4880, INDEX([2]!카테고리매핑,,2), INDEX([2]!카테고리매핑,,1), "미등록 카테고리")</f>
        <v>채소/곡물류</v>
      </c>
      <c r="C4880" t="s">
        <v>7</v>
      </c>
      <c r="D4880" t="str">
        <f>VLOOKUP(C4880, '[2]VLOOKUP 함수용 카테고리'!$A$1:$B$59, 2, 0)</f>
        <v>RAW_PRODUCE</v>
      </c>
      <c r="E4880" t="s">
        <v>2320</v>
      </c>
    </row>
    <row r="4881" spans="1:6" x14ac:dyDescent="0.3">
      <c r="A4881" t="s">
        <v>7496</v>
      </c>
      <c r="B4881" t="str" cm="1">
        <f t="array" ref="B4881">_xlfn.XLOOKUP(C4881, INDEX([2]!카테고리매핑,,2), INDEX([2]!카테고리매핑,,1), "미등록 카테고리")</f>
        <v>상온식품</v>
      </c>
      <c r="C4881" t="s">
        <v>835</v>
      </c>
      <c r="D4881" t="str">
        <f>VLOOKUP(C4881, '[2]VLOOKUP 함수용 카테고리'!$A$1:$B$59, 2, 0)</f>
        <v>SAUCE_SEASONING</v>
      </c>
      <c r="E4881" t="s">
        <v>2157</v>
      </c>
      <c r="F4881" t="s">
        <v>7497</v>
      </c>
    </row>
    <row r="4882" spans="1:6" x14ac:dyDescent="0.3">
      <c r="A4882" t="s">
        <v>7498</v>
      </c>
      <c r="B4882" t="str" cm="1">
        <f t="array" ref="B4882">_xlfn.XLOOKUP(C4882, INDEX([2]!카테고리매핑,,2), INDEX([2]!카테고리매핑,,1), "미등록 카테고리")</f>
        <v>간식류</v>
      </c>
      <c r="C4882" t="s">
        <v>38</v>
      </c>
      <c r="D4882" t="str">
        <f>VLOOKUP(C4882, '[2]VLOOKUP 함수용 카테고리'!$A$1:$B$59, 2, 0)</f>
        <v>SNACK</v>
      </c>
      <c r="E4882" t="s">
        <v>320</v>
      </c>
      <c r="F4882" t="s">
        <v>7337</v>
      </c>
    </row>
    <row r="4883" spans="1:6" x14ac:dyDescent="0.3">
      <c r="A4883" t="s">
        <v>7499</v>
      </c>
      <c r="B4883" t="str" cm="1">
        <f t="array" ref="B4883">_xlfn.XLOOKUP(C4883, INDEX([2]!카테고리매핑,,2), INDEX([2]!카테고리매핑,,1), "미등록 카테고리")</f>
        <v>조미료</v>
      </c>
      <c r="C4883" t="s">
        <v>127</v>
      </c>
      <c r="D4883" t="str">
        <f>VLOOKUP(C4883, '[2]VLOOKUP 함수용 카테고리'!$A$1:$B$59, 2, 0)</f>
        <v>SAUCE_SEASONING</v>
      </c>
      <c r="E4883" t="s">
        <v>1896</v>
      </c>
      <c r="F4883" t="s">
        <v>646</v>
      </c>
    </row>
    <row r="4884" spans="1:6" x14ac:dyDescent="0.3">
      <c r="A4884" t="s">
        <v>7500</v>
      </c>
      <c r="B4884" t="str" cm="1">
        <f t="array" ref="B4884">_xlfn.XLOOKUP(C4884, INDEX([2]!카테고리매핑,,2), INDEX([2]!카테고리매핑,,1), "미등록 카테고리")</f>
        <v>간편식</v>
      </c>
      <c r="C4884" t="s">
        <v>256</v>
      </c>
      <c r="D4884" t="str">
        <f>VLOOKUP(C4884, '[2]VLOOKUP 함수용 카테고리'!$A$1:$B$59, 2, 0)</f>
        <v>RTC_MEAL</v>
      </c>
      <c r="E4884" t="s">
        <v>256</v>
      </c>
      <c r="F4884" t="s">
        <v>541</v>
      </c>
    </row>
    <row r="4885" spans="1:6" x14ac:dyDescent="0.3">
      <c r="A4885" t="s">
        <v>7501</v>
      </c>
      <c r="B4885" t="str" cm="1">
        <f t="array" ref="B4885">_xlfn.XLOOKUP(C4885, INDEX([2]!카테고리매핑,,2), INDEX([2]!카테고리매핑,,1), "미등록 카테고리")</f>
        <v>육류/계란</v>
      </c>
      <c r="C4885" t="s">
        <v>149</v>
      </c>
      <c r="D4885" t="str">
        <f>VLOOKUP(C4885, '[2]VLOOKUP 함수용 카테고리'!$A$1:$B$59, 2, 0)</f>
        <v>RAW_MEAT</v>
      </c>
      <c r="E4885" t="s">
        <v>6628</v>
      </c>
      <c r="F4885" t="s">
        <v>1340</v>
      </c>
    </row>
    <row r="4886" spans="1:6" x14ac:dyDescent="0.3">
      <c r="A4886" t="s">
        <v>7502</v>
      </c>
      <c r="B4886" t="str" cm="1">
        <f t="array" ref="B4886">_xlfn.XLOOKUP(C4886, INDEX([2]!카테고리매핑,,2), INDEX([2]!카테고리매핑,,1), "미등록 카테고리")</f>
        <v>조미료</v>
      </c>
      <c r="C4886" t="s">
        <v>84</v>
      </c>
      <c r="D4886" t="str">
        <f>VLOOKUP(C4886, '[2]VLOOKUP 함수용 카테고리'!$A$1:$B$59, 2, 0)</f>
        <v>SAUCE_SEASONING</v>
      </c>
      <c r="E4886" t="s">
        <v>6724</v>
      </c>
      <c r="F4886" t="s">
        <v>7503</v>
      </c>
    </row>
    <row r="4887" spans="1:6" x14ac:dyDescent="0.3">
      <c r="A4887" t="s">
        <v>7504</v>
      </c>
      <c r="B4887" t="str" cm="1">
        <f t="array" ref="B4887">_xlfn.XLOOKUP(C4887, INDEX([2]!카테고리매핑,,2), INDEX([2]!카테고리매핑,,1), "미등록 카테고리")</f>
        <v>조미료</v>
      </c>
      <c r="C4887" t="s">
        <v>83</v>
      </c>
      <c r="D4887" t="str">
        <f>VLOOKUP(C4887, '[2]VLOOKUP 함수용 카테고리'!$A$1:$B$59, 2, 0)</f>
        <v>SAUCE_SEASONING</v>
      </c>
      <c r="E4887" t="s">
        <v>1391</v>
      </c>
      <c r="F4887" t="s">
        <v>65</v>
      </c>
    </row>
    <row r="4888" spans="1:6" x14ac:dyDescent="0.3">
      <c r="A4888" t="s">
        <v>7505</v>
      </c>
      <c r="B4888" t="str" cm="1">
        <f t="array" ref="B4888">_xlfn.XLOOKUP(C4888, INDEX([2]!카테고리매핑,,2), INDEX([2]!카테고리매핑,,1), "미등록 카테고리")</f>
        <v>채소/곡물류</v>
      </c>
      <c r="C4888" t="s">
        <v>7</v>
      </c>
      <c r="D4888" t="str">
        <f>VLOOKUP(C4888, '[2]VLOOKUP 함수용 카테고리'!$A$1:$B$59, 2, 0)</f>
        <v>RAW_PRODUCE</v>
      </c>
      <c r="E4888" t="s">
        <v>723</v>
      </c>
    </row>
    <row r="4889" spans="1:6" x14ac:dyDescent="0.3">
      <c r="A4889" t="s">
        <v>7506</v>
      </c>
      <c r="B4889" t="str" cm="1">
        <f t="array" ref="B4889">_xlfn.XLOOKUP(C4889, INDEX([2]!카테고리매핑,,2), INDEX([2]!카테고리매핑,,1), "미등록 카테고리")</f>
        <v>간식류</v>
      </c>
      <c r="C4889" t="s">
        <v>15</v>
      </c>
      <c r="D4889" t="str">
        <f>VLOOKUP(C4889, '[2]VLOOKUP 함수용 카테고리'!$A$1:$B$59, 2, 0)</f>
        <v>BAKERY</v>
      </c>
      <c r="E4889" t="s">
        <v>499</v>
      </c>
      <c r="F4889" t="s">
        <v>7507</v>
      </c>
    </row>
    <row r="4890" spans="1:6" x14ac:dyDescent="0.3">
      <c r="A4890" t="s">
        <v>7508</v>
      </c>
      <c r="B4890" t="str" cm="1">
        <f t="array" ref="B4890">_xlfn.XLOOKUP(C4890, INDEX([2]!카테고리매핑,,2), INDEX([2]!카테고리매핑,,1), "미등록 카테고리")</f>
        <v>간편식</v>
      </c>
      <c r="C4890" t="s">
        <v>46</v>
      </c>
      <c r="D4890" t="str">
        <f>VLOOKUP(C4890, '[2]VLOOKUP 함수용 카테고리'!$A$1:$B$59, 2, 0)</f>
        <v>RTC_MEAL</v>
      </c>
      <c r="E4890" t="s">
        <v>46</v>
      </c>
      <c r="F4890" t="s">
        <v>7509</v>
      </c>
    </row>
    <row r="4891" spans="1:6" x14ac:dyDescent="0.3">
      <c r="A4891" t="s">
        <v>7510</v>
      </c>
      <c r="B4891" t="str" cm="1">
        <f t="array" ref="B4891">_xlfn.XLOOKUP(C4891, INDEX([2]!카테고리매핑,,2), INDEX([2]!카테고리매핑,,1), "미등록 카테고리")</f>
        <v>수산물</v>
      </c>
      <c r="C4891" t="s">
        <v>101</v>
      </c>
      <c r="D4891" t="str">
        <f>VLOOKUP(C4891, '[2]VLOOKUP 함수용 카테고리'!$A$1:$B$59, 2, 0)</f>
        <v>DRIED_SEAFOOD</v>
      </c>
      <c r="E4891" t="s">
        <v>665</v>
      </c>
      <c r="F4891" t="s">
        <v>3268</v>
      </c>
    </row>
    <row r="4892" spans="1:6" x14ac:dyDescent="0.3">
      <c r="A4892" t="s">
        <v>7511</v>
      </c>
      <c r="B4892" t="str" cm="1">
        <f t="array" ref="B4892">_xlfn.XLOOKUP(C4892, INDEX([2]!카테고리매핑,,2), INDEX([2]!카테고리매핑,,1), "미등록 카테고리")</f>
        <v>간편식</v>
      </c>
      <c r="C4892" t="s">
        <v>256</v>
      </c>
      <c r="D4892" t="str">
        <f>VLOOKUP(C4892, '[2]VLOOKUP 함수용 카테고리'!$A$1:$B$59, 2, 0)</f>
        <v>RTC_MEAL</v>
      </c>
      <c r="E4892" t="s">
        <v>256</v>
      </c>
      <c r="F4892" t="s">
        <v>1969</v>
      </c>
    </row>
    <row r="4893" spans="1:6" x14ac:dyDescent="0.3">
      <c r="A4893" t="s">
        <v>7512</v>
      </c>
      <c r="B4893" t="str" cm="1">
        <f t="array" ref="B4893">_xlfn.XLOOKUP(C4893, INDEX([2]!카테고리매핑,,2), INDEX([2]!카테고리매핑,,1), "미등록 카테고리")</f>
        <v>상온식품</v>
      </c>
      <c r="C4893" t="s">
        <v>769</v>
      </c>
      <c r="D4893" t="str">
        <f>VLOOKUP(C4893, '[2]VLOOKUP 함수용 카테고리'!$A$1:$B$59, 2, 0)</f>
        <v>GRAIN</v>
      </c>
      <c r="E4893" t="s">
        <v>770</v>
      </c>
      <c r="F4893" t="s">
        <v>7513</v>
      </c>
    </row>
    <row r="4894" spans="1:6" x14ac:dyDescent="0.3">
      <c r="A4894" t="s">
        <v>7514</v>
      </c>
      <c r="B4894" t="str" cm="1">
        <f t="array" ref="B4894">_xlfn.XLOOKUP(C4894, INDEX([2]!카테고리매핑,,2), INDEX([2]!카테고리매핑,,1), "미등록 카테고리")</f>
        <v>육류/계란</v>
      </c>
      <c r="C4894" t="s">
        <v>105</v>
      </c>
      <c r="D4894" t="str">
        <f>VLOOKUP(C4894, '[2]VLOOKUP 함수용 카테고리'!$A$1:$B$59, 2, 0)</f>
        <v>RAW_MEAT</v>
      </c>
      <c r="E4894" t="s">
        <v>6681</v>
      </c>
      <c r="F4894" t="s">
        <v>2829</v>
      </c>
    </row>
    <row r="4895" spans="1:6" x14ac:dyDescent="0.3">
      <c r="A4895" t="s">
        <v>7515</v>
      </c>
      <c r="B4895" t="str" cm="1">
        <f t="array" ref="B4895">_xlfn.XLOOKUP(C4895, INDEX([2]!카테고리매핑,,2), INDEX([2]!카테고리매핑,,1), "미등록 카테고리")</f>
        <v>채소/곡물류</v>
      </c>
      <c r="C4895" t="s">
        <v>27</v>
      </c>
      <c r="D4895" t="str">
        <f>VLOOKUP(C4895, '[2]VLOOKUP 함수용 카테고리'!$A$1:$B$59, 2, 0)</f>
        <v>SIMPLE_PROCESSED</v>
      </c>
      <c r="E4895" t="s">
        <v>28</v>
      </c>
      <c r="F4895" t="s">
        <v>7863</v>
      </c>
    </row>
    <row r="4896" spans="1:6" x14ac:dyDescent="0.3">
      <c r="A4896" t="s">
        <v>7516</v>
      </c>
      <c r="B4896" t="str" cm="1">
        <f t="array" ref="B4896">_xlfn.XLOOKUP(C4896, INDEX([2]!카테고리매핑,,2), INDEX([2]!카테고리매핑,,1), "미등록 카테고리")</f>
        <v>음료</v>
      </c>
      <c r="C4896" t="s">
        <v>23</v>
      </c>
      <c r="D4896" t="str">
        <f>VLOOKUP(C4896, '[2]VLOOKUP 함수용 카테고리'!$A$1:$B$59, 2, 0)</f>
        <v>BEVERAGE</v>
      </c>
      <c r="E4896" t="s">
        <v>24</v>
      </c>
      <c r="F4896" t="s">
        <v>1882</v>
      </c>
    </row>
    <row r="4897" spans="1:6" x14ac:dyDescent="0.3">
      <c r="A4897" t="s">
        <v>7517</v>
      </c>
      <c r="B4897" t="str" cm="1">
        <f t="array" ref="B4897">_xlfn.XLOOKUP(C4897, INDEX([2]!카테고리매핑,,2), INDEX([2]!카테고리매핑,,1), "미등록 카테고리")</f>
        <v>간식류</v>
      </c>
      <c r="C4897" t="s">
        <v>11</v>
      </c>
      <c r="D4897" t="str">
        <f>VLOOKUP(C4897, '[2]VLOOKUP 함수용 카테고리'!$A$1:$B$59, 2, 0)</f>
        <v>SNACK</v>
      </c>
      <c r="E4897" t="s">
        <v>371</v>
      </c>
      <c r="F4897" t="s">
        <v>2087</v>
      </c>
    </row>
    <row r="4898" spans="1:6" x14ac:dyDescent="0.3">
      <c r="A4898" t="s">
        <v>7518</v>
      </c>
      <c r="B4898" t="str" cm="1">
        <f t="array" ref="B4898">_xlfn.XLOOKUP(C4898, INDEX([2]!카테고리매핑,,2), INDEX([2]!카테고리매핑,,1), "미등록 카테고리")</f>
        <v>간식류</v>
      </c>
      <c r="C4898" t="s">
        <v>63</v>
      </c>
      <c r="D4898" t="str">
        <f>VLOOKUP(C4898, '[2]VLOOKUP 함수용 카테고리'!$A$1:$B$59, 2, 0)</f>
        <v>BAKERY</v>
      </c>
      <c r="E4898" t="s">
        <v>7519</v>
      </c>
      <c r="F4898" t="s">
        <v>7520</v>
      </c>
    </row>
    <row r="4899" spans="1:6" x14ac:dyDescent="0.3">
      <c r="A4899" t="s">
        <v>7521</v>
      </c>
      <c r="B4899" t="str" cm="1">
        <f t="array" ref="B4899">_xlfn.XLOOKUP(C4899, INDEX([2]!카테고리매핑,,2), INDEX([2]!카테고리매핑,,1), "미등록 카테고리")</f>
        <v>간편식</v>
      </c>
      <c r="C4899" t="s">
        <v>256</v>
      </c>
      <c r="D4899" t="str">
        <f>VLOOKUP(C4899, '[2]VLOOKUP 함수용 카테고리'!$A$1:$B$59, 2, 0)</f>
        <v>RTC_MEAL</v>
      </c>
      <c r="E4899" t="s">
        <v>256</v>
      </c>
      <c r="F4899" t="s">
        <v>7522</v>
      </c>
    </row>
    <row r="4900" spans="1:6" x14ac:dyDescent="0.3">
      <c r="A4900" t="s">
        <v>7523</v>
      </c>
      <c r="B4900" t="str" cm="1">
        <f t="array" ref="B4900">_xlfn.XLOOKUP(C4900, INDEX([2]!카테고리매핑,,2), INDEX([2]!카테고리매핑,,1), "미등록 카테고리")</f>
        <v>육류/계란</v>
      </c>
      <c r="C4900" t="s">
        <v>34</v>
      </c>
      <c r="D4900" t="str">
        <f>VLOOKUP(C4900, '[2]VLOOKUP 함수용 카테고리'!$A$1:$B$59, 2, 0)</f>
        <v>RAW_MEAT</v>
      </c>
      <c r="E4900" t="s">
        <v>35</v>
      </c>
      <c r="F4900" t="s">
        <v>1003</v>
      </c>
    </row>
    <row r="4901" spans="1:6" x14ac:dyDescent="0.3">
      <c r="A4901" t="s">
        <v>7524</v>
      </c>
      <c r="B4901" t="str" cm="1">
        <f t="array" ref="B4901">_xlfn.XLOOKUP(C4901, INDEX([2]!카테고리매핑,,2), INDEX([2]!카테고리매핑,,1), "미등록 카테고리")</f>
        <v>조미료</v>
      </c>
      <c r="C4901" t="s">
        <v>127</v>
      </c>
      <c r="D4901" t="str">
        <f>VLOOKUP(C4901, '[2]VLOOKUP 함수용 카테고리'!$A$1:$B$59, 2, 0)</f>
        <v>SAUCE_SEASONING</v>
      </c>
      <c r="E4901" t="s">
        <v>340</v>
      </c>
      <c r="F4901" t="s">
        <v>182</v>
      </c>
    </row>
    <row r="4902" spans="1:6" x14ac:dyDescent="0.3">
      <c r="A4902" t="s">
        <v>7525</v>
      </c>
      <c r="B4902" t="str" cm="1">
        <f t="array" ref="B4902">_xlfn.XLOOKUP(C4902, INDEX([2]!카테고리매핑,,2), INDEX([2]!카테고리매핑,,1), "미등록 카테고리")</f>
        <v>음료</v>
      </c>
      <c r="C4902" t="s">
        <v>584</v>
      </c>
      <c r="D4902" t="str">
        <f>VLOOKUP(C4902, '[2]VLOOKUP 함수용 카테고리'!$A$1:$B$59, 2, 0)</f>
        <v>BEVERAGE</v>
      </c>
      <c r="E4902" t="s">
        <v>1257</v>
      </c>
      <c r="F4902" t="s">
        <v>7970</v>
      </c>
    </row>
    <row r="4903" spans="1:6" x14ac:dyDescent="0.3">
      <c r="A4903" t="s">
        <v>7526</v>
      </c>
      <c r="B4903" t="str" cm="1">
        <f t="array" ref="B4903">_xlfn.XLOOKUP(C4903, INDEX([2]!카테고리매핑,,2), INDEX([2]!카테고리매핑,,1), "미등록 카테고리")</f>
        <v>유제품</v>
      </c>
      <c r="C4903" t="s">
        <v>98</v>
      </c>
      <c r="D4903" t="str">
        <f>VLOOKUP(C4903, '[2]VLOOKUP 함수용 카테고리'!$A$1:$B$59, 2, 0)</f>
        <v>DAIRY</v>
      </c>
      <c r="E4903" t="s">
        <v>98</v>
      </c>
      <c r="F4903" t="s">
        <v>2388</v>
      </c>
    </row>
    <row r="4904" spans="1:6" x14ac:dyDescent="0.3">
      <c r="A4904" t="s">
        <v>7527</v>
      </c>
      <c r="B4904" t="str" cm="1">
        <f t="array" ref="B4904">_xlfn.XLOOKUP(C4904, INDEX([2]!카테고리매핑,,2), INDEX([2]!카테고리매핑,,1), "미등록 카테고리")</f>
        <v>채소/곡물류</v>
      </c>
      <c r="C4904" t="s">
        <v>7</v>
      </c>
      <c r="D4904" t="str">
        <f>VLOOKUP(C4904, '[2]VLOOKUP 함수용 카테고리'!$A$1:$B$59, 2, 0)</f>
        <v>RAW_PRODUCE</v>
      </c>
      <c r="E4904" t="s">
        <v>1898</v>
      </c>
      <c r="F4904" t="s">
        <v>406</v>
      </c>
    </row>
    <row r="4905" spans="1:6" x14ac:dyDescent="0.3">
      <c r="A4905" t="s">
        <v>7528</v>
      </c>
      <c r="B4905" t="str" cm="1">
        <f t="array" ref="B4905">_xlfn.XLOOKUP(C4905, INDEX([2]!카테고리매핑,,2), INDEX([2]!카테고리매핑,,1), "미등록 카테고리")</f>
        <v>조미료</v>
      </c>
      <c r="C4905" t="s">
        <v>84</v>
      </c>
      <c r="D4905" t="str">
        <f>VLOOKUP(C4905, '[2]VLOOKUP 함수용 카테고리'!$A$1:$B$59, 2, 0)</f>
        <v>SAUCE_SEASONING</v>
      </c>
      <c r="E4905" t="s">
        <v>85</v>
      </c>
      <c r="F4905" t="s">
        <v>7256</v>
      </c>
    </row>
    <row r="4906" spans="1:6" x14ac:dyDescent="0.3">
      <c r="A4906" t="s">
        <v>7529</v>
      </c>
      <c r="B4906" t="str" cm="1">
        <f t="array" ref="B4906">_xlfn.XLOOKUP(C4906, INDEX([2]!카테고리매핑,,2), INDEX([2]!카테고리매핑,,1), "미등록 카테고리")</f>
        <v>유제품</v>
      </c>
      <c r="C4906" t="s">
        <v>211</v>
      </c>
      <c r="D4906" t="str">
        <f>VLOOKUP(C4906, '[2]VLOOKUP 함수용 카테고리'!$A$1:$B$59, 2, 0)</f>
        <v>DAIRY</v>
      </c>
      <c r="E4906" t="s">
        <v>211</v>
      </c>
      <c r="F4906" t="s">
        <v>7948</v>
      </c>
    </row>
    <row r="4907" spans="1:6" x14ac:dyDescent="0.3">
      <c r="A4907" t="s">
        <v>7530</v>
      </c>
      <c r="B4907" t="str" cm="1">
        <f t="array" ref="B4907">_xlfn.XLOOKUP(C4907, INDEX([2]!카테고리매핑,,2), INDEX([2]!카테고리매핑,,1), "미등록 카테고리")</f>
        <v>간식류</v>
      </c>
      <c r="C4907" t="s">
        <v>38</v>
      </c>
      <c r="D4907" t="str">
        <f>VLOOKUP(C4907, '[2]VLOOKUP 함수용 카테고리'!$A$1:$B$59, 2, 0)</f>
        <v>SNACK</v>
      </c>
      <c r="E4907" t="s">
        <v>179</v>
      </c>
      <c r="F4907" t="s">
        <v>2482</v>
      </c>
    </row>
    <row r="4908" spans="1:6" x14ac:dyDescent="0.3">
      <c r="A4908" t="s">
        <v>7531</v>
      </c>
      <c r="B4908" t="str" cm="1">
        <f t="array" ref="B4908">_xlfn.XLOOKUP(C4908, INDEX([2]!카테고리매핑,,2), INDEX([2]!카테고리매핑,,1), "미등록 카테고리")</f>
        <v>음료</v>
      </c>
      <c r="C4908" t="s">
        <v>584</v>
      </c>
      <c r="D4908" t="str">
        <f>VLOOKUP(C4908, '[2]VLOOKUP 함수용 카테고리'!$A$1:$B$59, 2, 0)</f>
        <v>BEVERAGE</v>
      </c>
      <c r="E4908" t="s">
        <v>7532</v>
      </c>
      <c r="F4908" t="s">
        <v>1869</v>
      </c>
    </row>
    <row r="4909" spans="1:6" x14ac:dyDescent="0.3">
      <c r="A4909" t="s">
        <v>7533</v>
      </c>
      <c r="B4909" t="str" cm="1">
        <f t="array" ref="B4909">_xlfn.XLOOKUP(C4909, INDEX([2]!카테고리매핑,,2), INDEX([2]!카테고리매핑,,1), "미등록 카테고리")</f>
        <v>간편식</v>
      </c>
      <c r="C4909" t="s">
        <v>256</v>
      </c>
      <c r="D4909" t="str">
        <f>VLOOKUP(C4909, '[2]VLOOKUP 함수용 카테고리'!$A$1:$B$59, 2, 0)</f>
        <v>RTC_MEAL</v>
      </c>
      <c r="E4909" t="s">
        <v>256</v>
      </c>
      <c r="F4909" t="s">
        <v>577</v>
      </c>
    </row>
    <row r="4910" spans="1:6" x14ac:dyDescent="0.3">
      <c r="A4910" t="s">
        <v>7534</v>
      </c>
      <c r="B4910" t="str" cm="1">
        <f t="array" ref="B4910">_xlfn.XLOOKUP(C4910, INDEX([2]!카테고리매핑,,2), INDEX([2]!카테고리매핑,,1), "미등록 카테고리")</f>
        <v>간편식</v>
      </c>
      <c r="C4910" t="s">
        <v>256</v>
      </c>
      <c r="D4910" t="str">
        <f>VLOOKUP(C4910, '[2]VLOOKUP 함수용 카테고리'!$A$1:$B$59, 2, 0)</f>
        <v>RTC_MEAL</v>
      </c>
      <c r="E4910" t="s">
        <v>256</v>
      </c>
      <c r="F4910" t="s">
        <v>541</v>
      </c>
    </row>
    <row r="4911" spans="1:6" x14ac:dyDescent="0.3">
      <c r="A4911" t="s">
        <v>7535</v>
      </c>
      <c r="B4911" t="str" cm="1">
        <f t="array" ref="B4911">_xlfn.XLOOKUP(C4911, INDEX([2]!카테고리매핑,,2), INDEX([2]!카테고리매핑,,1), "미등록 카테고리")</f>
        <v>채소/곡물류</v>
      </c>
      <c r="C4911" t="s">
        <v>164</v>
      </c>
      <c r="D4911" t="str">
        <f>VLOOKUP(C4911, '[2]VLOOKUP 함수용 카테고리'!$A$1:$B$59, 2, 0)</f>
        <v>RAW_PRODUCE</v>
      </c>
      <c r="E4911" t="s">
        <v>1412</v>
      </c>
    </row>
    <row r="4912" spans="1:6" x14ac:dyDescent="0.3">
      <c r="A4912" t="s">
        <v>7536</v>
      </c>
      <c r="B4912" t="str" cm="1">
        <f t="array" ref="B4912">_xlfn.XLOOKUP(C4912, INDEX([2]!카테고리매핑,,2), INDEX([2]!카테고리매핑,,1), "미등록 카테고리")</f>
        <v>유제품</v>
      </c>
      <c r="C4912" t="s">
        <v>432</v>
      </c>
      <c r="D4912" t="str">
        <f>VLOOKUP(C4912, '[2]VLOOKUP 함수용 카테고리'!$A$1:$B$59, 2, 0)</f>
        <v>DAIRY</v>
      </c>
      <c r="E4912" t="s">
        <v>6200</v>
      </c>
      <c r="F4912" t="s">
        <v>6201</v>
      </c>
    </row>
    <row r="4913" spans="1:6" x14ac:dyDescent="0.3">
      <c r="A4913" t="s">
        <v>7537</v>
      </c>
      <c r="B4913" t="str" cm="1">
        <f t="array" ref="B4913">_xlfn.XLOOKUP(C4913, INDEX([2]!카테고리매핑,,2), INDEX([2]!카테고리매핑,,1), "미등록 카테고리")</f>
        <v>간편식</v>
      </c>
      <c r="C4913" t="s">
        <v>19</v>
      </c>
      <c r="D4913" t="str">
        <f>VLOOKUP(C4913, '[2]VLOOKUP 함수용 카테고리'!$A$1:$B$59, 2, 0)</f>
        <v>FROZEN_MEAL</v>
      </c>
      <c r="E4913" t="s">
        <v>5811</v>
      </c>
      <c r="F4913" t="s">
        <v>156</v>
      </c>
    </row>
    <row r="4914" spans="1:6" x14ac:dyDescent="0.3">
      <c r="A4914" t="s">
        <v>7538</v>
      </c>
      <c r="B4914" t="str" cm="1">
        <f t="array" ref="B4914">_xlfn.XLOOKUP(C4914, INDEX([2]!카테고리매핑,,2), INDEX([2]!카테고리매핑,,1), "미등록 카테고리")</f>
        <v>간편식</v>
      </c>
      <c r="C4914" t="s">
        <v>131</v>
      </c>
      <c r="D4914" t="str">
        <f>VLOOKUP(C4914, '[2]VLOOKUP 함수용 카테고리'!$A$1:$B$59, 2, 0)</f>
        <v>SIMPLE_PROCESSED</v>
      </c>
      <c r="E4914" t="s">
        <v>7238</v>
      </c>
      <c r="F4914" t="s">
        <v>461</v>
      </c>
    </row>
    <row r="4915" spans="1:6" x14ac:dyDescent="0.3">
      <c r="A4915" t="s">
        <v>7539</v>
      </c>
      <c r="B4915" t="str" cm="1">
        <f t="array" ref="B4915">_xlfn.XLOOKUP(C4915, INDEX([2]!카테고리매핑,,2), INDEX([2]!카테고리매핑,,1), "미등록 카테고리")</f>
        <v>채소/곡물류</v>
      </c>
      <c r="C4915" t="s">
        <v>7</v>
      </c>
      <c r="D4915" t="str">
        <f>VLOOKUP(C4915, '[2]VLOOKUP 함수용 카테고리'!$A$1:$B$59, 2, 0)</f>
        <v>RAW_PRODUCE</v>
      </c>
      <c r="E4915" t="s">
        <v>743</v>
      </c>
    </row>
    <row r="4916" spans="1:6" x14ac:dyDescent="0.3">
      <c r="A4916" t="s">
        <v>7540</v>
      </c>
      <c r="B4916" t="str" cm="1">
        <f t="array" ref="B4916">_xlfn.XLOOKUP(C4916, INDEX([2]!카테고리매핑,,2), INDEX([2]!카테고리매핑,,1), "미등록 카테고리")</f>
        <v>채소/곡물류</v>
      </c>
      <c r="C4916" t="s">
        <v>7</v>
      </c>
      <c r="D4916" t="str">
        <f>VLOOKUP(C4916, '[2]VLOOKUP 함수용 카테고리'!$A$1:$B$59, 2, 0)</f>
        <v>RAW_PRODUCE</v>
      </c>
      <c r="E4916" t="s">
        <v>188</v>
      </c>
    </row>
    <row r="4917" spans="1:6" x14ac:dyDescent="0.3">
      <c r="A4917" t="s">
        <v>7541</v>
      </c>
      <c r="B4917" t="str" cm="1">
        <f t="array" ref="B4917">_xlfn.XLOOKUP(C4917, INDEX([2]!카테고리매핑,,2), INDEX([2]!카테고리매핑,,1), "미등록 카테고리")</f>
        <v>육류/계란</v>
      </c>
      <c r="C4917" t="s">
        <v>105</v>
      </c>
      <c r="D4917" t="str">
        <f>VLOOKUP(C4917, '[2]VLOOKUP 함수용 카테고리'!$A$1:$B$59, 2, 0)</f>
        <v>RAW_MEAT</v>
      </c>
      <c r="E4917" t="s">
        <v>1475</v>
      </c>
      <c r="F4917" t="s">
        <v>254</v>
      </c>
    </row>
    <row r="4918" spans="1:6" x14ac:dyDescent="0.3">
      <c r="A4918" t="s">
        <v>7542</v>
      </c>
      <c r="B4918" t="str" cm="1">
        <f t="array" ref="B4918">_xlfn.XLOOKUP(C4918, INDEX([2]!카테고리매핑,,2), INDEX([2]!카테고리매핑,,1), "미등록 카테고리")</f>
        <v>간편식</v>
      </c>
      <c r="C4918" t="s">
        <v>131</v>
      </c>
      <c r="D4918" t="str">
        <f>VLOOKUP(C4918, '[2]VLOOKUP 함수용 카테고리'!$A$1:$B$59, 2, 0)</f>
        <v>SIMPLE_PROCESSED</v>
      </c>
      <c r="E4918" t="s">
        <v>1067</v>
      </c>
      <c r="F4918" t="s">
        <v>133</v>
      </c>
    </row>
    <row r="4919" spans="1:6" x14ac:dyDescent="0.3">
      <c r="A4919" t="s">
        <v>7543</v>
      </c>
      <c r="B4919" t="str" cm="1">
        <f t="array" ref="B4919">_xlfn.XLOOKUP(C4919, INDEX([2]!카테고리매핑,,2), INDEX([2]!카테고리매핑,,1), "미등록 카테고리")</f>
        <v>간식류</v>
      </c>
      <c r="C4919" t="s">
        <v>11</v>
      </c>
      <c r="D4919" t="str">
        <f>VLOOKUP(C4919, '[2]VLOOKUP 함수용 카테고리'!$A$1:$B$59, 2, 0)</f>
        <v>SNACK</v>
      </c>
      <c r="E4919" t="s">
        <v>371</v>
      </c>
      <c r="F4919" t="s">
        <v>7544</v>
      </c>
    </row>
    <row r="4920" spans="1:6" x14ac:dyDescent="0.3">
      <c r="A4920" t="s">
        <v>7545</v>
      </c>
      <c r="B4920" t="str" cm="1">
        <f t="array" ref="B4920">_xlfn.XLOOKUP(C4920, INDEX([2]!카테고리매핑,,2), INDEX([2]!카테고리매핑,,1), "미등록 카테고리")</f>
        <v>채소/곡물류</v>
      </c>
      <c r="C4920" t="s">
        <v>7</v>
      </c>
      <c r="D4920" t="str">
        <f>VLOOKUP(C4920, '[2]VLOOKUP 함수용 카테고리'!$A$1:$B$59, 2, 0)</f>
        <v>RAW_PRODUCE</v>
      </c>
      <c r="E4920" t="s">
        <v>8</v>
      </c>
      <c r="F4920" t="s">
        <v>151</v>
      </c>
    </row>
    <row r="4921" spans="1:6" x14ac:dyDescent="0.3">
      <c r="A4921" t="s">
        <v>7546</v>
      </c>
      <c r="B4921" t="str" cm="1">
        <f t="array" ref="B4921">_xlfn.XLOOKUP(C4921, INDEX([2]!카테고리매핑,,2), INDEX([2]!카테고리매핑,,1), "미등록 카테고리")</f>
        <v>채소/곡물류</v>
      </c>
      <c r="C4921" t="s">
        <v>301</v>
      </c>
      <c r="D4921" t="str">
        <f>VLOOKUP(C4921, '[2]VLOOKUP 함수용 카테고리'!$A$1:$B$59, 2, 0)</f>
        <v>GRAIN</v>
      </c>
      <c r="E4921" t="s">
        <v>2023</v>
      </c>
      <c r="F4921" t="s">
        <v>7547</v>
      </c>
    </row>
    <row r="4922" spans="1:6" x14ac:dyDescent="0.3">
      <c r="A4922" t="s">
        <v>7548</v>
      </c>
      <c r="B4922" t="str" cm="1">
        <f t="array" ref="B4922">_xlfn.XLOOKUP(C4922, INDEX([2]!카테고리매핑,,2), INDEX([2]!카테고리매핑,,1), "미등록 카테고리")</f>
        <v>간식류</v>
      </c>
      <c r="C4922" t="s">
        <v>38</v>
      </c>
      <c r="D4922" t="str">
        <f>VLOOKUP(C4922, '[2]VLOOKUP 함수용 카테고리'!$A$1:$B$59, 2, 0)</f>
        <v>SNACK</v>
      </c>
      <c r="E4922" t="s">
        <v>179</v>
      </c>
      <c r="F4922" t="s">
        <v>7549</v>
      </c>
    </row>
    <row r="4923" spans="1:6" x14ac:dyDescent="0.3">
      <c r="A4923" t="s">
        <v>7550</v>
      </c>
      <c r="B4923" t="str" cm="1">
        <f t="array" ref="B4923">_xlfn.XLOOKUP(C4923, INDEX([2]!카테고리매핑,,2), INDEX([2]!카테고리매핑,,1), "미등록 카테고리")</f>
        <v>육류/계란</v>
      </c>
      <c r="C4923" t="s">
        <v>34</v>
      </c>
      <c r="D4923" t="str">
        <f>VLOOKUP(C4923, '[2]VLOOKUP 함수용 카테고리'!$A$1:$B$59, 2, 0)</f>
        <v>RAW_MEAT</v>
      </c>
      <c r="E4923" t="s">
        <v>2839</v>
      </c>
      <c r="F4923" t="s">
        <v>1141</v>
      </c>
    </row>
    <row r="4924" spans="1:6" x14ac:dyDescent="0.3">
      <c r="A4924" t="s">
        <v>7551</v>
      </c>
      <c r="B4924" t="str" cm="1">
        <f t="array" ref="B4924">_xlfn.XLOOKUP(C4924, INDEX([2]!카테고리매핑,,2), INDEX([2]!카테고리매핑,,1), "미등록 카테고리")</f>
        <v>유제품</v>
      </c>
      <c r="C4924" t="s">
        <v>98</v>
      </c>
      <c r="D4924" t="str">
        <f>VLOOKUP(C4924, '[2]VLOOKUP 함수용 카테고리'!$A$1:$B$59, 2, 0)</f>
        <v>DAIRY</v>
      </c>
      <c r="E4924" t="s">
        <v>98</v>
      </c>
      <c r="F4924" t="s">
        <v>475</v>
      </c>
    </row>
    <row r="4925" spans="1:6" x14ac:dyDescent="0.3">
      <c r="A4925" t="s">
        <v>7552</v>
      </c>
      <c r="B4925" t="str" cm="1">
        <f t="array" ref="B4925">_xlfn.XLOOKUP(C4925, INDEX([2]!카테고리매핑,,2), INDEX([2]!카테고리매핑,,1), "미등록 카테고리")</f>
        <v>채소/곡물류</v>
      </c>
      <c r="C4925" t="s">
        <v>301</v>
      </c>
      <c r="D4925" t="str">
        <f>VLOOKUP(C4925, '[2]VLOOKUP 함수용 카테고리'!$A$1:$B$59, 2, 0)</f>
        <v>GRAIN</v>
      </c>
      <c r="E4925" t="s">
        <v>490</v>
      </c>
      <c r="F4925" t="s">
        <v>7971</v>
      </c>
    </row>
    <row r="4926" spans="1:6" x14ac:dyDescent="0.3">
      <c r="A4926" t="s">
        <v>7553</v>
      </c>
      <c r="B4926" t="str" cm="1">
        <f t="array" ref="B4926">_xlfn.XLOOKUP(C4926, INDEX([2]!카테고리매핑,,2), INDEX([2]!카테고리매핑,,1), "미등록 카테고리")</f>
        <v>유제품</v>
      </c>
      <c r="C4926" t="s">
        <v>98</v>
      </c>
      <c r="D4926" t="str">
        <f>VLOOKUP(C4926, '[2]VLOOKUP 함수용 카테고리'!$A$1:$B$59, 2, 0)</f>
        <v>DAIRY</v>
      </c>
      <c r="E4926" t="s">
        <v>98</v>
      </c>
      <c r="F4926" t="s">
        <v>274</v>
      </c>
    </row>
    <row r="4927" spans="1:6" x14ac:dyDescent="0.3">
      <c r="A4927" t="s">
        <v>7554</v>
      </c>
      <c r="B4927" t="str" cm="1">
        <f t="array" ref="B4927">_xlfn.XLOOKUP(C4927, INDEX([2]!카테고리매핑,,2), INDEX([2]!카테고리매핑,,1), "미등록 카테고리")</f>
        <v>과일/견과류</v>
      </c>
      <c r="C4927" t="s">
        <v>654</v>
      </c>
      <c r="D4927" t="str">
        <f>VLOOKUP(C4927, '[2]VLOOKUP 함수용 카테고리'!$A$1:$B$59, 2, 0)</f>
        <v>RAW_FRUIT</v>
      </c>
      <c r="E4927" t="s">
        <v>681</v>
      </c>
      <c r="F4927" t="s">
        <v>4524</v>
      </c>
    </row>
    <row r="4928" spans="1:6" x14ac:dyDescent="0.3">
      <c r="A4928" t="s">
        <v>7555</v>
      </c>
      <c r="B4928" t="str" cm="1">
        <f t="array" ref="B4928">_xlfn.XLOOKUP(C4928, INDEX([2]!카테고리매핑,,2), INDEX([2]!카테고리매핑,,1), "미등록 카테고리")</f>
        <v>간편식</v>
      </c>
      <c r="C4928" t="s">
        <v>256</v>
      </c>
      <c r="D4928" t="str">
        <f>VLOOKUP(C4928, '[2]VLOOKUP 함수용 카테고리'!$A$1:$B$59, 2, 0)</f>
        <v>RTC_MEAL</v>
      </c>
      <c r="E4928" t="s">
        <v>256</v>
      </c>
      <c r="F4928" t="s">
        <v>7556</v>
      </c>
    </row>
    <row r="4929" spans="1:6" x14ac:dyDescent="0.3">
      <c r="A4929" t="s">
        <v>7557</v>
      </c>
      <c r="B4929" t="str" cm="1">
        <f t="array" ref="B4929">_xlfn.XLOOKUP(C4929, INDEX([2]!카테고리매핑,,2), INDEX([2]!카테고리매핑,,1), "미등록 카테고리")</f>
        <v>채소/곡물류</v>
      </c>
      <c r="C4929" t="s">
        <v>7</v>
      </c>
      <c r="D4929" t="str">
        <f>VLOOKUP(C4929, '[2]VLOOKUP 함수용 카테고리'!$A$1:$B$59, 2, 0)</f>
        <v>RAW_PRODUCE</v>
      </c>
      <c r="E4929" t="s">
        <v>2884</v>
      </c>
    </row>
    <row r="4930" spans="1:6" x14ac:dyDescent="0.3">
      <c r="A4930" t="s">
        <v>7558</v>
      </c>
      <c r="B4930" t="str" cm="1">
        <f t="array" ref="B4930">_xlfn.XLOOKUP(C4930, INDEX([2]!카테고리매핑,,2), INDEX([2]!카테고리매핑,,1), "미등록 카테고리")</f>
        <v>채소/곡물류</v>
      </c>
      <c r="C4930" t="s">
        <v>301</v>
      </c>
      <c r="D4930" t="str">
        <f>VLOOKUP(C4930, '[2]VLOOKUP 함수용 카테고리'!$A$1:$B$59, 2, 0)</f>
        <v>GRAIN</v>
      </c>
      <c r="E4930" t="s">
        <v>611</v>
      </c>
    </row>
    <row r="4931" spans="1:6" x14ac:dyDescent="0.3">
      <c r="A4931" t="s">
        <v>7559</v>
      </c>
      <c r="B4931" t="str" cm="1">
        <f t="array" ref="B4931">_xlfn.XLOOKUP(C4931, INDEX([2]!카테고리매핑,,2), INDEX([2]!카테고리매핑,,1), "미등록 카테고리")</f>
        <v>채소/곡물류</v>
      </c>
      <c r="C4931" t="s">
        <v>301</v>
      </c>
      <c r="D4931" t="str">
        <f>VLOOKUP(C4931, '[2]VLOOKUP 함수용 카테고리'!$A$1:$B$59, 2, 0)</f>
        <v>GRAIN</v>
      </c>
      <c r="E4931" t="s">
        <v>1737</v>
      </c>
      <c r="F4931" t="s">
        <v>7972</v>
      </c>
    </row>
    <row r="4932" spans="1:6" x14ac:dyDescent="0.3">
      <c r="A4932" t="s">
        <v>7560</v>
      </c>
      <c r="B4932" t="str" cm="1">
        <f t="array" ref="B4932">_xlfn.XLOOKUP(C4932, INDEX([2]!카테고리매핑,,2), INDEX([2]!카테고리매핑,,1), "미등록 카테고리")</f>
        <v>술</v>
      </c>
      <c r="C4932" t="s">
        <v>42</v>
      </c>
      <c r="D4932" t="str">
        <f>VLOOKUP(C4932, '[2]VLOOKUP 함수용 카테고리'!$A$1:$B$59, 2, 0)</f>
        <v>ALCOHOL</v>
      </c>
      <c r="E4932" t="s">
        <v>7561</v>
      </c>
      <c r="F4932" t="s">
        <v>7973</v>
      </c>
    </row>
    <row r="4933" spans="1:6" x14ac:dyDescent="0.3">
      <c r="A4933" t="s">
        <v>7562</v>
      </c>
      <c r="B4933" t="str" cm="1">
        <f t="array" ref="B4933">_xlfn.XLOOKUP(C4933, INDEX([2]!카테고리매핑,,2), INDEX([2]!카테고리매핑,,1), "미등록 카테고리")</f>
        <v>채소/곡물류</v>
      </c>
      <c r="C4933" t="s">
        <v>7</v>
      </c>
      <c r="D4933" t="str">
        <f>VLOOKUP(C4933, '[2]VLOOKUP 함수용 카테고리'!$A$1:$B$59, 2, 0)</f>
        <v>RAW_PRODUCE</v>
      </c>
      <c r="E4933" t="s">
        <v>743</v>
      </c>
    </row>
    <row r="4934" spans="1:6" x14ac:dyDescent="0.3">
      <c r="A4934" t="s">
        <v>7563</v>
      </c>
      <c r="B4934" t="str" cm="1">
        <f t="array" ref="B4934">_xlfn.XLOOKUP(C4934, INDEX([2]!카테고리매핑,,2), INDEX([2]!카테고리매핑,,1), "미등록 카테고리")</f>
        <v>간식류</v>
      </c>
      <c r="C4934" t="s">
        <v>38</v>
      </c>
      <c r="D4934" t="str">
        <f>VLOOKUP(C4934, '[2]VLOOKUP 함수용 카테고리'!$A$1:$B$59, 2, 0)</f>
        <v>SNACK</v>
      </c>
      <c r="E4934" t="s">
        <v>179</v>
      </c>
      <c r="F4934" t="s">
        <v>5670</v>
      </c>
    </row>
    <row r="4935" spans="1:6" x14ac:dyDescent="0.3">
      <c r="A4935" t="s">
        <v>7564</v>
      </c>
      <c r="B4935" t="str" cm="1">
        <f t="array" ref="B4935">_xlfn.XLOOKUP(C4935, INDEX([2]!카테고리매핑,,2), INDEX([2]!카테고리매핑,,1), "미등록 카테고리")</f>
        <v>간식류</v>
      </c>
      <c r="C4935" t="s">
        <v>63</v>
      </c>
      <c r="D4935" t="str">
        <f>VLOOKUP(C4935, '[2]VLOOKUP 함수용 카테고리'!$A$1:$B$59, 2, 0)</f>
        <v>BAKERY</v>
      </c>
      <c r="E4935" t="s">
        <v>2040</v>
      </c>
      <c r="F4935" t="s">
        <v>7974</v>
      </c>
    </row>
    <row r="4936" spans="1:6" x14ac:dyDescent="0.3">
      <c r="A4936" t="s">
        <v>7565</v>
      </c>
      <c r="B4936" t="str" cm="1">
        <f t="array" ref="B4936">_xlfn.XLOOKUP(C4936, INDEX([2]!카테고리매핑,,2), INDEX([2]!카테고리매핑,,1), "미등록 카테고리")</f>
        <v>간편식</v>
      </c>
      <c r="C4936" t="s">
        <v>46</v>
      </c>
      <c r="D4936" t="str">
        <f>VLOOKUP(C4936, '[2]VLOOKUP 함수용 카테고리'!$A$1:$B$59, 2, 0)</f>
        <v>RTC_MEAL</v>
      </c>
      <c r="E4936" t="s">
        <v>46</v>
      </c>
      <c r="F4936" t="s">
        <v>7734</v>
      </c>
    </row>
    <row r="4937" spans="1:6" x14ac:dyDescent="0.3">
      <c r="A4937" t="s">
        <v>7566</v>
      </c>
      <c r="B4937" t="str" cm="1">
        <f t="array" ref="B4937">_xlfn.XLOOKUP(C4937, INDEX([2]!카테고리매핑,,2), INDEX([2]!카테고리매핑,,1), "미등록 카테고리")</f>
        <v>간식류</v>
      </c>
      <c r="C4937" t="s">
        <v>11</v>
      </c>
      <c r="D4937" t="str">
        <f>VLOOKUP(C4937, '[2]VLOOKUP 함수용 카테고리'!$A$1:$B$59, 2, 0)</f>
        <v>SNACK</v>
      </c>
      <c r="E4937" t="s">
        <v>7567</v>
      </c>
      <c r="F4937" t="s">
        <v>303</v>
      </c>
    </row>
    <row r="4938" spans="1:6" x14ac:dyDescent="0.3">
      <c r="A4938" t="s">
        <v>7568</v>
      </c>
      <c r="B4938" t="str" cm="1">
        <f t="array" ref="B4938">_xlfn.XLOOKUP(C4938, INDEX([2]!카테고리매핑,,2), INDEX([2]!카테고리매핑,,1), "미등록 카테고리")</f>
        <v>상온식품</v>
      </c>
      <c r="C4938" t="s">
        <v>276</v>
      </c>
      <c r="D4938" t="str">
        <f>VLOOKUP(C4938, '[2]VLOOKUP 함수용 카테고리'!$A$1:$B$59, 2, 0)</f>
        <v>DRIED_SEAFOOD</v>
      </c>
      <c r="E4938" t="s">
        <v>277</v>
      </c>
      <c r="F4938" t="s">
        <v>704</v>
      </c>
    </row>
    <row r="4939" spans="1:6" x14ac:dyDescent="0.3">
      <c r="A4939" t="s">
        <v>7569</v>
      </c>
      <c r="B4939" t="str" cm="1">
        <f t="array" ref="B4939">_xlfn.XLOOKUP(C4939, INDEX([2]!카테고리매핑,,2), INDEX([2]!카테고리매핑,,1), "미등록 카테고리")</f>
        <v>조미료</v>
      </c>
      <c r="C4939" t="s">
        <v>127</v>
      </c>
      <c r="D4939" t="str">
        <f>VLOOKUP(C4939, '[2]VLOOKUP 함수용 카테고리'!$A$1:$B$59, 2, 0)</f>
        <v>SAUCE_SEASONING</v>
      </c>
      <c r="E4939" t="s">
        <v>6780</v>
      </c>
      <c r="F4939" t="s">
        <v>341</v>
      </c>
    </row>
    <row r="4940" spans="1:6" x14ac:dyDescent="0.3">
      <c r="A4940" t="s">
        <v>7570</v>
      </c>
      <c r="B4940" t="str" cm="1">
        <f t="array" ref="B4940">_xlfn.XLOOKUP(C4940, INDEX([2]!카테고리매핑,,2), INDEX([2]!카테고리매핑,,1), "미등록 카테고리")</f>
        <v>상온식품</v>
      </c>
      <c r="C4940" t="s">
        <v>276</v>
      </c>
      <c r="D4940" t="str">
        <f>VLOOKUP(C4940, '[2]VLOOKUP 함수용 카테고리'!$A$1:$B$59, 2, 0)</f>
        <v>DRIED_SEAFOOD</v>
      </c>
      <c r="E4940" t="s">
        <v>277</v>
      </c>
      <c r="F4940" t="s">
        <v>3896</v>
      </c>
    </row>
    <row r="4941" spans="1:6" x14ac:dyDescent="0.3">
      <c r="A4941" t="s">
        <v>7571</v>
      </c>
      <c r="B4941" t="str" cm="1">
        <f t="array" ref="B4941">_xlfn.XLOOKUP(C4941, INDEX([2]!카테고리매핑,,2), INDEX([2]!카테고리매핑,,1), "미등록 카테고리")</f>
        <v>술</v>
      </c>
      <c r="C4941" t="s">
        <v>42</v>
      </c>
      <c r="D4941" t="str">
        <f>VLOOKUP(C4941, '[2]VLOOKUP 함수용 카테고리'!$A$1:$B$59, 2, 0)</f>
        <v>ALCOHOL</v>
      </c>
      <c r="E4941" t="s">
        <v>7975</v>
      </c>
      <c r="F4941" t="s">
        <v>7976</v>
      </c>
    </row>
    <row r="4942" spans="1:6" x14ac:dyDescent="0.3">
      <c r="A4942" t="s">
        <v>1007</v>
      </c>
      <c r="B4942" t="str" cm="1">
        <f t="array" ref="B4942">_xlfn.XLOOKUP(C4942, INDEX([2]!카테고리매핑,,2), INDEX([2]!카테고리매핑,,1), "미등록 카테고리")</f>
        <v>과일/견과류</v>
      </c>
      <c r="C4942" t="s">
        <v>654</v>
      </c>
      <c r="D4942" t="str">
        <f>VLOOKUP(C4942, '[2]VLOOKUP 함수용 카테고리'!$A$1:$B$59, 2, 0)</f>
        <v>RAW_FRUIT</v>
      </c>
      <c r="E4942" t="s">
        <v>1008</v>
      </c>
      <c r="F4942" t="s">
        <v>670</v>
      </c>
    </row>
    <row r="4943" spans="1:6" x14ac:dyDescent="0.3">
      <c r="A4943" t="s">
        <v>7572</v>
      </c>
      <c r="B4943" t="str" cm="1">
        <f t="array" ref="B4943">_xlfn.XLOOKUP(C4943, INDEX([2]!카테고리매핑,,2), INDEX([2]!카테고리매핑,,1), "미등록 카테고리")</f>
        <v>간편식</v>
      </c>
      <c r="C4943" t="s">
        <v>256</v>
      </c>
      <c r="D4943" t="str">
        <f>VLOOKUP(C4943, '[2]VLOOKUP 함수용 카테고리'!$A$1:$B$59, 2, 0)</f>
        <v>RTC_MEAL</v>
      </c>
      <c r="E4943" t="s">
        <v>256</v>
      </c>
      <c r="F4943" t="s">
        <v>928</v>
      </c>
    </row>
    <row r="4944" spans="1:6" x14ac:dyDescent="0.3">
      <c r="A4944" t="s">
        <v>7573</v>
      </c>
      <c r="B4944" t="str" cm="1">
        <f t="array" ref="B4944">_xlfn.XLOOKUP(C4944, INDEX([2]!카테고리매핑,,2), INDEX([2]!카테고리매핑,,1), "미등록 카테고리")</f>
        <v>과일/견과류</v>
      </c>
      <c r="C4944" t="s">
        <v>1179</v>
      </c>
      <c r="D4944" t="str">
        <f>VLOOKUP(C4944, '[2]VLOOKUP 함수용 카테고리'!$A$1:$B$59, 2, 0)</f>
        <v>RAW_FRUIT</v>
      </c>
      <c r="E4944" t="s">
        <v>5473</v>
      </c>
      <c r="F4944" t="s">
        <v>5958</v>
      </c>
    </row>
    <row r="4945" spans="1:6" x14ac:dyDescent="0.3">
      <c r="A4945" t="s">
        <v>7574</v>
      </c>
      <c r="B4945" t="str" cm="1">
        <f t="array" ref="B4945">_xlfn.XLOOKUP(C4945, INDEX([2]!카테고리매핑,,2), INDEX([2]!카테고리매핑,,1), "미등록 카테고리")</f>
        <v>상온식품</v>
      </c>
      <c r="C4945" t="s">
        <v>835</v>
      </c>
      <c r="D4945" t="str">
        <f>VLOOKUP(C4945, '[2]VLOOKUP 함수용 카테고리'!$A$1:$B$59, 2, 0)</f>
        <v>SAUCE_SEASONING</v>
      </c>
      <c r="E4945" t="s">
        <v>2157</v>
      </c>
      <c r="F4945" t="s">
        <v>383</v>
      </c>
    </row>
    <row r="4946" spans="1:6" x14ac:dyDescent="0.3">
      <c r="A4946" t="s">
        <v>7575</v>
      </c>
      <c r="B4946" t="str" cm="1">
        <f t="array" ref="B4946">_xlfn.XLOOKUP(C4946, INDEX([2]!카테고리매핑,,2), INDEX([2]!카테고리매핑,,1), "미등록 카테고리")</f>
        <v>수산물</v>
      </c>
      <c r="C4946" t="s">
        <v>203</v>
      </c>
      <c r="D4946" t="str">
        <f>VLOOKUP(C4946, '[2]VLOOKUP 함수용 카테고리'!$A$1:$B$59, 2, 0)</f>
        <v>RAW_SEAFOOD</v>
      </c>
      <c r="E4946" t="s">
        <v>204</v>
      </c>
      <c r="F4946" t="s">
        <v>7977</v>
      </c>
    </row>
    <row r="4947" spans="1:6" x14ac:dyDescent="0.3">
      <c r="A4947" t="s">
        <v>7576</v>
      </c>
      <c r="B4947" t="str" cm="1">
        <f t="array" ref="B4947">_xlfn.XLOOKUP(C4947, INDEX([2]!카테고리매핑,,2), INDEX([2]!카테고리매핑,,1), "미등록 카테고리")</f>
        <v>수산물</v>
      </c>
      <c r="C4947" t="s">
        <v>1673</v>
      </c>
      <c r="D4947" t="str">
        <f>VLOOKUP(C4947, '[2]VLOOKUP 함수용 카테고리'!$A$1:$B$59, 2, 0)</f>
        <v>RAW_SEAFOOD</v>
      </c>
      <c r="E4947" t="s">
        <v>1674</v>
      </c>
      <c r="F4947" t="s">
        <v>151</v>
      </c>
    </row>
    <row r="4948" spans="1:6" x14ac:dyDescent="0.3">
      <c r="A4948" t="s">
        <v>7577</v>
      </c>
      <c r="B4948" t="str" cm="1">
        <f t="array" ref="B4948">_xlfn.XLOOKUP(C4948, INDEX([2]!카테고리매핑,,2), INDEX([2]!카테고리매핑,,1), "미등록 카테고리")</f>
        <v>육류/계란</v>
      </c>
      <c r="C4948" t="s">
        <v>428</v>
      </c>
      <c r="D4948" t="str">
        <f>VLOOKUP(C4948, '[2]VLOOKUP 함수용 카테고리'!$A$1:$B$59, 2, 0)</f>
        <v>PROCESSED_MEAT</v>
      </c>
      <c r="E4948" t="s">
        <v>790</v>
      </c>
      <c r="F4948" t="s">
        <v>944</v>
      </c>
    </row>
    <row r="4949" spans="1:6" x14ac:dyDescent="0.3">
      <c r="A4949" t="s">
        <v>7578</v>
      </c>
      <c r="B4949" t="str" cm="1">
        <f t="array" ref="B4949">_xlfn.XLOOKUP(C4949, INDEX([2]!카테고리매핑,,2), INDEX([2]!카테고리매핑,,1), "미등록 카테고리")</f>
        <v>육류/계란</v>
      </c>
      <c r="C4949" t="s">
        <v>870</v>
      </c>
      <c r="D4949" t="str">
        <f>VLOOKUP(C4949, '[2]VLOOKUP 함수용 카테고리'!$A$1:$B$59, 2, 0)</f>
        <v>RAW_MEAT</v>
      </c>
      <c r="E4949" t="s">
        <v>7579</v>
      </c>
      <c r="F4949" t="s">
        <v>7924</v>
      </c>
    </row>
    <row r="4950" spans="1:6" x14ac:dyDescent="0.3">
      <c r="A4950" t="s">
        <v>7580</v>
      </c>
      <c r="B4950" t="str" cm="1">
        <f t="array" ref="B4950">_xlfn.XLOOKUP(C4950, INDEX([2]!카테고리매핑,,2), INDEX([2]!카테고리매핑,,1), "미등록 카테고리")</f>
        <v>조미료</v>
      </c>
      <c r="C4950" t="s">
        <v>83</v>
      </c>
      <c r="D4950" t="str">
        <f>VLOOKUP(C4950, '[2]VLOOKUP 함수용 카테고리'!$A$1:$B$59, 2, 0)</f>
        <v>SAUCE_SEASONING</v>
      </c>
      <c r="E4950" t="s">
        <v>658</v>
      </c>
    </row>
    <row r="4951" spans="1:6" x14ac:dyDescent="0.3">
      <c r="A4951" t="s">
        <v>7581</v>
      </c>
      <c r="B4951" t="str" cm="1">
        <f t="array" ref="B4951">_xlfn.XLOOKUP(C4951, INDEX([2]!카테고리매핑,,2), INDEX([2]!카테고리매핑,,1), "미등록 카테고리")</f>
        <v>채소/곡물류</v>
      </c>
      <c r="C4951" t="s">
        <v>7</v>
      </c>
      <c r="D4951" t="str">
        <f>VLOOKUP(C4951, '[2]VLOOKUP 함수용 카테고리'!$A$1:$B$59, 2, 0)</f>
        <v>RAW_PRODUCE</v>
      </c>
      <c r="E4951" t="s">
        <v>1898</v>
      </c>
      <c r="F4951" t="s">
        <v>6352</v>
      </c>
    </row>
    <row r="4952" spans="1:6" x14ac:dyDescent="0.3">
      <c r="A4952" t="s">
        <v>7582</v>
      </c>
      <c r="B4952" t="str" cm="1">
        <f t="array" ref="B4952">_xlfn.XLOOKUP(C4952, INDEX([2]!카테고리매핑,,2), INDEX([2]!카테고리매핑,,1), "미등록 카테고리")</f>
        <v>상온식품</v>
      </c>
      <c r="C4952" t="s">
        <v>276</v>
      </c>
      <c r="D4952" t="str">
        <f>VLOOKUP(C4952, '[2]VLOOKUP 함수용 카테고리'!$A$1:$B$59, 2, 0)</f>
        <v>DRIED_SEAFOOD</v>
      </c>
      <c r="E4952" t="s">
        <v>2582</v>
      </c>
      <c r="F4952" t="s">
        <v>2583</v>
      </c>
    </row>
    <row r="4953" spans="1:6" x14ac:dyDescent="0.3">
      <c r="A4953" t="s">
        <v>7583</v>
      </c>
      <c r="B4953" t="str" cm="1">
        <f t="array" ref="B4953">_xlfn.XLOOKUP(C4953, INDEX([2]!카테고리매핑,,2), INDEX([2]!카테고리매핑,,1), "미등록 카테고리")</f>
        <v>채소/곡물류</v>
      </c>
      <c r="C4953" t="s">
        <v>301</v>
      </c>
      <c r="D4953" t="str">
        <f>VLOOKUP(C4953, '[2]VLOOKUP 함수용 카테고리'!$A$1:$B$59, 2, 0)</f>
        <v>GRAIN</v>
      </c>
      <c r="E4953" t="s">
        <v>490</v>
      </c>
      <c r="F4953" t="s">
        <v>151</v>
      </c>
    </row>
    <row r="4954" spans="1:6" x14ac:dyDescent="0.3">
      <c r="A4954" t="s">
        <v>7584</v>
      </c>
      <c r="B4954" t="str" cm="1">
        <f t="array" ref="B4954">_xlfn.XLOOKUP(C4954, INDEX([2]!카테고리매핑,,2), INDEX([2]!카테고리매핑,,1), "미등록 카테고리")</f>
        <v>과일/견과류</v>
      </c>
      <c r="C4954" t="s">
        <v>654</v>
      </c>
      <c r="D4954" t="str">
        <f>VLOOKUP(C4954, '[2]VLOOKUP 함수용 카테고리'!$A$1:$B$59, 2, 0)</f>
        <v>RAW_FRUIT</v>
      </c>
      <c r="E4954" t="s">
        <v>1741</v>
      </c>
    </row>
    <row r="4955" spans="1:6" x14ac:dyDescent="0.3">
      <c r="A4955" t="s">
        <v>7572</v>
      </c>
      <c r="B4955" t="str" cm="1">
        <f t="array" ref="B4955">_xlfn.XLOOKUP(C4955, INDEX([2]!카테고리매핑,,2), INDEX([2]!카테고리매핑,,1), "미등록 카테고리")</f>
        <v>간편식</v>
      </c>
      <c r="C4955" t="s">
        <v>256</v>
      </c>
      <c r="D4955" t="str">
        <f>VLOOKUP(C4955, '[2]VLOOKUP 함수용 카테고리'!$A$1:$B$59, 2, 0)</f>
        <v>RTC_MEAL</v>
      </c>
      <c r="E4955" t="s">
        <v>256</v>
      </c>
      <c r="F4955" t="s">
        <v>928</v>
      </c>
    </row>
    <row r="4956" spans="1:6" x14ac:dyDescent="0.3">
      <c r="A4956" t="s">
        <v>7585</v>
      </c>
      <c r="B4956" t="str" cm="1">
        <f t="array" ref="B4956">_xlfn.XLOOKUP(C4956, INDEX([2]!카테고리매핑,,2), INDEX([2]!카테고리매핑,,1), "미등록 카테고리")</f>
        <v>과일/견과류</v>
      </c>
      <c r="C4956" t="s">
        <v>654</v>
      </c>
      <c r="D4956" t="str">
        <f>VLOOKUP(C4956, '[2]VLOOKUP 함수용 카테고리'!$A$1:$B$59, 2, 0)</f>
        <v>RAW_FRUIT</v>
      </c>
      <c r="E4956" t="s">
        <v>1741</v>
      </c>
    </row>
    <row r="4957" spans="1:6" x14ac:dyDescent="0.3">
      <c r="A4957" t="s">
        <v>7574</v>
      </c>
      <c r="B4957" t="str" cm="1">
        <f t="array" ref="B4957">_xlfn.XLOOKUP(C4957, INDEX([2]!카테고리매핑,,2), INDEX([2]!카테고리매핑,,1), "미등록 카테고리")</f>
        <v>상온식품</v>
      </c>
      <c r="C4957" t="s">
        <v>835</v>
      </c>
      <c r="D4957" t="str">
        <f>VLOOKUP(C4957, '[2]VLOOKUP 함수용 카테고리'!$A$1:$B$59, 2, 0)</f>
        <v>SAUCE_SEASONING</v>
      </c>
      <c r="E4957" t="s">
        <v>2157</v>
      </c>
      <c r="F4957" t="s">
        <v>383</v>
      </c>
    </row>
    <row r="4958" spans="1:6" x14ac:dyDescent="0.3">
      <c r="A4958" t="s">
        <v>7575</v>
      </c>
      <c r="B4958" t="str" cm="1">
        <f t="array" ref="B4958">_xlfn.XLOOKUP(C4958, INDEX([2]!카테고리매핑,,2), INDEX([2]!카테고리매핑,,1), "미등록 카테고리")</f>
        <v>수산물</v>
      </c>
      <c r="C4958" t="s">
        <v>203</v>
      </c>
      <c r="D4958" t="str">
        <f>VLOOKUP(C4958, '[2]VLOOKUP 함수용 카테고리'!$A$1:$B$59, 2, 0)</f>
        <v>RAW_SEAFOOD</v>
      </c>
      <c r="E4958" t="s">
        <v>204</v>
      </c>
      <c r="F4958" t="s">
        <v>7977</v>
      </c>
    </row>
    <row r="4959" spans="1:6" x14ac:dyDescent="0.3">
      <c r="A4959" t="s">
        <v>7576</v>
      </c>
      <c r="B4959" t="str" cm="1">
        <f t="array" ref="B4959">_xlfn.XLOOKUP(C4959, INDEX([2]!카테고리매핑,,2), INDEX([2]!카테고리매핑,,1), "미등록 카테고리")</f>
        <v>수산물</v>
      </c>
      <c r="C4959" t="s">
        <v>1673</v>
      </c>
      <c r="D4959" t="str">
        <f>VLOOKUP(C4959, '[2]VLOOKUP 함수용 카테고리'!$A$1:$B$59, 2, 0)</f>
        <v>RAW_SEAFOOD</v>
      </c>
      <c r="E4959" t="s">
        <v>1674</v>
      </c>
      <c r="F4959" t="s">
        <v>151</v>
      </c>
    </row>
    <row r="4960" spans="1:6" x14ac:dyDescent="0.3">
      <c r="A4960" t="s">
        <v>7577</v>
      </c>
      <c r="B4960" t="str" cm="1">
        <f t="array" ref="B4960">_xlfn.XLOOKUP(C4960, INDEX([2]!카테고리매핑,,2), INDEX([2]!카테고리매핑,,1), "미등록 카테고리")</f>
        <v>육류/계란</v>
      </c>
      <c r="C4960" t="s">
        <v>428</v>
      </c>
      <c r="D4960" t="str">
        <f>VLOOKUP(C4960, '[2]VLOOKUP 함수용 카테고리'!$A$1:$B$59, 2, 0)</f>
        <v>PROCESSED_MEAT</v>
      </c>
      <c r="E4960" t="s">
        <v>790</v>
      </c>
      <c r="F4960" t="s">
        <v>944</v>
      </c>
    </row>
    <row r="4961" spans="1:6" x14ac:dyDescent="0.3">
      <c r="A4961" t="s">
        <v>7578</v>
      </c>
      <c r="B4961" t="str" cm="1">
        <f t="array" ref="B4961">_xlfn.XLOOKUP(C4961, INDEX([2]!카테고리매핑,,2), INDEX([2]!카테고리매핑,,1), "미등록 카테고리")</f>
        <v>육류/계란</v>
      </c>
      <c r="C4961" t="s">
        <v>870</v>
      </c>
      <c r="D4961" t="str">
        <f>VLOOKUP(C4961, '[2]VLOOKUP 함수용 카테고리'!$A$1:$B$59, 2, 0)</f>
        <v>RAW_MEAT</v>
      </c>
      <c r="E4961" t="s">
        <v>7579</v>
      </c>
      <c r="F4961" t="s">
        <v>7924</v>
      </c>
    </row>
    <row r="4962" spans="1:6" x14ac:dyDescent="0.3">
      <c r="A4962" t="s">
        <v>7580</v>
      </c>
      <c r="B4962" t="str" cm="1">
        <f t="array" ref="B4962">_xlfn.XLOOKUP(C4962, INDEX([2]!카테고리매핑,,2), INDEX([2]!카테고리매핑,,1), "미등록 카테고리")</f>
        <v>조미료</v>
      </c>
      <c r="C4962" t="s">
        <v>83</v>
      </c>
      <c r="D4962" t="str">
        <f>VLOOKUP(C4962, '[2]VLOOKUP 함수용 카테고리'!$A$1:$B$59, 2, 0)</f>
        <v>SAUCE_SEASONING</v>
      </c>
      <c r="E4962" t="s">
        <v>658</v>
      </c>
    </row>
    <row r="4963" spans="1:6" x14ac:dyDescent="0.3">
      <c r="A4963" t="s">
        <v>7581</v>
      </c>
      <c r="B4963" t="str" cm="1">
        <f t="array" ref="B4963">_xlfn.XLOOKUP(C4963, INDEX([2]!카테고리매핑,,2), INDEX([2]!카테고리매핑,,1), "미등록 카테고리")</f>
        <v>채소/곡물류</v>
      </c>
      <c r="C4963" t="s">
        <v>7</v>
      </c>
      <c r="D4963" t="str">
        <f>VLOOKUP(C4963, '[2]VLOOKUP 함수용 카테고리'!$A$1:$B$59, 2, 0)</f>
        <v>RAW_PRODUCE</v>
      </c>
      <c r="E4963" t="s">
        <v>1898</v>
      </c>
    </row>
    <row r="4964" spans="1:6" x14ac:dyDescent="0.3">
      <c r="A4964" t="s">
        <v>7582</v>
      </c>
      <c r="B4964" t="str" cm="1">
        <f t="array" ref="B4964">_xlfn.XLOOKUP(C4964, INDEX([2]!카테고리매핑,,2), INDEX([2]!카테고리매핑,,1), "미등록 카테고리")</f>
        <v>상온식품</v>
      </c>
      <c r="C4964" t="s">
        <v>276</v>
      </c>
      <c r="D4964" t="str">
        <f>VLOOKUP(C4964, '[2]VLOOKUP 함수용 카테고리'!$A$1:$B$59, 2, 0)</f>
        <v>DRIED_SEAFOOD</v>
      </c>
      <c r="E4964" t="s">
        <v>2582</v>
      </c>
      <c r="F4964" t="s">
        <v>7978</v>
      </c>
    </row>
    <row r="4965" spans="1:6" x14ac:dyDescent="0.3">
      <c r="A4965" t="s">
        <v>7583</v>
      </c>
      <c r="B4965" t="str" cm="1">
        <f t="array" ref="B4965">_xlfn.XLOOKUP(C4965, INDEX([2]!카테고리매핑,,2), INDEX([2]!카테고리매핑,,1), "미등록 카테고리")</f>
        <v>채소/곡물류</v>
      </c>
      <c r="C4965" t="s">
        <v>301</v>
      </c>
      <c r="D4965" t="str">
        <f>VLOOKUP(C4965, '[2]VLOOKUP 함수용 카테고리'!$A$1:$B$59, 2, 0)</f>
        <v>GRAIN</v>
      </c>
      <c r="E4965" t="s">
        <v>490</v>
      </c>
      <c r="F4965" t="s">
        <v>151</v>
      </c>
    </row>
    <row r="4966" spans="1:6" x14ac:dyDescent="0.3">
      <c r="A4966" t="s">
        <v>7586</v>
      </c>
      <c r="B4966" t="str" cm="1">
        <f t="array" ref="B4966">_xlfn.XLOOKUP(C4966, INDEX([2]!카테고리매핑,,2), INDEX([2]!카테고리매핑,,1), "미등록 카테고리")</f>
        <v>간편식</v>
      </c>
      <c r="C4966" t="s">
        <v>7625</v>
      </c>
      <c r="D4966" t="str">
        <f>VLOOKUP(C4966, '[2]VLOOKUP 함수용 카테고리'!$A$1:$B$59, 2, 0)</f>
        <v>RTC_MEAL</v>
      </c>
      <c r="E4966" t="s">
        <v>7625</v>
      </c>
      <c r="F4966" t="s">
        <v>7587</v>
      </c>
    </row>
    <row r="4967" spans="1:6" x14ac:dyDescent="0.3">
      <c r="A4967" t="s">
        <v>7588</v>
      </c>
      <c r="B4967" t="str" cm="1">
        <f t="array" ref="B4967">_xlfn.XLOOKUP(C4967, INDEX([2]!카테고리매핑,,2), INDEX([2]!카테고리매핑,,1), "미등록 카테고리")</f>
        <v>조미료</v>
      </c>
      <c r="C4967" t="s">
        <v>127</v>
      </c>
      <c r="D4967" t="str">
        <f>VLOOKUP(C4967, '[2]VLOOKUP 함수용 카테고리'!$A$1:$B$59, 2, 0)</f>
        <v>SAUCE_SEASONING</v>
      </c>
      <c r="E4967" t="s">
        <v>248</v>
      </c>
      <c r="F4967" t="s">
        <v>7589</v>
      </c>
    </row>
    <row r="4968" spans="1:6" x14ac:dyDescent="0.3">
      <c r="A4968" t="s">
        <v>7590</v>
      </c>
      <c r="B4968" t="str" cm="1">
        <f t="array" ref="B4968">_xlfn.XLOOKUP(C4968, INDEX([2]!카테고리매핑,,2), INDEX([2]!카테고리매핑,,1), "미등록 카테고리")</f>
        <v>조미료</v>
      </c>
      <c r="C4968" t="s">
        <v>84</v>
      </c>
      <c r="D4968" t="str">
        <f>VLOOKUP(C4968, '[2]VLOOKUP 함수용 카테고리'!$A$1:$B$59, 2, 0)</f>
        <v>SAUCE_SEASONING</v>
      </c>
      <c r="E4968" t="s">
        <v>444</v>
      </c>
      <c r="F4968" t="s">
        <v>296</v>
      </c>
    </row>
    <row r="4969" spans="1:6" x14ac:dyDescent="0.3">
      <c r="A4969" t="s">
        <v>7591</v>
      </c>
      <c r="B4969" t="str" cm="1">
        <f t="array" ref="B4969">_xlfn.XLOOKUP(C4969, INDEX([2]!카테고리매핑,,2), INDEX([2]!카테고리매핑,,1), "미등록 카테고리")</f>
        <v>간식류</v>
      </c>
      <c r="C4969" t="s">
        <v>7626</v>
      </c>
      <c r="D4969" t="str">
        <f>VLOOKUP(C4969, '[2]VLOOKUP 함수용 카테고리'!$A$1:$B$59, 2, 0)</f>
        <v>SNACK</v>
      </c>
      <c r="E4969" t="s">
        <v>7627</v>
      </c>
      <c r="F4969" t="s">
        <v>691</v>
      </c>
    </row>
    <row r="4970" spans="1:6" x14ac:dyDescent="0.3">
      <c r="A4970" t="s">
        <v>7592</v>
      </c>
      <c r="B4970" t="str" cm="1">
        <f t="array" ref="B4970">_xlfn.XLOOKUP(C4970, INDEX([2]!카테고리매핑,,2), INDEX([2]!카테고리매핑,,1), "미등록 카테고리")</f>
        <v>음료</v>
      </c>
      <c r="C4970" t="s">
        <v>7628</v>
      </c>
      <c r="D4970" t="str">
        <f>VLOOKUP(C4970, '[2]VLOOKUP 함수용 카테고리'!$A$1:$B$59, 2, 0)</f>
        <v>BEVERAGE</v>
      </c>
      <c r="E4970" t="s">
        <v>7629</v>
      </c>
      <c r="F4970" t="s">
        <v>1258</v>
      </c>
    </row>
    <row r="4971" spans="1:6" x14ac:dyDescent="0.3">
      <c r="A4971" t="s">
        <v>7593</v>
      </c>
      <c r="B4971" t="str" cm="1">
        <f t="array" ref="B4971">_xlfn.XLOOKUP(C4971, INDEX([2]!카테고리매핑,,2), INDEX([2]!카테고리매핑,,1), "미등록 카테고리")</f>
        <v>음료</v>
      </c>
      <c r="C4971" t="s">
        <v>23</v>
      </c>
      <c r="D4971" t="str">
        <f>VLOOKUP(C4971, '[2]VLOOKUP 함수용 카테고리'!$A$1:$B$59, 2, 0)</f>
        <v>BEVERAGE</v>
      </c>
      <c r="E4971" t="s">
        <v>7630</v>
      </c>
      <c r="F4971" t="s">
        <v>605</v>
      </c>
    </row>
    <row r="4972" spans="1:6" x14ac:dyDescent="0.3">
      <c r="A4972" t="s">
        <v>7594</v>
      </c>
      <c r="B4972" t="s">
        <v>7631</v>
      </c>
      <c r="C4972" t="s">
        <v>7631</v>
      </c>
      <c r="D4972" t="str">
        <f>VLOOKUP(C4972, '[2]VLOOKUP 함수용 카테고리'!$A$1:$B$59, 2, 0)</f>
        <v>UNKNOWN</v>
      </c>
      <c r="E4972" t="s">
        <v>7631</v>
      </c>
      <c r="F4972" t="s">
        <v>1661</v>
      </c>
    </row>
    <row r="4973" spans="1:6" x14ac:dyDescent="0.3">
      <c r="A4973" t="s">
        <v>7595</v>
      </c>
      <c r="B4973" t="str" cm="1">
        <f t="array" ref="B4973">_xlfn.XLOOKUP(C4973, INDEX([2]!카테고리매핑,,2), INDEX([2]!카테고리매핑,,1), "미등록 카테고리")</f>
        <v>간식류</v>
      </c>
      <c r="C4973" t="s">
        <v>7626</v>
      </c>
      <c r="D4973" t="str">
        <f>VLOOKUP(C4973, '[2]VLOOKUP 함수용 카테고리'!$A$1:$B$59, 2, 0)</f>
        <v>SNACK</v>
      </c>
      <c r="E4973" t="s">
        <v>7633</v>
      </c>
      <c r="F4973" t="s">
        <v>7596</v>
      </c>
    </row>
    <row r="4974" spans="1:6" x14ac:dyDescent="0.3">
      <c r="A4974" t="s">
        <v>7597</v>
      </c>
      <c r="B4974" t="str" cm="1">
        <f t="array" ref="B4974">_xlfn.XLOOKUP(C4974, INDEX([2]!카테고리매핑,,2), INDEX([2]!카테고리매핑,,1), "미등록 카테고리")</f>
        <v>음료</v>
      </c>
      <c r="C4974" t="s">
        <v>7634</v>
      </c>
      <c r="D4974" t="str">
        <f>VLOOKUP(C4974, '[2]VLOOKUP 함수용 카테고리'!$A$1:$B$59, 2, 0)</f>
        <v>BEVERAGE</v>
      </c>
      <c r="E4974" t="s">
        <v>7635</v>
      </c>
      <c r="F4974" t="s">
        <v>7598</v>
      </c>
    </row>
    <row r="4975" spans="1:6" x14ac:dyDescent="0.3">
      <c r="A4975" t="s">
        <v>7599</v>
      </c>
      <c r="B4975" t="str" cm="1">
        <f t="array" ref="B4975">_xlfn.XLOOKUP(C4975, INDEX([2]!카테고리매핑,,2), INDEX([2]!카테고리매핑,,1), "미등록 카테고리")</f>
        <v>육류/계란</v>
      </c>
      <c r="C4975" t="s">
        <v>7636</v>
      </c>
      <c r="D4975" t="str">
        <f>VLOOKUP(C4975, '[2]VLOOKUP 함수용 카테고리'!$A$1:$B$59, 2, 0)</f>
        <v>RAW_MEAT</v>
      </c>
      <c r="E4975" t="s">
        <v>7637</v>
      </c>
    </row>
    <row r="4976" spans="1:6" x14ac:dyDescent="0.3">
      <c r="A4976" t="s">
        <v>7600</v>
      </c>
      <c r="B4976" t="str" cm="1">
        <f t="array" ref="B4976">_xlfn.XLOOKUP(C4976, INDEX([2]!카테고리매핑,,2), INDEX([2]!카테고리매핑,,1), "미등록 카테고리")</f>
        <v>채소/곡물류</v>
      </c>
      <c r="C4976" t="s">
        <v>301</v>
      </c>
      <c r="D4976" t="str">
        <f>VLOOKUP(C4976, '[2]VLOOKUP 함수용 카테고리'!$A$1:$B$59, 2, 0)</f>
        <v>GRAIN</v>
      </c>
      <c r="E4976" t="s">
        <v>490</v>
      </c>
      <c r="F4976" t="s">
        <v>1000</v>
      </c>
    </row>
    <row r="4977" spans="1:6" x14ac:dyDescent="0.3">
      <c r="A4977" t="s">
        <v>7601</v>
      </c>
      <c r="B4977" t="str" cm="1">
        <f t="array" ref="B4977">_xlfn.XLOOKUP(C4977, INDEX([2]!카테고리매핑,,2), INDEX([2]!카테고리매핑,,1), "미등록 카테고리")</f>
        <v>조미료</v>
      </c>
      <c r="C4977" t="s">
        <v>117</v>
      </c>
      <c r="D4977" t="str">
        <f>VLOOKUP(C4977, '[2]VLOOKUP 함수용 카테고리'!$A$1:$B$59, 2, 0)</f>
        <v>SAUCE_SEASONING</v>
      </c>
      <c r="E4977" t="s">
        <v>118</v>
      </c>
      <c r="F4977" t="s">
        <v>119</v>
      </c>
    </row>
    <row r="4978" spans="1:6" x14ac:dyDescent="0.3">
      <c r="A4978" t="s">
        <v>7602</v>
      </c>
      <c r="B4978" t="str" cm="1">
        <f t="array" ref="B4978">_xlfn.XLOOKUP(C4978, INDEX([2]!카테고리매핑,,2), INDEX([2]!카테고리매핑,,1), "미등록 카테고리")</f>
        <v>조미료</v>
      </c>
      <c r="C4978" t="s">
        <v>7638</v>
      </c>
      <c r="D4978" t="str">
        <f>VLOOKUP(C4978, '[2]VLOOKUP 함수용 카테고리'!$A$1:$B$59, 2, 0)</f>
        <v>SAUCE_SEASONING</v>
      </c>
      <c r="E4978" t="s">
        <v>7639</v>
      </c>
      <c r="F4978" t="s">
        <v>7961</v>
      </c>
    </row>
    <row r="4979" spans="1:6" x14ac:dyDescent="0.3">
      <c r="A4979" t="s">
        <v>7603</v>
      </c>
      <c r="B4979" t="str" cm="1">
        <f t="array" ref="B4979">_xlfn.XLOOKUP(C4979, INDEX([2]!카테고리매핑,,2), INDEX([2]!카테고리매핑,,1), "미등록 카테고리")</f>
        <v>채소/곡물류</v>
      </c>
      <c r="C4979" t="s">
        <v>7640</v>
      </c>
      <c r="D4979" t="str">
        <f>VLOOKUP(C4979, '[2]VLOOKUP 함수용 카테고리'!$A$1:$B$59, 2, 0)</f>
        <v>RAW_PRODUCE</v>
      </c>
      <c r="E4979" t="s">
        <v>7641</v>
      </c>
    </row>
    <row r="4980" spans="1:6" x14ac:dyDescent="0.3">
      <c r="A4980" t="s">
        <v>7604</v>
      </c>
      <c r="B4980" t="str" cm="1">
        <f t="array" ref="B4980">_xlfn.XLOOKUP(C4980, INDEX([2]!카테고리매핑,,2), INDEX([2]!카테고리매핑,,1), "미등록 카테고리")</f>
        <v>유제품</v>
      </c>
      <c r="C4980" t="s">
        <v>123</v>
      </c>
      <c r="D4980" t="str">
        <f>VLOOKUP(C4980, '[2]VLOOKUP 함수용 카테고리'!$A$1:$B$59, 2, 0)</f>
        <v>DAIRY</v>
      </c>
      <c r="E4980" t="s">
        <v>7642</v>
      </c>
      <c r="F4980" t="s">
        <v>4792</v>
      </c>
    </row>
    <row r="4981" spans="1:6" x14ac:dyDescent="0.3">
      <c r="A4981" t="s">
        <v>7605</v>
      </c>
      <c r="B4981" t="str" cm="1">
        <f t="array" ref="B4981">_xlfn.XLOOKUP(C4981, INDEX([2]!카테고리매핑,,2), INDEX([2]!카테고리매핑,,1), "미등록 카테고리")</f>
        <v>채소/곡물류</v>
      </c>
      <c r="C4981" t="s">
        <v>7640</v>
      </c>
      <c r="D4981" t="str">
        <f>VLOOKUP(C4981, '[2]VLOOKUP 함수용 카테고리'!$A$1:$B$59, 2, 0)</f>
        <v>RAW_PRODUCE</v>
      </c>
      <c r="E4981" t="s">
        <v>7641</v>
      </c>
    </row>
    <row r="4982" spans="1:6" x14ac:dyDescent="0.3">
      <c r="A4982" t="s">
        <v>7606</v>
      </c>
      <c r="B4982" t="str" cm="1">
        <f t="array" ref="B4982">_xlfn.XLOOKUP(C4982, INDEX([2]!카테고리매핑,,2), INDEX([2]!카테고리매핑,,1), "미등록 카테고리")</f>
        <v>유제품</v>
      </c>
      <c r="C4982" t="s">
        <v>211</v>
      </c>
      <c r="D4982" t="str">
        <f>VLOOKUP(C4982, '[2]VLOOKUP 함수용 카테고리'!$A$1:$B$59, 2, 0)</f>
        <v>DAIRY</v>
      </c>
      <c r="E4982" t="s">
        <v>211</v>
      </c>
      <c r="F4982" t="s">
        <v>623</v>
      </c>
    </row>
    <row r="4983" spans="1:6" x14ac:dyDescent="0.3">
      <c r="A4983" t="s">
        <v>7607</v>
      </c>
      <c r="B4983" t="str" cm="1">
        <f t="array" ref="B4983">_xlfn.XLOOKUP(C4983, INDEX([2]!카테고리매핑,,2), INDEX([2]!카테고리매핑,,1), "미등록 카테고리")</f>
        <v>간편식</v>
      </c>
      <c r="C4983" t="s">
        <v>7643</v>
      </c>
      <c r="D4983" t="str">
        <f>VLOOKUP(C4983, '[2]VLOOKUP 함수용 카테고리'!$A$1:$B$59, 2, 0)</f>
        <v>SIMPLE_PROCESSED</v>
      </c>
      <c r="E4983" t="s">
        <v>7644</v>
      </c>
      <c r="F4983" t="s">
        <v>257</v>
      </c>
    </row>
    <row r="4984" spans="1:6" x14ac:dyDescent="0.3">
      <c r="A4984" t="s">
        <v>7608</v>
      </c>
      <c r="B4984" t="str" cm="1">
        <f t="array" ref="B4984">_xlfn.XLOOKUP(C4984, INDEX([2]!카테고리매핑,,2), INDEX([2]!카테고리매핑,,1), "미등록 카테고리")</f>
        <v>간편식</v>
      </c>
      <c r="C4984" t="s">
        <v>7643</v>
      </c>
      <c r="D4984" t="str">
        <f>VLOOKUP(C4984, '[2]VLOOKUP 함수용 카테고리'!$A$1:$B$59, 2, 0)</f>
        <v>SIMPLE_PROCESSED</v>
      </c>
      <c r="E4984" t="s">
        <v>7644</v>
      </c>
      <c r="F4984" t="s">
        <v>928</v>
      </c>
    </row>
    <row r="4985" spans="1:6" x14ac:dyDescent="0.3">
      <c r="A4985" t="s">
        <v>7609</v>
      </c>
      <c r="B4985" t="str" cm="1">
        <f t="array" ref="B4985">_xlfn.XLOOKUP(C4985, INDEX([2]!카테고리매핑,,2), INDEX([2]!카테고리매핑,,1), "미등록 카테고리")</f>
        <v>조미료</v>
      </c>
      <c r="C4985" t="s">
        <v>7638</v>
      </c>
      <c r="D4985" t="str">
        <f>VLOOKUP(C4985, '[2]VLOOKUP 함수용 카테고리'!$A$1:$B$59, 2, 0)</f>
        <v>SAUCE_SEASONING</v>
      </c>
      <c r="E4985" t="s">
        <v>7645</v>
      </c>
      <c r="F4985" t="s">
        <v>350</v>
      </c>
    </row>
    <row r="4986" spans="1:6" x14ac:dyDescent="0.3">
      <c r="A4986" t="s">
        <v>7610</v>
      </c>
      <c r="B4986" t="str" cm="1">
        <f t="array" ref="B4986">_xlfn.XLOOKUP(C4986, INDEX([2]!카테고리매핑,,2), INDEX([2]!카테고리매핑,,1), "미등록 카테고리")</f>
        <v>채소/곡물류</v>
      </c>
      <c r="C4986" t="s">
        <v>7640</v>
      </c>
      <c r="D4986" t="str">
        <f>VLOOKUP(C4986, '[2]VLOOKUP 함수용 카테고리'!$A$1:$B$59, 2, 0)</f>
        <v>RAW_PRODUCE</v>
      </c>
      <c r="E4986" t="s">
        <v>7641</v>
      </c>
    </row>
    <row r="4987" spans="1:6" x14ac:dyDescent="0.3">
      <c r="A4987" t="s">
        <v>7611</v>
      </c>
      <c r="B4987" t="str" cm="1">
        <f t="array" ref="B4987">_xlfn.XLOOKUP(C4987, INDEX([2]!카테고리매핑,,2), INDEX([2]!카테고리매핑,,1), "미등록 카테고리")</f>
        <v>채소/곡물류</v>
      </c>
      <c r="C4987" t="s">
        <v>7</v>
      </c>
      <c r="D4987" t="str">
        <f>VLOOKUP(C4987, '[2]VLOOKUP 함수용 카테고리'!$A$1:$B$59, 2, 0)</f>
        <v>RAW_PRODUCE</v>
      </c>
      <c r="E4987" t="s">
        <v>7646</v>
      </c>
      <c r="F4987" t="s">
        <v>156</v>
      </c>
    </row>
    <row r="4988" spans="1:6" x14ac:dyDescent="0.3">
      <c r="A4988" t="s">
        <v>7612</v>
      </c>
      <c r="B4988" t="str" cm="1">
        <f t="array" ref="B4988">_xlfn.XLOOKUP(C4988, INDEX([2]!카테고리매핑,,2), INDEX([2]!카테고리매핑,,1), "미등록 카테고리")</f>
        <v>채소/곡물류</v>
      </c>
      <c r="C4988" t="s">
        <v>7</v>
      </c>
      <c r="D4988" t="str">
        <f>VLOOKUP(C4988, '[2]VLOOKUP 함수용 카테고리'!$A$1:$B$59, 2, 0)</f>
        <v>RAW_PRODUCE</v>
      </c>
      <c r="E4988" t="s">
        <v>5281</v>
      </c>
      <c r="F4988" t="s">
        <v>3583</v>
      </c>
    </row>
    <row r="4989" spans="1:6" x14ac:dyDescent="0.3">
      <c r="A4989" t="s">
        <v>7613</v>
      </c>
      <c r="B4989" t="str" cm="1">
        <f t="array" ref="B4989">_xlfn.XLOOKUP(C4989, INDEX([2]!카테고리매핑,,2), INDEX([2]!카테고리매핑,,1), "미등록 카테고리")</f>
        <v>조미료</v>
      </c>
      <c r="C4989" t="s">
        <v>7638</v>
      </c>
      <c r="D4989" t="str">
        <f>VLOOKUP(C4989, '[2]VLOOKUP 함수용 카테고리'!$A$1:$B$59, 2, 0)</f>
        <v>SAUCE_SEASONING</v>
      </c>
      <c r="E4989" t="s">
        <v>7647</v>
      </c>
      <c r="F4989" t="s">
        <v>350</v>
      </c>
    </row>
    <row r="4990" spans="1:6" x14ac:dyDescent="0.3">
      <c r="A4990" t="s">
        <v>7614</v>
      </c>
      <c r="B4990" t="str" cm="1">
        <f t="array" ref="B4990">_xlfn.XLOOKUP(C4990, INDEX([2]!카테고리매핑,,2), INDEX([2]!카테고리매핑,,1), "미등록 카테고리")</f>
        <v>유제품</v>
      </c>
      <c r="C4990" t="s">
        <v>123</v>
      </c>
      <c r="D4990" t="str">
        <f>VLOOKUP(C4990, '[2]VLOOKUP 함수용 카테고리'!$A$1:$B$59, 2, 0)</f>
        <v>DAIRY</v>
      </c>
      <c r="E4990" t="s">
        <v>239</v>
      </c>
      <c r="F4990" t="s">
        <v>191</v>
      </c>
    </row>
    <row r="4991" spans="1:6" x14ac:dyDescent="0.3">
      <c r="A4991" t="s">
        <v>7615</v>
      </c>
      <c r="B4991" t="str" cm="1">
        <f t="array" ref="B4991">_xlfn.XLOOKUP(C4991, INDEX([2]!카테고리매핑,,2), INDEX([2]!카테고리매핑,,1), "미등록 카테고리")</f>
        <v>수산물</v>
      </c>
      <c r="C4991" t="s">
        <v>1673</v>
      </c>
      <c r="D4991" t="str">
        <f>VLOOKUP(C4991, '[2]VLOOKUP 함수용 카테고리'!$A$1:$B$59, 2, 0)</f>
        <v>RAW_SEAFOOD</v>
      </c>
      <c r="E4991" t="s">
        <v>1674</v>
      </c>
      <c r="F4991" t="s">
        <v>1675</v>
      </c>
    </row>
    <row r="4992" spans="1:6" x14ac:dyDescent="0.3">
      <c r="A4992" t="s">
        <v>7616</v>
      </c>
      <c r="B4992" t="str" cm="1">
        <f t="array" ref="B4992">_xlfn.XLOOKUP(C4992, INDEX([2]!카테고리매핑,,2), INDEX([2]!카테고리매핑,,1), "미등록 카테고리")</f>
        <v>채소/곡물류</v>
      </c>
      <c r="C4992" t="s">
        <v>7</v>
      </c>
      <c r="D4992" t="str">
        <f>VLOOKUP(C4992, '[2]VLOOKUP 함수용 카테고리'!$A$1:$B$59, 2, 0)</f>
        <v>RAW_PRODUCE</v>
      </c>
      <c r="E4992" t="s">
        <v>2633</v>
      </c>
    </row>
    <row r="4993" spans="1:6" x14ac:dyDescent="0.3">
      <c r="A4993" t="s">
        <v>7617</v>
      </c>
      <c r="B4993" t="str" cm="1">
        <f t="array" ref="B4993">_xlfn.XLOOKUP(C4993, INDEX([2]!카테고리매핑,,2), INDEX([2]!카테고리매핑,,1), "미등록 카테고리")</f>
        <v>술</v>
      </c>
      <c r="C4993" t="s">
        <v>7632</v>
      </c>
      <c r="D4993" t="str">
        <f>VLOOKUP(C4993, '[2]VLOOKUP 함수용 카테고리'!$A$1:$B$59, 2, 0)</f>
        <v>ALCOHOL</v>
      </c>
      <c r="E4993" t="s">
        <v>7648</v>
      </c>
      <c r="F4993" t="s">
        <v>280</v>
      </c>
    </row>
    <row r="4994" spans="1:6" x14ac:dyDescent="0.3">
      <c r="A4994" t="s">
        <v>7618</v>
      </c>
      <c r="B4994" t="str" cm="1">
        <f t="array" ref="B4994">_xlfn.XLOOKUP(C4994, INDEX([2]!카테고리매핑,,2), INDEX([2]!카테고리매핑,,1), "미등록 카테고리")</f>
        <v>수산물</v>
      </c>
      <c r="C4994" t="s">
        <v>203</v>
      </c>
      <c r="D4994" t="str">
        <f>VLOOKUP(C4994, '[2]VLOOKUP 함수용 카테고리'!$A$1:$B$59, 2, 0)</f>
        <v>RAW_SEAFOOD</v>
      </c>
      <c r="E4994" t="s">
        <v>7619</v>
      </c>
      <c r="F4994" t="s">
        <v>1804</v>
      </c>
    </row>
    <row r="4995" spans="1:6" x14ac:dyDescent="0.3">
      <c r="A4995" t="s">
        <v>7620</v>
      </c>
      <c r="B4995" t="str" cm="1">
        <f t="array" ref="B4995">_xlfn.XLOOKUP(C4995, INDEX([2]!카테고리매핑,,2), INDEX([2]!카테고리매핑,,1), "미등록 카테고리")</f>
        <v>채소/곡물류</v>
      </c>
      <c r="C4995" t="s">
        <v>301</v>
      </c>
      <c r="D4995" t="str">
        <f>VLOOKUP(C4995, '[2]VLOOKUP 함수용 카테고리'!$A$1:$B$59, 2, 0)</f>
        <v>GRAIN</v>
      </c>
      <c r="E4995" t="s">
        <v>611</v>
      </c>
      <c r="F4995" t="s">
        <v>7951</v>
      </c>
    </row>
    <row r="4996" spans="1:6" x14ac:dyDescent="0.3">
      <c r="A4996" t="s">
        <v>7621</v>
      </c>
      <c r="B4996" t="str" cm="1">
        <f t="array" ref="B4996">_xlfn.XLOOKUP(C4996, INDEX([2]!카테고리매핑,,2), INDEX([2]!카테고리매핑,,1), "미등록 카테고리")</f>
        <v>수산물</v>
      </c>
      <c r="C4996" t="s">
        <v>1397</v>
      </c>
      <c r="D4996" t="str">
        <f>VLOOKUP(C4996, '[2]VLOOKUP 함수용 카테고리'!$A$1:$B$59, 2, 0)</f>
        <v>RAW_SEAFOOD</v>
      </c>
      <c r="E4996" t="s">
        <v>7649</v>
      </c>
    </row>
    <row r="4997" spans="1:6" x14ac:dyDescent="0.3">
      <c r="A4997" t="s">
        <v>7622</v>
      </c>
      <c r="B4997" t="str" cm="1">
        <f t="array" ref="B4997">_xlfn.XLOOKUP(C4997, INDEX([2]!카테고리매핑,,2), INDEX([2]!카테고리매핑,,1), "미등록 카테고리")</f>
        <v>음료</v>
      </c>
      <c r="C4997" t="s">
        <v>23</v>
      </c>
      <c r="D4997" t="str">
        <f>VLOOKUP(C4997, '[2]VLOOKUP 함수용 카테고리'!$A$1:$B$59, 2, 0)</f>
        <v>BEVERAGE</v>
      </c>
      <c r="E4997" t="s">
        <v>7650</v>
      </c>
      <c r="F4997" t="s">
        <v>353</v>
      </c>
    </row>
    <row r="4998" spans="1:6" x14ac:dyDescent="0.3">
      <c r="A4998" t="s">
        <v>7623</v>
      </c>
      <c r="B4998" t="s">
        <v>7631</v>
      </c>
      <c r="C4998" t="s">
        <v>7631</v>
      </c>
      <c r="D4998" t="str">
        <f>VLOOKUP(C4998, '[2]VLOOKUP 함수용 카테고리'!$A$1:$B$59, 2, 0)</f>
        <v>UNKNOWN</v>
      </c>
      <c r="E4998" t="s">
        <v>7631</v>
      </c>
      <c r="F4998" t="s">
        <v>7624</v>
      </c>
    </row>
  </sheetData>
  <autoFilter ref="A1:F4998" xr:uid="{49CCACBB-3648-468C-A8A1-DF1872030E8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황인호</dc:creator>
  <cp:lastModifiedBy>황인호</cp:lastModifiedBy>
  <dcterms:created xsi:type="dcterms:W3CDTF">2026-04-02T02:54:59Z</dcterms:created>
  <dcterms:modified xsi:type="dcterms:W3CDTF">2026-04-04T09:06:01Z</dcterms:modified>
</cp:coreProperties>
</file>